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3" activeTab="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Hoja1" sheetId="27" r:id="rId11"/>
    <sheet name="BODEGA" sheetId="18" r:id="rId12"/>
  </sheets>
  <externalReferences>
    <externalReference r:id="rId13"/>
  </externalReferences>
  <definedNames>
    <definedName name="_xlnm._FilterDatabase" localSheetId="5" hidden="1">' BONOS'!$A$1:$M$199</definedName>
    <definedName name="_xlnm._FilterDatabase" localSheetId="6" hidden="1">'REGISTRO ABONOS'!$B$8:$BC$41</definedName>
  </definedNames>
  <calcPr calcId="162913"/>
  <webPublishing codePage="1252"/>
</workbook>
</file>

<file path=xl/calcChain.xml><?xml version="1.0" encoding="utf-8"?>
<calcChain xmlns="http://schemas.openxmlformats.org/spreadsheetml/2006/main">
  <c r="M10" i="11" l="1"/>
  <c r="P10" i="11" s="1"/>
  <c r="N10" i="11"/>
  <c r="O10" i="11"/>
  <c r="T10" i="11" s="1"/>
  <c r="S10" i="11"/>
  <c r="S9" i="11"/>
  <c r="O9" i="11"/>
  <c r="N9" i="11"/>
  <c r="M9" i="11"/>
  <c r="P9" i="11" s="1"/>
  <c r="M10" i="10"/>
  <c r="Q10" i="10"/>
  <c r="Q9" i="10"/>
  <c r="M9" i="10"/>
  <c r="M11" i="11"/>
  <c r="P11" i="11" s="1"/>
  <c r="N11" i="11"/>
  <c r="O11" i="11"/>
  <c r="S11" i="11"/>
  <c r="M11" i="10"/>
  <c r="Q11" i="10"/>
  <c r="K10" i="9"/>
  <c r="L10" i="9"/>
  <c r="L9" i="9"/>
  <c r="K9" i="9"/>
  <c r="M12" i="10"/>
  <c r="Q12" i="10"/>
  <c r="K11" i="9"/>
  <c r="L11" i="9"/>
  <c r="M12" i="11"/>
  <c r="P12" i="11" s="1"/>
  <c r="N12" i="11"/>
  <c r="O12" i="11"/>
  <c r="S12" i="11"/>
  <c r="M13" i="10"/>
  <c r="Q13" i="10"/>
  <c r="M14" i="10"/>
  <c r="Q14" i="10"/>
  <c r="K12" i="9"/>
  <c r="L12" i="9"/>
  <c r="M13" i="11"/>
  <c r="P13" i="11" s="1"/>
  <c r="N13" i="11"/>
  <c r="O13" i="11"/>
  <c r="S13" i="11"/>
  <c r="M15" i="10"/>
  <c r="Q15" i="10"/>
  <c r="K13" i="9"/>
  <c r="L13" i="9"/>
  <c r="M14" i="11"/>
  <c r="P14" i="11" s="1"/>
  <c r="N14" i="11"/>
  <c r="O14" i="11"/>
  <c r="S14" i="11"/>
  <c r="M16" i="10"/>
  <c r="Q16" i="10"/>
  <c r="K14" i="9"/>
  <c r="L14" i="9"/>
  <c r="M15" i="11"/>
  <c r="P15" i="11" s="1"/>
  <c r="N15" i="11"/>
  <c r="O15" i="11"/>
  <c r="S15" i="11"/>
  <c r="M17" i="10"/>
  <c r="Q17" i="10"/>
  <c r="K15" i="9"/>
  <c r="L15" i="9"/>
  <c r="M16" i="11"/>
  <c r="P16" i="11" s="1"/>
  <c r="N16" i="11"/>
  <c r="O16" i="11"/>
  <c r="S16" i="11"/>
  <c r="M18" i="10"/>
  <c r="Q18" i="10"/>
  <c r="K16" i="9"/>
  <c r="L16" i="9"/>
  <c r="M10" i="16"/>
  <c r="N10" i="16"/>
  <c r="O10" i="16"/>
  <c r="S10" i="16"/>
  <c r="S9" i="16"/>
  <c r="O9" i="16"/>
  <c r="N9" i="16"/>
  <c r="M9" i="16"/>
  <c r="M19" i="10"/>
  <c r="Q19" i="10"/>
  <c r="K17" i="9"/>
  <c r="L17" i="9"/>
  <c r="M17" i="11"/>
  <c r="P17" i="11" s="1"/>
  <c r="N17" i="11"/>
  <c r="O17" i="11"/>
  <c r="S17" i="11"/>
  <c r="M20" i="10"/>
  <c r="Q20" i="10"/>
  <c r="K18" i="9"/>
  <c r="L18" i="9"/>
  <c r="M18" i="11"/>
  <c r="P18" i="11" s="1"/>
  <c r="N18" i="11"/>
  <c r="O18" i="11"/>
  <c r="S18" i="11"/>
  <c r="M21" i="10"/>
  <c r="Q21" i="10"/>
  <c r="K19" i="9"/>
  <c r="L19" i="9"/>
  <c r="M19" i="11"/>
  <c r="P19" i="11" s="1"/>
  <c r="N19" i="11"/>
  <c r="O19" i="11"/>
  <c r="S19" i="11"/>
  <c r="M22" i="10"/>
  <c r="Q22" i="10"/>
  <c r="K20" i="9"/>
  <c r="L20" i="9"/>
  <c r="M20" i="11"/>
  <c r="P20" i="11" s="1"/>
  <c r="N20" i="11"/>
  <c r="O20" i="11"/>
  <c r="S20" i="11"/>
  <c r="M23" i="10"/>
  <c r="Q23" i="10"/>
  <c r="K21" i="9"/>
  <c r="L21" i="9"/>
  <c r="M21" i="11"/>
  <c r="P21" i="11" s="1"/>
  <c r="N21" i="11"/>
  <c r="O21" i="11"/>
  <c r="S21" i="11"/>
  <c r="M24" i="10"/>
  <c r="Q24" i="10"/>
  <c r="K22" i="9"/>
  <c r="L22" i="9"/>
  <c r="M22" i="11"/>
  <c r="P22" i="11" s="1"/>
  <c r="N22" i="11"/>
  <c r="O22" i="11"/>
  <c r="S22" i="11"/>
  <c r="M25" i="10"/>
  <c r="Q25" i="10"/>
  <c r="K23" i="9"/>
  <c r="L23" i="9"/>
  <c r="M23" i="11"/>
  <c r="P23" i="11" s="1"/>
  <c r="N23" i="11"/>
  <c r="O23" i="11"/>
  <c r="S23" i="11"/>
  <c r="M26" i="10"/>
  <c r="Q26" i="10"/>
  <c r="BD9" i="26"/>
  <c r="BC9" i="26" s="1"/>
  <c r="E9" i="26"/>
  <c r="D9" i="26"/>
  <c r="C9" i="26"/>
  <c r="F9" i="26" s="1"/>
  <c r="K24" i="9"/>
  <c r="M24" i="11"/>
  <c r="P24" i="11" s="1"/>
  <c r="N24" i="11"/>
  <c r="O24" i="11"/>
  <c r="S24" i="11"/>
  <c r="M27" i="10"/>
  <c r="Q27" i="10"/>
  <c r="BD10" i="26"/>
  <c r="BC10" i="26" s="1"/>
  <c r="E10" i="26"/>
  <c r="D10" i="26"/>
  <c r="C10" i="26"/>
  <c r="F10" i="26" s="1"/>
  <c r="K25" i="9"/>
  <c r="K26" i="9"/>
  <c r="L26" i="9"/>
  <c r="M25" i="11"/>
  <c r="P25" i="11" s="1"/>
  <c r="N25" i="11"/>
  <c r="O25" i="11"/>
  <c r="S25" i="11"/>
  <c r="M28" i="10"/>
  <c r="Q28" i="10"/>
  <c r="M26" i="11"/>
  <c r="P26" i="11" s="1"/>
  <c r="N26" i="11"/>
  <c r="O26" i="11"/>
  <c r="S26" i="11"/>
  <c r="M29" i="10"/>
  <c r="Q29" i="10"/>
  <c r="K27" i="9"/>
  <c r="L27" i="9"/>
  <c r="M27" i="11"/>
  <c r="P27" i="11" s="1"/>
  <c r="N27" i="11"/>
  <c r="O27" i="11"/>
  <c r="S27" i="11"/>
  <c r="M30" i="10"/>
  <c r="Q30" i="10"/>
  <c r="K28" i="9"/>
  <c r="L28" i="9"/>
  <c r="T9" i="11" l="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L24" i="9"/>
  <c r="T24" i="11"/>
  <c r="T25" i="11"/>
  <c r="T26" i="11"/>
  <c r="T27" i="11"/>
  <c r="S34" i="11"/>
  <c r="O34" i="11"/>
  <c r="N34" i="11"/>
  <c r="M34" i="11"/>
  <c r="P34" i="11" s="1"/>
  <c r="M31" i="10"/>
  <c r="Q31" i="10"/>
  <c r="K29" i="9"/>
  <c r="L29" i="9"/>
  <c r="S47" i="11"/>
  <c r="O47" i="11"/>
  <c r="N47" i="11"/>
  <c r="M47" i="11"/>
  <c r="P47" i="11" s="1"/>
  <c r="M32" i="10"/>
  <c r="Q32" i="10"/>
  <c r="L72" i="9"/>
  <c r="K72" i="9"/>
  <c r="S72" i="11"/>
  <c r="O72" i="11"/>
  <c r="N72" i="11"/>
  <c r="M72" i="11"/>
  <c r="P72" i="11" s="1"/>
  <c r="M33" i="10"/>
  <c r="Q33" i="10"/>
  <c r="L163" i="9"/>
  <c r="K163" i="9"/>
  <c r="S84" i="11"/>
  <c r="O84" i="11"/>
  <c r="N84" i="11"/>
  <c r="M84" i="11"/>
  <c r="P84" i="11" s="1"/>
  <c r="M34" i="10"/>
  <c r="Q34" i="10"/>
  <c r="L191" i="9"/>
  <c r="K191" i="9"/>
  <c r="S75" i="11"/>
  <c r="O75" i="11"/>
  <c r="N75" i="11"/>
  <c r="M75" i="11"/>
  <c r="P75" i="11" s="1"/>
  <c r="M35" i="10"/>
  <c r="Q35" i="10"/>
  <c r="L167" i="9"/>
  <c r="K167" i="9"/>
  <c r="S40" i="11"/>
  <c r="O40" i="11"/>
  <c r="N40" i="11"/>
  <c r="M40" i="11"/>
  <c r="P40" i="11" s="1"/>
  <c r="M36" i="10"/>
  <c r="Q36" i="10"/>
  <c r="L63" i="9"/>
  <c r="K63" i="9"/>
  <c r="S29" i="11"/>
  <c r="O29" i="11"/>
  <c r="N29" i="11"/>
  <c r="M29" i="11"/>
  <c r="P29" i="11" s="1"/>
  <c r="M37" i="10"/>
  <c r="Q37" i="10"/>
  <c r="L38" i="9"/>
  <c r="K38" i="9"/>
  <c r="S36" i="11"/>
  <c r="O36" i="11"/>
  <c r="N36" i="11"/>
  <c r="M36" i="11"/>
  <c r="P36" i="11" s="1"/>
  <c r="M28" i="11"/>
  <c r="P28" i="11" s="1"/>
  <c r="N28" i="11"/>
  <c r="O28" i="11"/>
  <c r="S28" i="11"/>
  <c r="M38" i="10"/>
  <c r="Q38" i="10"/>
  <c r="L54" i="9"/>
  <c r="K54" i="9"/>
  <c r="S31" i="11"/>
  <c r="O31" i="11"/>
  <c r="N31" i="11"/>
  <c r="M31" i="11"/>
  <c r="P31" i="11" s="1"/>
  <c r="M39" i="10"/>
  <c r="Q39" i="10"/>
  <c r="L46" i="9"/>
  <c r="K46" i="9"/>
  <c r="S65" i="11"/>
  <c r="O65" i="11"/>
  <c r="N65" i="11"/>
  <c r="M65" i="11"/>
  <c r="P65" i="11" s="1"/>
  <c r="M40" i="10"/>
  <c r="Q40" i="10"/>
  <c r="L146" i="9"/>
  <c r="K146" i="9"/>
  <c r="T34" i="11" l="1"/>
  <c r="T47" i="11"/>
  <c r="T72" i="11"/>
  <c r="T84" i="11"/>
  <c r="T75" i="11"/>
  <c r="T40" i="11"/>
  <c r="T36" i="11"/>
  <c r="T29" i="11"/>
  <c r="T28" i="11"/>
  <c r="T31" i="11"/>
  <c r="T65" i="11"/>
  <c r="L109" i="9"/>
  <c r="K109" i="9"/>
  <c r="M41" i="10" l="1"/>
  <c r="Q41" i="10"/>
  <c r="K33" i="9"/>
  <c r="M48" i="11"/>
  <c r="P48" i="11" s="1"/>
  <c r="N48" i="11"/>
  <c r="O48" i="11"/>
  <c r="S48" i="11"/>
  <c r="S55" i="11"/>
  <c r="O55" i="11"/>
  <c r="N55" i="11"/>
  <c r="M55" i="11"/>
  <c r="P55" i="11" s="1"/>
  <c r="M42" i="10"/>
  <c r="Q42" i="10"/>
  <c r="K77" i="9"/>
  <c r="L77" i="9"/>
  <c r="M85" i="11"/>
  <c r="P85" i="11" s="1"/>
  <c r="N85" i="11"/>
  <c r="O85" i="11"/>
  <c r="S85" i="11"/>
  <c r="M43" i="10"/>
  <c r="Q43" i="10"/>
  <c r="K192" i="9"/>
  <c r="L192" i="9"/>
  <c r="M64" i="11"/>
  <c r="P64" i="11" s="1"/>
  <c r="N64" i="11"/>
  <c r="O64" i="11"/>
  <c r="S64" i="11"/>
  <c r="M44" i="10"/>
  <c r="Q44" i="10"/>
  <c r="K139" i="9"/>
  <c r="L139" i="9"/>
  <c r="M79" i="11"/>
  <c r="P79" i="11" s="1"/>
  <c r="N79" i="11"/>
  <c r="O79" i="11"/>
  <c r="S79" i="11"/>
  <c r="M45" i="10"/>
  <c r="Q45" i="10"/>
  <c r="K176" i="9"/>
  <c r="L176" i="9"/>
  <c r="K48" i="9"/>
  <c r="L48" i="9"/>
  <c r="M46" i="10"/>
  <c r="Q46" i="10"/>
  <c r="K126" i="9"/>
  <c r="L126" i="9"/>
  <c r="M47" i="10"/>
  <c r="Q47" i="10"/>
  <c r="K30" i="9"/>
  <c r="L30" i="9"/>
  <c r="M48" i="10"/>
  <c r="Q48" i="10"/>
  <c r="K186" i="9"/>
  <c r="L186" i="9"/>
  <c r="T64" i="11" l="1"/>
  <c r="T48" i="11"/>
  <c r="T55" i="11"/>
  <c r="T85" i="11"/>
  <c r="T79" i="11"/>
  <c r="M41" i="11"/>
  <c r="P41" i="11" s="1"/>
  <c r="N41" i="11"/>
  <c r="O41" i="11"/>
  <c r="S41" i="11"/>
  <c r="M49" i="10"/>
  <c r="Q49" i="10"/>
  <c r="K64" i="9"/>
  <c r="L64" i="9"/>
  <c r="M50" i="10"/>
  <c r="Q50" i="10"/>
  <c r="K35" i="9"/>
  <c r="L35" i="9"/>
  <c r="M71" i="11"/>
  <c r="P71" i="11" s="1"/>
  <c r="N71" i="11"/>
  <c r="O71" i="11"/>
  <c r="S71" i="11"/>
  <c r="M51" i="10"/>
  <c r="Q51" i="10"/>
  <c r="K162" i="9"/>
  <c r="L162" i="9"/>
  <c r="M61" i="11"/>
  <c r="P61" i="11" s="1"/>
  <c r="N61" i="11"/>
  <c r="O61" i="11"/>
  <c r="S61" i="11"/>
  <c r="M52" i="10"/>
  <c r="Q52" i="10"/>
  <c r="K134" i="9"/>
  <c r="L134" i="9"/>
  <c r="M69" i="11"/>
  <c r="P69" i="11" s="1"/>
  <c r="N69" i="11"/>
  <c r="O69" i="11"/>
  <c r="S69" i="11"/>
  <c r="M53" i="10"/>
  <c r="Q53" i="10"/>
  <c r="K154" i="9"/>
  <c r="L154" i="9"/>
  <c r="M66" i="11"/>
  <c r="P66" i="11" s="1"/>
  <c r="N66" i="11"/>
  <c r="O66" i="11"/>
  <c r="S66" i="11"/>
  <c r="M67" i="11"/>
  <c r="P67" i="11" s="1"/>
  <c r="N67" i="11"/>
  <c r="O67" i="11"/>
  <c r="S67" i="11"/>
  <c r="M54" i="10"/>
  <c r="Q54" i="10"/>
  <c r="K151" i="9"/>
  <c r="L151" i="9"/>
  <c r="M54" i="11"/>
  <c r="P54" i="11" s="1"/>
  <c r="N54" i="11"/>
  <c r="O54" i="11"/>
  <c r="S54" i="11"/>
  <c r="M55" i="10"/>
  <c r="Q55" i="10"/>
  <c r="K104" i="9"/>
  <c r="L104" i="9"/>
  <c r="M80" i="11"/>
  <c r="P80" i="11" s="1"/>
  <c r="N80" i="11"/>
  <c r="O80" i="11"/>
  <c r="S80" i="11"/>
  <c r="M56" i="10"/>
  <c r="Q56" i="10"/>
  <c r="K179" i="9"/>
  <c r="L179" i="9"/>
  <c r="M62" i="11"/>
  <c r="P62" i="11" s="1"/>
  <c r="N62" i="11"/>
  <c r="O62" i="11"/>
  <c r="S62" i="11"/>
  <c r="M57" i="10"/>
  <c r="Q57" i="10"/>
  <c r="K137" i="9"/>
  <c r="L137" i="9"/>
  <c r="M30" i="11"/>
  <c r="P30" i="11" s="1"/>
  <c r="N30" i="11"/>
  <c r="O30" i="11"/>
  <c r="S30" i="11"/>
  <c r="M58" i="10"/>
  <c r="Q58" i="10"/>
  <c r="K152" i="9"/>
  <c r="L152" i="9"/>
  <c r="S68" i="11"/>
  <c r="O68" i="11"/>
  <c r="N68" i="11"/>
  <c r="M68" i="11"/>
  <c r="P68" i="11" s="1"/>
  <c r="M59" i="10"/>
  <c r="Q59" i="10"/>
  <c r="K31" i="9"/>
  <c r="L31" i="9"/>
  <c r="Q117" i="10"/>
  <c r="M117" i="10"/>
  <c r="L100" i="9"/>
  <c r="K100" i="9"/>
  <c r="Q140" i="10"/>
  <c r="M140" i="10"/>
  <c r="L129" i="9"/>
  <c r="K129" i="9"/>
  <c r="Q135" i="10"/>
  <c r="M135" i="10"/>
  <c r="L123" i="9"/>
  <c r="K123" i="9"/>
  <c r="Q159" i="10"/>
  <c r="M159" i="10"/>
  <c r="L153" i="9"/>
  <c r="K153" i="9"/>
  <c r="Q115" i="10"/>
  <c r="M115" i="10"/>
  <c r="L98" i="9"/>
  <c r="K98" i="9"/>
  <c r="Q152" i="10"/>
  <c r="M152" i="10"/>
  <c r="L143" i="9"/>
  <c r="K143" i="9"/>
  <c r="Q150" i="10"/>
  <c r="M150" i="10"/>
  <c r="L141" i="9"/>
  <c r="K141" i="9"/>
  <c r="Q157" i="10"/>
  <c r="M157" i="10"/>
  <c r="L149" i="9"/>
  <c r="K149" i="9"/>
  <c r="L32" i="9"/>
  <c r="K32" i="9"/>
  <c r="Q60" i="10"/>
  <c r="M60" i="10"/>
  <c r="T41" i="11" l="1"/>
  <c r="T80" i="11"/>
  <c r="T71" i="11"/>
  <c r="T61" i="11"/>
  <c r="T69" i="11"/>
  <c r="T66" i="11"/>
  <c r="T67" i="11"/>
  <c r="T54" i="11"/>
  <c r="T62" i="11"/>
  <c r="T30" i="11"/>
  <c r="T68" i="11"/>
  <c r="Q136" i="10"/>
  <c r="M136" i="10"/>
  <c r="L124" i="9"/>
  <c r="K124" i="9"/>
  <c r="Q133" i="10"/>
  <c r="M133" i="10"/>
  <c r="BD11" i="26"/>
  <c r="E23" i="26"/>
  <c r="D23" i="26"/>
  <c r="C23" i="26"/>
  <c r="F23" i="26" s="1"/>
  <c r="L121" i="9"/>
  <c r="K121" i="9"/>
  <c r="BD12" i="26" l="1"/>
  <c r="E33" i="26"/>
  <c r="D33" i="26"/>
  <c r="C33" i="26"/>
  <c r="F33" i="26" s="1"/>
  <c r="BD13" i="26"/>
  <c r="E41" i="26"/>
  <c r="D41" i="26"/>
  <c r="C41" i="26"/>
  <c r="F41" i="26" s="1"/>
  <c r="Q151" i="10"/>
  <c r="M151" i="10"/>
  <c r="K142" i="9"/>
  <c r="BD14" i="26"/>
  <c r="E30" i="26"/>
  <c r="D30" i="26"/>
  <c r="C30" i="26"/>
  <c r="F30" i="26" s="1"/>
  <c r="BD15" i="26"/>
  <c r="E17" i="26"/>
  <c r="D17" i="26"/>
  <c r="C17" i="26"/>
  <c r="F17" i="26" s="1"/>
  <c r="Q138" i="10"/>
  <c r="M138" i="10"/>
  <c r="K127" i="9"/>
  <c r="Q104" i="10"/>
  <c r="M104" i="10"/>
  <c r="L87" i="9"/>
  <c r="K87" i="9"/>
  <c r="Q155" i="10"/>
  <c r="M155" i="10"/>
  <c r="L147" i="9"/>
  <c r="K147" i="9"/>
  <c r="Q160" i="10"/>
  <c r="M160" i="10"/>
  <c r="L155" i="9"/>
  <c r="K155" i="9"/>
  <c r="Q193" i="10"/>
  <c r="M193" i="10"/>
  <c r="L198" i="9"/>
  <c r="K198" i="9"/>
  <c r="Q174" i="10"/>
  <c r="M174" i="10"/>
  <c r="L170" i="9"/>
  <c r="K170" i="9"/>
  <c r="Q96" i="10"/>
  <c r="M96" i="10"/>
  <c r="L79" i="9"/>
  <c r="K79" i="9"/>
  <c r="Q183" i="10"/>
  <c r="M183" i="10"/>
  <c r="L184" i="9"/>
  <c r="K184" i="9"/>
  <c r="M72" i="10" l="1"/>
  <c r="Q72" i="10"/>
  <c r="Q186" i="10"/>
  <c r="M186" i="10"/>
  <c r="L188" i="9"/>
  <c r="K188" i="9"/>
  <c r="M102" i="10"/>
  <c r="Q102" i="10"/>
  <c r="L49" i="9"/>
  <c r="K49" i="9"/>
  <c r="M162" i="10"/>
  <c r="Q162" i="10"/>
  <c r="L85" i="9"/>
  <c r="K85" i="9"/>
  <c r="M184" i="10"/>
  <c r="Q184" i="10"/>
  <c r="L157" i="9"/>
  <c r="K157" i="9"/>
  <c r="L185" i="9"/>
  <c r="K185" i="9"/>
  <c r="M173" i="10"/>
  <c r="Q173" i="10"/>
  <c r="L53" i="9"/>
  <c r="K53" i="9"/>
  <c r="M99" i="10"/>
  <c r="Q99" i="10"/>
  <c r="BD16" i="26"/>
  <c r="BC16" i="26" s="1"/>
  <c r="E16" i="26"/>
  <c r="D16" i="26"/>
  <c r="C16" i="26"/>
  <c r="F16" i="26" s="1"/>
  <c r="L169" i="9"/>
  <c r="K169" i="9"/>
  <c r="M120" i="10"/>
  <c r="Q120" i="10"/>
  <c r="BD17" i="26"/>
  <c r="E19" i="26"/>
  <c r="D19" i="26"/>
  <c r="C19" i="26"/>
  <c r="F19" i="26" s="1"/>
  <c r="K82" i="9"/>
  <c r="M139" i="10"/>
  <c r="Q139" i="10"/>
  <c r="K105" i="9"/>
  <c r="M61" i="10"/>
  <c r="Q61" i="10"/>
  <c r="BD18" i="26"/>
  <c r="E27" i="26"/>
  <c r="D27" i="26"/>
  <c r="C27" i="26"/>
  <c r="F27" i="26" s="1"/>
  <c r="L128" i="9"/>
  <c r="K128" i="9"/>
  <c r="M123" i="10"/>
  <c r="Q123" i="10"/>
  <c r="L199" i="9"/>
  <c r="K199" i="9"/>
  <c r="M163" i="10"/>
  <c r="Q163" i="10"/>
  <c r="L111" i="9"/>
  <c r="K111" i="9"/>
  <c r="M149" i="10"/>
  <c r="Q149" i="10"/>
  <c r="BD19" i="26"/>
  <c r="BC11" i="26" s="1"/>
  <c r="L33" i="9" s="1"/>
  <c r="E11" i="26"/>
  <c r="D11" i="26"/>
  <c r="C11" i="26"/>
  <c r="F11" i="26" s="1"/>
  <c r="L158" i="9"/>
  <c r="K158" i="9"/>
  <c r="BC19" i="26" l="1"/>
  <c r="L82" i="9" s="1"/>
  <c r="BC17" i="26"/>
  <c r="BD20" i="26"/>
  <c r="E32" i="26"/>
  <c r="D32" i="26"/>
  <c r="C32" i="26"/>
  <c r="F32" i="26" s="1"/>
  <c r="K113" i="9"/>
  <c r="K140" i="9"/>
  <c r="S53" i="11"/>
  <c r="O53" i="11"/>
  <c r="N53" i="11"/>
  <c r="M53" i="11"/>
  <c r="P53" i="11" s="1"/>
  <c r="BD21" i="26"/>
  <c r="E28" i="26"/>
  <c r="D28" i="26"/>
  <c r="C28" i="26"/>
  <c r="F28" i="26" s="1"/>
  <c r="K159" i="9"/>
  <c r="S70" i="11"/>
  <c r="O70" i="11"/>
  <c r="N70" i="11"/>
  <c r="M70" i="11"/>
  <c r="P70" i="11" s="1"/>
  <c r="Q164" i="10"/>
  <c r="M164" i="10"/>
  <c r="K95" i="9"/>
  <c r="L95" i="9"/>
  <c r="Q112" i="10"/>
  <c r="M112" i="10"/>
  <c r="K161" i="9"/>
  <c r="L161" i="9"/>
  <c r="Q167" i="10"/>
  <c r="M167" i="10"/>
  <c r="BD22" i="26"/>
  <c r="E36" i="26"/>
  <c r="D36" i="26"/>
  <c r="C36" i="26"/>
  <c r="F36" i="26" s="1"/>
  <c r="K88" i="9"/>
  <c r="Q105" i="10"/>
  <c r="M105" i="10"/>
  <c r="BD23" i="26"/>
  <c r="BC23" i="26" s="1"/>
  <c r="L25" i="9" s="1"/>
  <c r="E20" i="26"/>
  <c r="D20" i="26"/>
  <c r="C20" i="26"/>
  <c r="F20" i="26" s="1"/>
  <c r="K99" i="9"/>
  <c r="Q116" i="10"/>
  <c r="M116" i="10"/>
  <c r="BD24" i="26"/>
  <c r="E24" i="26"/>
  <c r="D24" i="26"/>
  <c r="C24" i="26"/>
  <c r="F24" i="26" s="1"/>
  <c r="K145" i="9"/>
  <c r="BD25" i="26"/>
  <c r="E34" i="26"/>
  <c r="D34" i="26"/>
  <c r="C34" i="26"/>
  <c r="F34" i="26" s="1"/>
  <c r="K103" i="9"/>
  <c r="Q154" i="10"/>
  <c r="M154" i="10"/>
  <c r="E26" i="26"/>
  <c r="D26" i="26"/>
  <c r="C26" i="26"/>
  <c r="F26" i="26" s="1"/>
  <c r="K101" i="9"/>
  <c r="Q118" i="10"/>
  <c r="M118" i="10"/>
  <c r="BD26" i="26"/>
  <c r="E25" i="26"/>
  <c r="D25" i="26"/>
  <c r="C25" i="26"/>
  <c r="F25" i="26" s="1"/>
  <c r="K96" i="9"/>
  <c r="Q113" i="10"/>
  <c r="M113" i="10"/>
  <c r="BD27" i="26"/>
  <c r="BC27" i="26" s="1"/>
  <c r="L105" i="9" s="1"/>
  <c r="E22" i="26"/>
  <c r="D22" i="26"/>
  <c r="C22" i="26"/>
  <c r="F22" i="26" s="1"/>
  <c r="K52" i="9"/>
  <c r="Q75" i="10"/>
  <c r="M75" i="10"/>
  <c r="BD28" i="26"/>
  <c r="E15" i="26"/>
  <c r="D15" i="26"/>
  <c r="C15" i="26"/>
  <c r="F15" i="26" s="1"/>
  <c r="K156" i="9"/>
  <c r="BC28" i="26" l="1"/>
  <c r="L113" i="9"/>
  <c r="T53" i="11"/>
  <c r="T70" i="11"/>
  <c r="BC20" i="26"/>
  <c r="L88" i="9" s="1"/>
  <c r="Q161" i="10"/>
  <c r="M161" i="10"/>
  <c r="K174" i="9"/>
  <c r="L174" i="9"/>
  <c r="M85" i="10" l="1"/>
  <c r="Q85" i="10"/>
  <c r="Q177" i="10"/>
  <c r="M177" i="10"/>
  <c r="K65" i="9"/>
  <c r="L65" i="9"/>
  <c r="M158" i="10"/>
  <c r="Q158" i="10"/>
  <c r="K150" i="9"/>
  <c r="L150" i="9"/>
  <c r="M97" i="10"/>
  <c r="Q97" i="10"/>
  <c r="K80" i="9"/>
  <c r="L80" i="9"/>
  <c r="M125" i="10"/>
  <c r="Q125" i="10"/>
  <c r="K114" i="9"/>
  <c r="L114" i="9"/>
  <c r="M153" i="10"/>
  <c r="Q153" i="10"/>
  <c r="K144" i="9"/>
  <c r="L144" i="9"/>
  <c r="M179" i="10"/>
  <c r="Q179" i="10"/>
  <c r="K177" i="9"/>
  <c r="L177" i="9"/>
  <c r="M185" i="10"/>
  <c r="Q185" i="10"/>
  <c r="K187" i="9"/>
  <c r="L187" i="9"/>
  <c r="M109" i="10"/>
  <c r="Q109" i="10"/>
  <c r="K92" i="9"/>
  <c r="L92" i="9"/>
  <c r="M171" i="10"/>
  <c r="Q171" i="10"/>
  <c r="K166" i="9"/>
  <c r="L166" i="9"/>
  <c r="M108" i="10"/>
  <c r="Q108" i="10"/>
  <c r="K91" i="9"/>
  <c r="L91" i="9"/>
  <c r="M175" i="10"/>
  <c r="Q175" i="10"/>
  <c r="K171" i="9"/>
  <c r="L171" i="9"/>
  <c r="M98" i="10"/>
  <c r="Q98" i="10"/>
  <c r="K81" i="9"/>
  <c r="L81" i="9"/>
  <c r="M67" i="10"/>
  <c r="Q67" i="10"/>
  <c r="K41" i="9"/>
  <c r="L41" i="9"/>
  <c r="J10016" i="18"/>
  <c r="K10016" i="18"/>
  <c r="M180" i="10"/>
  <c r="Q180" i="10"/>
  <c r="K178" i="9"/>
  <c r="L178" i="9"/>
  <c r="M70" i="10"/>
  <c r="Q70" i="10"/>
  <c r="K45" i="9"/>
  <c r="L45" i="9"/>
  <c r="M68" i="10"/>
  <c r="Q68" i="10"/>
  <c r="BD29" i="26"/>
  <c r="E35" i="26"/>
  <c r="D35" i="26"/>
  <c r="C35" i="26"/>
  <c r="F35" i="26" s="1"/>
  <c r="K43" i="9"/>
  <c r="M127" i="10"/>
  <c r="Q127" i="10"/>
  <c r="BD30" i="26"/>
  <c r="BC30" i="26" s="1"/>
  <c r="L127" i="9" s="1"/>
  <c r="E13" i="26"/>
  <c r="D13" i="26"/>
  <c r="C13" i="26"/>
  <c r="F13" i="26" s="1"/>
  <c r="K116" i="9"/>
  <c r="BD31" i="26"/>
  <c r="E29" i="26"/>
  <c r="D29" i="26"/>
  <c r="C29" i="26"/>
  <c r="F29" i="26" s="1"/>
  <c r="M165" i="10"/>
  <c r="Q165" i="10"/>
  <c r="K42" i="9"/>
  <c r="L42" i="9"/>
  <c r="M191" i="10"/>
  <c r="Q191" i="10"/>
  <c r="K195" i="9"/>
  <c r="L195" i="9"/>
  <c r="M121" i="10"/>
  <c r="Q121" i="10"/>
  <c r="K108" i="9"/>
  <c r="L108" i="9"/>
  <c r="M95" i="10"/>
  <c r="Q95" i="10"/>
  <c r="K78" i="9"/>
  <c r="L78" i="9"/>
  <c r="M187" i="10"/>
  <c r="Q187" i="10"/>
  <c r="K189" i="9"/>
  <c r="L189" i="9"/>
  <c r="M106" i="10"/>
  <c r="Q106" i="10"/>
  <c r="K89" i="9"/>
  <c r="L89" i="9"/>
  <c r="M93" i="10"/>
  <c r="Q93" i="10"/>
  <c r="K75" i="9"/>
  <c r="L75" i="9"/>
  <c r="M69" i="10"/>
  <c r="Q69" i="10"/>
  <c r="K44" i="9"/>
  <c r="L44" i="9"/>
  <c r="M101" i="10"/>
  <c r="Q101" i="10"/>
  <c r="K84" i="9"/>
  <c r="L84" i="9"/>
  <c r="M65" i="10"/>
  <c r="Q65" i="10"/>
  <c r="K39" i="9"/>
  <c r="L39" i="9"/>
  <c r="M147" i="10"/>
  <c r="Q147" i="10"/>
  <c r="K136" i="9"/>
  <c r="L136" i="9"/>
  <c r="M145" i="10"/>
  <c r="Q145" i="10"/>
  <c r="M146" i="10"/>
  <c r="Q146" i="10"/>
  <c r="K135" i="9"/>
  <c r="L135" i="9"/>
  <c r="M119" i="10"/>
  <c r="Q119" i="10"/>
  <c r="K102" i="9"/>
  <c r="L102" i="9"/>
  <c r="M91" i="10"/>
  <c r="Q91" i="10"/>
  <c r="K73" i="9"/>
  <c r="L73" i="9"/>
  <c r="M134" i="10"/>
  <c r="Q134" i="10"/>
  <c r="K122" i="9"/>
  <c r="L122" i="9"/>
  <c r="M132" i="10"/>
  <c r="Q132" i="10"/>
  <c r="K120" i="9"/>
  <c r="L120" i="9"/>
  <c r="K106" i="9"/>
  <c r="L106" i="9"/>
  <c r="K107" i="9"/>
  <c r="L107" i="9"/>
  <c r="M94" i="10"/>
  <c r="Q94" i="10"/>
  <c r="K76" i="9"/>
  <c r="L76" i="9"/>
  <c r="M131" i="10"/>
  <c r="Q131" i="10"/>
  <c r="K119" i="9"/>
  <c r="L119" i="9"/>
  <c r="BC24" i="26" l="1"/>
  <c r="L99" i="9" s="1"/>
  <c r="BC15" i="26"/>
  <c r="L52" i="9" s="1"/>
  <c r="L10016" i="18"/>
  <c r="M10016" i="18"/>
  <c r="BC13" i="26"/>
  <c r="L43" i="9" s="1"/>
  <c r="M62" i="10"/>
  <c r="Q62" i="10"/>
  <c r="K58" i="9"/>
  <c r="L58" i="9"/>
  <c r="Q79" i="10"/>
  <c r="M79" i="10"/>
  <c r="K68" i="9"/>
  <c r="L68" i="9"/>
  <c r="BD32" i="26"/>
  <c r="BC32" i="26" s="1"/>
  <c r="L140" i="9" s="1"/>
  <c r="E37" i="26"/>
  <c r="D37" i="26"/>
  <c r="C37" i="26"/>
  <c r="F37" i="26" s="1"/>
  <c r="K180" i="9"/>
  <c r="K181" i="9"/>
  <c r="Q87" i="10"/>
  <c r="M87" i="10"/>
  <c r="K168" i="9"/>
  <c r="L168" i="9"/>
  <c r="Q172" i="10"/>
  <c r="M172" i="10"/>
  <c r="K62" i="9"/>
  <c r="L62" i="9"/>
  <c r="Q84" i="10"/>
  <c r="M84" i="10"/>
  <c r="K34" i="9"/>
  <c r="L34" i="9"/>
  <c r="Q189" i="10"/>
  <c r="M189" i="10"/>
  <c r="L193" i="9"/>
  <c r="K193" i="9"/>
  <c r="Q103" i="10"/>
  <c r="M103" i="10"/>
  <c r="L86" i="9"/>
  <c r="K86" i="9"/>
  <c r="Q92" i="10"/>
  <c r="M92" i="10"/>
  <c r="L74" i="9"/>
  <c r="K74" i="9"/>
  <c r="Q114" i="10"/>
  <c r="M114" i="10"/>
  <c r="L97" i="9"/>
  <c r="K97" i="9"/>
  <c r="Q76" i="10"/>
  <c r="M76" i="10"/>
  <c r="L55" i="9"/>
  <c r="K55" i="9"/>
  <c r="Q156" i="10"/>
  <c r="M156" i="10"/>
  <c r="L148" i="9"/>
  <c r="K148" i="9"/>
  <c r="Q64" i="10"/>
  <c r="M64" i="10"/>
  <c r="L37" i="9"/>
  <c r="K37" i="9"/>
  <c r="Q110" i="10"/>
  <c r="M110" i="10"/>
  <c r="L93" i="9"/>
  <c r="K93" i="9"/>
  <c r="Q129" i="10"/>
  <c r="M129" i="10"/>
  <c r="L117" i="9"/>
  <c r="K117" i="9"/>
  <c r="M190" i="10"/>
  <c r="Q190" i="10"/>
  <c r="Q166" i="10"/>
  <c r="M166" i="10"/>
  <c r="L160" i="9"/>
  <c r="K160" i="9"/>
  <c r="S52" i="11"/>
  <c r="O52" i="11"/>
  <c r="N52" i="11"/>
  <c r="M52" i="11"/>
  <c r="P52" i="11" s="1"/>
  <c r="M66" i="10"/>
  <c r="Q66" i="10"/>
  <c r="K40" i="9"/>
  <c r="L40" i="9"/>
  <c r="L194" i="9"/>
  <c r="K194" i="9"/>
  <c r="T52" i="11" l="1"/>
  <c r="M32" i="11"/>
  <c r="P32" i="11" s="1"/>
  <c r="N32" i="11"/>
  <c r="O32" i="11"/>
  <c r="S32" i="11"/>
  <c r="K164" i="9"/>
  <c r="L164" i="9"/>
  <c r="J10015" i="18"/>
  <c r="K10015" i="18"/>
  <c r="M10015" i="18" s="1"/>
  <c r="M78" i="11"/>
  <c r="P78" i="11" s="1"/>
  <c r="N78" i="11"/>
  <c r="O78" i="11"/>
  <c r="S78" i="11"/>
  <c r="M81" i="11"/>
  <c r="P81" i="11" s="1"/>
  <c r="N81" i="11"/>
  <c r="O81" i="11"/>
  <c r="S81" i="11"/>
  <c r="M83" i="11"/>
  <c r="P83" i="11" s="1"/>
  <c r="N83" i="11"/>
  <c r="O83" i="11"/>
  <c r="S83" i="11"/>
  <c r="M51" i="11"/>
  <c r="P51" i="11" s="1"/>
  <c r="N51" i="11"/>
  <c r="O51" i="11"/>
  <c r="S51" i="11"/>
  <c r="M60" i="11"/>
  <c r="P60" i="11" s="1"/>
  <c r="N60" i="11"/>
  <c r="O60" i="11"/>
  <c r="S60" i="11"/>
  <c r="Q168" i="10"/>
  <c r="M168" i="10"/>
  <c r="K133" i="9"/>
  <c r="L133" i="9"/>
  <c r="J10014" i="18"/>
  <c r="K10014" i="18"/>
  <c r="M10014" i="18" s="1"/>
  <c r="Q144" i="10"/>
  <c r="M144" i="10"/>
  <c r="K94" i="9"/>
  <c r="L94" i="9"/>
  <c r="J10013" i="18"/>
  <c r="K10013" i="18"/>
  <c r="Q111" i="10"/>
  <c r="M111" i="10"/>
  <c r="K190" i="9"/>
  <c r="L190" i="9"/>
  <c r="J10012" i="18"/>
  <c r="K10012" i="18"/>
  <c r="Q188" i="10"/>
  <c r="M188" i="10"/>
  <c r="K182" i="9"/>
  <c r="L182" i="9"/>
  <c r="J10011" i="18"/>
  <c r="K10011" i="18"/>
  <c r="M10011" i="18" s="1"/>
  <c r="Q181" i="10"/>
  <c r="M181" i="10"/>
  <c r="K175" i="9"/>
  <c r="L175" i="9"/>
  <c r="J10010" i="18"/>
  <c r="K10010" i="18"/>
  <c r="Q178" i="10"/>
  <c r="M178" i="10"/>
  <c r="K112" i="9"/>
  <c r="L112" i="9"/>
  <c r="J10009" i="18"/>
  <c r="K10009" i="18"/>
  <c r="M10009" i="18" s="1"/>
  <c r="Q124" i="10"/>
  <c r="M124" i="10"/>
  <c r="K196" i="9"/>
  <c r="L196" i="9"/>
  <c r="T81" i="11" l="1"/>
  <c r="L10010" i="18"/>
  <c r="L10012" i="18"/>
  <c r="T32" i="11"/>
  <c r="T78" i="11"/>
  <c r="L10013" i="18"/>
  <c r="L10015" i="18"/>
  <c r="T60" i="11"/>
  <c r="T83" i="11"/>
  <c r="T51" i="11"/>
  <c r="L10014" i="18"/>
  <c r="M10013" i="18"/>
  <c r="M10012" i="18"/>
  <c r="L10011" i="18"/>
  <c r="M10010" i="18"/>
  <c r="L10009" i="18"/>
  <c r="S73" i="11"/>
  <c r="O73" i="11"/>
  <c r="N73" i="11"/>
  <c r="M73" i="11"/>
  <c r="P73" i="11" s="1"/>
  <c r="Q194" i="10"/>
  <c r="M194" i="10"/>
  <c r="S43" i="11"/>
  <c r="O43" i="11"/>
  <c r="N43" i="11"/>
  <c r="M43" i="11"/>
  <c r="P43" i="11" s="1"/>
  <c r="L67" i="9"/>
  <c r="K67" i="9"/>
  <c r="S35" i="11"/>
  <c r="O35" i="11"/>
  <c r="N35" i="11"/>
  <c r="M35" i="11"/>
  <c r="P35" i="11" s="1"/>
  <c r="Q74" i="10"/>
  <c r="M74" i="10"/>
  <c r="L51" i="9"/>
  <c r="K51" i="9"/>
  <c r="S56" i="11"/>
  <c r="O56" i="11"/>
  <c r="N56" i="11"/>
  <c r="M56" i="11"/>
  <c r="P56" i="11" s="1"/>
  <c r="Q130" i="10"/>
  <c r="M130" i="10"/>
  <c r="Q169" i="10"/>
  <c r="M169" i="10"/>
  <c r="L118" i="9"/>
  <c r="K118" i="9"/>
  <c r="S74" i="11"/>
  <c r="O74" i="11"/>
  <c r="N74" i="11"/>
  <c r="M74" i="11"/>
  <c r="P74" i="11" s="1"/>
  <c r="Q170" i="10"/>
  <c r="M170" i="10"/>
  <c r="L165" i="9"/>
  <c r="K165" i="9"/>
  <c r="S45" i="11"/>
  <c r="O45" i="11"/>
  <c r="N45" i="11"/>
  <c r="M45" i="11"/>
  <c r="P45" i="11" s="1"/>
  <c r="S76" i="11"/>
  <c r="O76" i="11"/>
  <c r="N76" i="11"/>
  <c r="M76" i="11"/>
  <c r="P76" i="11" s="1"/>
  <c r="Q89" i="10"/>
  <c r="M89" i="10"/>
  <c r="L70" i="9"/>
  <c r="K70" i="9"/>
  <c r="S77" i="11"/>
  <c r="O77" i="11"/>
  <c r="N77" i="11"/>
  <c r="M77" i="11"/>
  <c r="P77" i="11" s="1"/>
  <c r="Q176" i="10"/>
  <c r="M176" i="10"/>
  <c r="L173" i="9"/>
  <c r="K173" i="9"/>
  <c r="M33" i="11"/>
  <c r="P33" i="11" s="1"/>
  <c r="N33" i="11"/>
  <c r="O33" i="11"/>
  <c r="S33" i="11"/>
  <c r="Q71" i="10"/>
  <c r="M71" i="10"/>
  <c r="L47" i="9"/>
  <c r="K47" i="9"/>
  <c r="S37" i="11"/>
  <c r="O37" i="11"/>
  <c r="N37" i="11"/>
  <c r="M37" i="11"/>
  <c r="P37" i="11" s="1"/>
  <c r="Q78" i="10"/>
  <c r="M78" i="10"/>
  <c r="L57" i="9"/>
  <c r="K57" i="9"/>
  <c r="S86" i="11"/>
  <c r="O86" i="11"/>
  <c r="N86" i="11"/>
  <c r="M86" i="11"/>
  <c r="P86" i="11" s="1"/>
  <c r="Q192" i="10"/>
  <c r="M192" i="10"/>
  <c r="L197" i="9"/>
  <c r="K197" i="9"/>
  <c r="S49" i="11"/>
  <c r="O49" i="11"/>
  <c r="N49" i="11"/>
  <c r="M49" i="11"/>
  <c r="P49" i="11" s="1"/>
  <c r="Q100" i="10"/>
  <c r="M100" i="10"/>
  <c r="L83" i="9"/>
  <c r="K83" i="9"/>
  <c r="L59" i="9"/>
  <c r="K59" i="9"/>
  <c r="S38" i="11"/>
  <c r="O38" i="11"/>
  <c r="N38" i="11"/>
  <c r="M38" i="11"/>
  <c r="P38" i="11" s="1"/>
  <c r="Q80" i="10"/>
  <c r="M80" i="10"/>
  <c r="S63" i="11"/>
  <c r="O63" i="11"/>
  <c r="N63" i="11"/>
  <c r="M63" i="11"/>
  <c r="P63" i="11" s="1"/>
  <c r="Q148" i="10"/>
  <c r="M148" i="10"/>
  <c r="L138" i="9"/>
  <c r="K138" i="9"/>
  <c r="T73" i="11" l="1"/>
  <c r="T43" i="11"/>
  <c r="T35" i="11"/>
  <c r="T56" i="11"/>
  <c r="T74" i="11"/>
  <c r="T45" i="11"/>
  <c r="T86" i="11"/>
  <c r="T76" i="11"/>
  <c r="T77" i="11"/>
  <c r="T33" i="11"/>
  <c r="T37" i="11"/>
  <c r="T49" i="11"/>
  <c r="T38" i="11"/>
  <c r="T63" i="11"/>
  <c r="S39" i="11"/>
  <c r="O39" i="11"/>
  <c r="N39" i="11"/>
  <c r="M39" i="11"/>
  <c r="P39" i="11" s="1"/>
  <c r="Q83" i="10"/>
  <c r="M83" i="10"/>
  <c r="L61" i="9"/>
  <c r="K61" i="9"/>
  <c r="S46" i="11"/>
  <c r="O46" i="11"/>
  <c r="N46" i="11"/>
  <c r="M46" i="11"/>
  <c r="P46" i="11" s="1"/>
  <c r="Q90" i="10"/>
  <c r="M90" i="10"/>
  <c r="L71" i="9"/>
  <c r="K71" i="9"/>
  <c r="S58" i="11"/>
  <c r="O58" i="11"/>
  <c r="N58" i="11"/>
  <c r="M58" i="11"/>
  <c r="P58" i="11" s="1"/>
  <c r="M42" i="11"/>
  <c r="P42" i="11" s="1"/>
  <c r="N42" i="11"/>
  <c r="O42" i="11"/>
  <c r="S42" i="11"/>
  <c r="S44" i="11"/>
  <c r="O44" i="11"/>
  <c r="N44" i="11"/>
  <c r="M44" i="11"/>
  <c r="P44" i="11" s="1"/>
  <c r="M50" i="11"/>
  <c r="P50" i="11" s="1"/>
  <c r="N50" i="11"/>
  <c r="O50" i="11"/>
  <c r="S50" i="11"/>
  <c r="Q142" i="10"/>
  <c r="M142" i="10"/>
  <c r="L131" i="9"/>
  <c r="K131" i="9"/>
  <c r="Q141" i="10"/>
  <c r="M141" i="10"/>
  <c r="L130" i="9"/>
  <c r="K130" i="9"/>
  <c r="Q77" i="10"/>
  <c r="M77" i="10"/>
  <c r="L56" i="9"/>
  <c r="K56" i="9"/>
  <c r="Q122" i="10"/>
  <c r="M122" i="10"/>
  <c r="L110" i="9"/>
  <c r="K110" i="9"/>
  <c r="M63" i="10"/>
  <c r="Q63" i="10"/>
  <c r="K36" i="9"/>
  <c r="Q126" i="10"/>
  <c r="M126" i="10"/>
  <c r="L115" i="9"/>
  <c r="K115" i="9"/>
  <c r="S57" i="11"/>
  <c r="O57" i="11"/>
  <c r="N57" i="11"/>
  <c r="M57" i="11"/>
  <c r="P57" i="11" s="1"/>
  <c r="Q137" i="10"/>
  <c r="M137" i="10"/>
  <c r="BD33" i="26"/>
  <c r="BC33" i="26" s="1"/>
  <c r="L142" i="9" s="1"/>
  <c r="E39" i="26"/>
  <c r="D39" i="26"/>
  <c r="C39" i="26"/>
  <c r="F39" i="26" s="1"/>
  <c r="L125" i="9"/>
  <c r="K125" i="9"/>
  <c r="M59" i="11"/>
  <c r="P59" i="11" s="1"/>
  <c r="N59" i="11"/>
  <c r="O59" i="11"/>
  <c r="S59" i="11"/>
  <c r="M82" i="11"/>
  <c r="P82" i="11" s="1"/>
  <c r="N82" i="11"/>
  <c r="O82" i="11"/>
  <c r="S82" i="11"/>
  <c r="Q107" i="10"/>
  <c r="M107" i="10"/>
  <c r="BD34" i="26"/>
  <c r="BC26" i="26" s="1"/>
  <c r="L103" i="9" s="1"/>
  <c r="E21" i="26"/>
  <c r="D21" i="26"/>
  <c r="C21" i="26"/>
  <c r="F21" i="26" s="1"/>
  <c r="K90" i="9"/>
  <c r="Q182" i="10"/>
  <c r="M182" i="10"/>
  <c r="BD35" i="26"/>
  <c r="E40" i="26"/>
  <c r="D40" i="26"/>
  <c r="C40" i="26"/>
  <c r="F40" i="26" s="1"/>
  <c r="K183" i="9"/>
  <c r="Q143" i="10"/>
  <c r="M143" i="10"/>
  <c r="BD36" i="26"/>
  <c r="E31" i="26"/>
  <c r="D31" i="26"/>
  <c r="C31" i="26"/>
  <c r="F31" i="26" s="1"/>
  <c r="K132" i="9"/>
  <c r="M73" i="10"/>
  <c r="Q73" i="10"/>
  <c r="Q81" i="10"/>
  <c r="M81" i="10"/>
  <c r="K50" i="9"/>
  <c r="Q82" i="10"/>
  <c r="M82" i="10"/>
  <c r="L60" i="9"/>
  <c r="K60" i="9"/>
  <c r="Q86" i="10"/>
  <c r="M86" i="10"/>
  <c r="BD37" i="26"/>
  <c r="E12" i="26"/>
  <c r="D12" i="26"/>
  <c r="C12" i="26"/>
  <c r="F12" i="26" s="1"/>
  <c r="BC34" i="26" l="1"/>
  <c r="L145" i="9" s="1"/>
  <c r="BC35" i="26"/>
  <c r="L156" i="9" s="1"/>
  <c r="BC36" i="26"/>
  <c r="L159" i="9" s="1"/>
  <c r="BC22" i="26"/>
  <c r="L96" i="9" s="1"/>
  <c r="BC25" i="26"/>
  <c r="L101" i="9" s="1"/>
  <c r="BC29" i="26"/>
  <c r="L116" i="9" s="1"/>
  <c r="BC12" i="26"/>
  <c r="L36" i="9" s="1"/>
  <c r="T39" i="11"/>
  <c r="T46" i="11"/>
  <c r="T58" i="11"/>
  <c r="T42" i="11"/>
  <c r="T44" i="11"/>
  <c r="T50" i="11"/>
  <c r="T57" i="11"/>
  <c r="T59" i="11"/>
  <c r="T82" i="11"/>
  <c r="M195" i="10"/>
  <c r="P195" i="10"/>
  <c r="Q195" i="10" s="1"/>
  <c r="Q128" i="10" l="1"/>
  <c r="M128" i="10"/>
  <c r="BD38" i="26"/>
  <c r="E38" i="26"/>
  <c r="D38" i="26"/>
  <c r="C38" i="26"/>
  <c r="F38" i="26" s="1"/>
  <c r="K172" i="9"/>
  <c r="BC21" i="26" l="1"/>
  <c r="L90" i="9" s="1"/>
  <c r="BC37" i="26"/>
  <c r="E18" i="26"/>
  <c r="M88" i="10"/>
  <c r="Q88" i="10"/>
  <c r="BD39" i="26"/>
  <c r="BC14" i="26" s="1"/>
  <c r="L50" i="9" s="1"/>
  <c r="E14" i="26"/>
  <c r="D14" i="26"/>
  <c r="C14" i="26"/>
  <c r="F14" i="26" s="1"/>
  <c r="K66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40" i="26" l="1"/>
  <c r="D18" i="26"/>
  <c r="C18" i="26"/>
  <c r="F18" i="26" s="1"/>
  <c r="K69" i="9"/>
  <c r="BD41" i="26"/>
  <c r="BC40" i="26" l="1"/>
  <c r="K8740" i="18" s="1"/>
  <c r="M8740" i="18" s="1"/>
  <c r="BC41" i="26"/>
  <c r="BC31" i="26"/>
  <c r="K6484" i="18" s="1"/>
  <c r="M6484" i="18" s="1"/>
  <c r="BC39" i="26"/>
  <c r="L183" i="9"/>
  <c r="L66" i="9"/>
  <c r="BC38" i="26"/>
  <c r="BC18" i="26"/>
  <c r="L9" i="18"/>
  <c r="L132" i="9" l="1"/>
  <c r="L180" i="9"/>
  <c r="L181" i="9"/>
  <c r="K8720" i="18"/>
  <c r="M8720" i="18" s="1"/>
  <c r="K1945" i="18"/>
  <c r="M1945" i="18" s="1"/>
  <c r="K4908" i="18"/>
  <c r="M4908" i="18" s="1"/>
  <c r="L172" i="9"/>
  <c r="K8508" i="18"/>
  <c r="M8508" i="18" s="1"/>
  <c r="K1974" i="18"/>
  <c r="M1974" i="18" s="1"/>
  <c r="L69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16" i="10"/>
  <c r="R128" i="10"/>
  <c r="R38" i="10"/>
  <c r="R195" i="10"/>
  <c r="N38" i="10"/>
  <c r="O38" i="10"/>
  <c r="R181" i="10"/>
  <c r="R98" i="10"/>
  <c r="R130" i="10"/>
  <c r="R66" i="10"/>
  <c r="R93" i="10"/>
  <c r="R133" i="10"/>
  <c r="R22" i="10"/>
  <c r="R153" i="10"/>
  <c r="R129" i="10"/>
  <c r="R150" i="10"/>
  <c r="R122" i="10"/>
  <c r="R112" i="10"/>
  <c r="R81" i="10"/>
  <c r="R106" i="10"/>
  <c r="R19" i="10"/>
  <c r="N195" i="10"/>
  <c r="O195" i="10"/>
  <c r="N19" i="10"/>
  <c r="O19" i="10"/>
  <c r="R10" i="10"/>
  <c r="R62" i="10"/>
  <c r="R142" i="10"/>
  <c r="O98" i="10"/>
  <c r="N98" i="10"/>
  <c r="O130" i="10"/>
  <c r="N130" i="10"/>
  <c r="R104" i="10"/>
  <c r="O93" i="10"/>
  <c r="N93" i="10"/>
  <c r="O133" i="10"/>
  <c r="N133" i="10"/>
  <c r="R118" i="10"/>
  <c r="R29" i="10"/>
  <c r="N27" i="10"/>
  <c r="O27" i="10"/>
  <c r="R27" i="10"/>
  <c r="N145" i="10"/>
  <c r="O145" i="10"/>
  <c r="R145" i="10"/>
  <c r="N128" i="10"/>
  <c r="O128" i="10"/>
  <c r="R80" i="10"/>
  <c r="N140" i="10"/>
  <c r="O140" i="10"/>
  <c r="R140" i="10"/>
  <c r="O16" i="10"/>
  <c r="N16" i="10"/>
  <c r="N89" i="10"/>
  <c r="O89" i="10"/>
  <c r="R89" i="10"/>
  <c r="R186" i="10"/>
  <c r="R139" i="10"/>
  <c r="R82" i="10"/>
  <c r="N180" i="10"/>
  <c r="O180" i="10"/>
  <c r="R180" i="10"/>
  <c r="N176" i="10"/>
  <c r="O176" i="10"/>
  <c r="R176" i="10"/>
  <c r="N138" i="10"/>
  <c r="O138" i="10"/>
  <c r="R138" i="10"/>
  <c r="N164" i="10"/>
  <c r="O164" i="10"/>
  <c r="R164" i="10"/>
  <c r="N185" i="10"/>
  <c r="O185" i="10"/>
  <c r="R185" i="10"/>
  <c r="N154" i="10"/>
  <c r="O154" i="10"/>
  <c r="R154" i="10"/>
  <c r="N12" i="10"/>
  <c r="O12" i="10"/>
  <c r="R12" i="10"/>
  <c r="R23" i="10"/>
  <c r="N52" i="10"/>
  <c r="O52" i="10"/>
  <c r="R52" i="10"/>
  <c r="N90" i="10"/>
  <c r="O90" i="10"/>
  <c r="R90" i="10"/>
  <c r="N158" i="10"/>
  <c r="O158" i="10"/>
  <c r="R158" i="10"/>
  <c r="N110" i="10"/>
  <c r="O110" i="10"/>
  <c r="R110" i="10"/>
  <c r="O29" i="10"/>
  <c r="N29" i="10"/>
  <c r="N74" i="10"/>
  <c r="O74" i="10"/>
  <c r="R74" i="10"/>
  <c r="N80" i="10"/>
  <c r="O80" i="10"/>
  <c r="N135" i="10"/>
  <c r="O135" i="10"/>
  <c r="R135" i="10"/>
  <c r="N131" i="10"/>
  <c r="O131" i="10"/>
  <c r="R131" i="10"/>
  <c r="R72" i="10"/>
  <c r="N66" i="10"/>
  <c r="O66" i="10"/>
  <c r="N97" i="10"/>
  <c r="O97" i="10"/>
  <c r="R97" i="10"/>
  <c r="N186" i="10"/>
  <c r="O186" i="10"/>
  <c r="N82" i="10"/>
  <c r="O82" i="10"/>
  <c r="N42" i="10"/>
  <c r="O42" i="10"/>
  <c r="R42" i="10"/>
  <c r="R67" i="10"/>
  <c r="R137" i="10"/>
  <c r="R45" i="10"/>
  <c r="R163" i="10"/>
  <c r="R111" i="10"/>
  <c r="R9" i="10"/>
  <c r="R11" i="10"/>
  <c r="N36" i="10"/>
  <c r="O36" i="10"/>
  <c r="R36" i="10"/>
  <c r="R47" i="10"/>
  <c r="R134" i="10"/>
  <c r="O47" i="10"/>
  <c r="N47" i="10"/>
  <c r="N167" i="10"/>
  <c r="O167" i="10"/>
  <c r="R167" i="10"/>
  <c r="R96" i="10"/>
  <c r="N96" i="10"/>
  <c r="O96" i="10"/>
  <c r="R37" i="10"/>
  <c r="R70" i="10"/>
  <c r="N71" i="10"/>
  <c r="O71" i="10"/>
  <c r="R71" i="10"/>
  <c r="N22" i="10"/>
  <c r="O22" i="10"/>
  <c r="N21" i="10"/>
  <c r="O21" i="10"/>
  <c r="R21" i="10"/>
  <c r="R170" i="10"/>
  <c r="N153" i="10"/>
  <c r="O153" i="10"/>
  <c r="N178" i="10"/>
  <c r="O178" i="10"/>
  <c r="R178" i="10"/>
  <c r="N129" i="10"/>
  <c r="O129" i="10"/>
  <c r="N123" i="10"/>
  <c r="O123" i="10"/>
  <c r="R123" i="10"/>
  <c r="N150" i="10"/>
  <c r="O150" i="10"/>
  <c r="N51" i="10"/>
  <c r="O51" i="10"/>
  <c r="R51" i="10"/>
  <c r="R107" i="10"/>
  <c r="N152" i="10"/>
  <c r="O152" i="10"/>
  <c r="R152" i="10"/>
  <c r="N170" i="10"/>
  <c r="O170" i="10"/>
  <c r="R141" i="10"/>
  <c r="N112" i="10"/>
  <c r="O112" i="10"/>
  <c r="N116" i="10"/>
  <c r="O116" i="10"/>
  <c r="R116" i="10"/>
  <c r="N81" i="10"/>
  <c r="O81" i="10"/>
  <c r="N125" i="10"/>
  <c r="O125" i="10"/>
  <c r="R125" i="10"/>
  <c r="N106" i="10"/>
  <c r="O106" i="10"/>
  <c r="N78" i="10"/>
  <c r="O78" i="10"/>
  <c r="R78" i="10"/>
  <c r="N134" i="10"/>
  <c r="O134" i="10"/>
  <c r="N10" i="10"/>
  <c r="O10" i="10"/>
  <c r="N62" i="10"/>
  <c r="O62" i="10"/>
  <c r="N181" i="10"/>
  <c r="O181" i="10"/>
  <c r="N142" i="10"/>
  <c r="O142" i="10"/>
  <c r="N192" i="10"/>
  <c r="O192" i="10"/>
  <c r="R192" i="10"/>
  <c r="R26" i="10"/>
  <c r="N104" i="10"/>
  <c r="O104" i="10"/>
  <c r="R31" i="10"/>
  <c r="N70" i="10"/>
  <c r="O70" i="10"/>
  <c r="N85" i="10"/>
  <c r="O85" i="10"/>
  <c r="R85" i="10"/>
  <c r="N13" i="10"/>
  <c r="O13" i="10"/>
  <c r="R13" i="10"/>
  <c r="N87" i="10"/>
  <c r="O87" i="10"/>
  <c r="R87" i="10"/>
  <c r="N175" i="10"/>
  <c r="O175" i="10"/>
  <c r="R175" i="10"/>
  <c r="N41" i="10"/>
  <c r="O41" i="10"/>
  <c r="R41" i="10"/>
  <c r="N34" i="10"/>
  <c r="O34" i="10"/>
  <c r="R34" i="10"/>
  <c r="N114" i="10"/>
  <c r="O114" i="10"/>
  <c r="R114" i="10"/>
  <c r="N151" i="10"/>
  <c r="O151" i="10"/>
  <c r="R151" i="10"/>
  <c r="N73" i="10"/>
  <c r="O73" i="10"/>
  <c r="R73" i="10"/>
  <c r="R60" i="10"/>
  <c r="N17" i="10"/>
  <c r="O17" i="10"/>
  <c r="R17" i="10"/>
  <c r="R194" i="10"/>
  <c r="N183" i="10"/>
  <c r="O183" i="10"/>
  <c r="R183" i="10"/>
  <c r="O67" i="10"/>
  <c r="N67" i="10"/>
  <c r="N54" i="10"/>
  <c r="O54" i="10"/>
  <c r="R54" i="10"/>
  <c r="O45" i="10"/>
  <c r="N45" i="10"/>
  <c r="N99" i="10"/>
  <c r="O99" i="10"/>
  <c r="R99" i="10"/>
  <c r="N174" i="10"/>
  <c r="O174" i="10"/>
  <c r="R174" i="10"/>
  <c r="O9" i="10"/>
  <c r="N9" i="10"/>
  <c r="R147" i="10"/>
  <c r="O11" i="10"/>
  <c r="N11" i="10"/>
  <c r="R156" i="10"/>
  <c r="N122" i="10"/>
  <c r="O122" i="10"/>
  <c r="O37" i="10"/>
  <c r="N37" i="10"/>
  <c r="O141" i="10"/>
  <c r="N141" i="10"/>
  <c r="R58" i="10"/>
  <c r="R172" i="10"/>
  <c r="R115" i="10"/>
  <c r="R59" i="10"/>
  <c r="N60" i="10"/>
  <c r="O60" i="10"/>
  <c r="R189" i="10"/>
  <c r="R191" i="10"/>
  <c r="N194" i="10"/>
  <c r="O194" i="10"/>
  <c r="R65" i="10"/>
  <c r="O107" i="10"/>
  <c r="N107" i="10"/>
  <c r="O23" i="10"/>
  <c r="N23" i="10"/>
  <c r="O58" i="10"/>
  <c r="N58" i="10"/>
  <c r="R113" i="10"/>
  <c r="R91" i="10"/>
  <c r="R20" i="10"/>
  <c r="R100" i="10"/>
  <c r="R48" i="10"/>
  <c r="R50" i="10"/>
  <c r="N132" i="10"/>
  <c r="O132" i="10"/>
  <c r="R132" i="10"/>
  <c r="N105" i="10"/>
  <c r="O105" i="10"/>
  <c r="R105" i="10"/>
  <c r="N155" i="10"/>
  <c r="O155" i="10"/>
  <c r="R155" i="10"/>
  <c r="N173" i="10"/>
  <c r="O173" i="10"/>
  <c r="R173" i="10"/>
  <c r="N137" i="10"/>
  <c r="O137" i="10"/>
  <c r="N79" i="10"/>
  <c r="O79" i="10"/>
  <c r="R79" i="10"/>
  <c r="N163" i="10"/>
  <c r="O163" i="10"/>
  <c r="N84" i="10"/>
  <c r="O84" i="10"/>
  <c r="R84" i="10"/>
  <c r="N111" i="10"/>
  <c r="O111" i="10"/>
  <c r="N88" i="10"/>
  <c r="O88" i="10"/>
  <c r="R88" i="10"/>
  <c r="N25" i="10"/>
  <c r="O25" i="10"/>
  <c r="R25" i="10"/>
  <c r="N118" i="10"/>
  <c r="O118" i="10"/>
  <c r="R148" i="10"/>
  <c r="N55" i="10"/>
  <c r="O55" i="10"/>
  <c r="R55" i="10"/>
  <c r="N147" i="10"/>
  <c r="O147" i="10"/>
  <c r="N31" i="10"/>
  <c r="O31" i="10"/>
  <c r="R77" i="10"/>
  <c r="N146" i="10"/>
  <c r="O146" i="10"/>
  <c r="R146" i="10"/>
  <c r="N168" i="10"/>
  <c r="O168" i="10"/>
  <c r="R168" i="10"/>
  <c r="N139" i="10"/>
  <c r="O139" i="10"/>
  <c r="N165" i="10"/>
  <c r="O165" i="10"/>
  <c r="R165" i="10"/>
  <c r="N35" i="10"/>
  <c r="O35" i="10"/>
  <c r="R35" i="10"/>
  <c r="O72" i="10"/>
  <c r="N72" i="10"/>
  <c r="N26" i="10"/>
  <c r="O26" i="10"/>
  <c r="N14" i="10"/>
  <c r="O14" i="10"/>
  <c r="R14" i="10"/>
  <c r="N33" i="10"/>
  <c r="O33" i="10"/>
  <c r="R33" i="10"/>
  <c r="N172" i="10"/>
  <c r="O172" i="10"/>
  <c r="N39" i="10"/>
  <c r="O39" i="10"/>
  <c r="R39" i="10"/>
  <c r="N30" i="10"/>
  <c r="O30" i="10"/>
  <c r="R30" i="10"/>
  <c r="N127" i="10"/>
  <c r="O127" i="10"/>
  <c r="R127" i="10"/>
  <c r="N83" i="10"/>
  <c r="O83" i="10"/>
  <c r="R83" i="10"/>
  <c r="N101" i="10"/>
  <c r="O101" i="10"/>
  <c r="R101" i="10"/>
  <c r="R56" i="10"/>
  <c r="N166" i="10"/>
  <c r="O166" i="10"/>
  <c r="R166" i="10"/>
  <c r="N136" i="10"/>
  <c r="O136" i="10"/>
  <c r="R136" i="10"/>
  <c r="N159" i="10"/>
  <c r="O159" i="10"/>
  <c r="R159" i="10"/>
  <c r="N190" i="10"/>
  <c r="O190" i="10"/>
  <c r="R190" i="10"/>
  <c r="N117" i="10"/>
  <c r="O117" i="10"/>
  <c r="R117" i="10"/>
  <c r="N144" i="10"/>
  <c r="O144" i="10"/>
  <c r="R144" i="10"/>
  <c r="N40" i="10"/>
  <c r="O40" i="10"/>
  <c r="R40" i="10"/>
  <c r="N108" i="10"/>
  <c r="O108" i="10"/>
  <c r="R108" i="10"/>
  <c r="N75" i="10"/>
  <c r="O75" i="10"/>
  <c r="R75" i="10"/>
  <c r="N187" i="10"/>
  <c r="O187" i="10"/>
  <c r="R187" i="10"/>
  <c r="N143" i="10"/>
  <c r="O143" i="10"/>
  <c r="R143" i="10"/>
  <c r="N92" i="10"/>
  <c r="O92" i="10"/>
  <c r="R92" i="10"/>
  <c r="N121" i="10"/>
  <c r="O121" i="10"/>
  <c r="R121" i="10"/>
  <c r="N124" i="10"/>
  <c r="O124" i="10"/>
  <c r="R124" i="10"/>
  <c r="N61" i="10"/>
  <c r="O61" i="10"/>
  <c r="R61" i="10"/>
  <c r="N57" i="10"/>
  <c r="O57" i="10"/>
  <c r="R57" i="10"/>
  <c r="N15" i="10"/>
  <c r="O15" i="10"/>
  <c r="R15" i="10"/>
  <c r="R160" i="10"/>
  <c r="N95" i="10"/>
  <c r="O95" i="10"/>
  <c r="R95" i="10"/>
  <c r="N28" i="10"/>
  <c r="O28" i="10"/>
  <c r="R28" i="10"/>
  <c r="N193" i="10"/>
  <c r="O193" i="10"/>
  <c r="R193" i="10"/>
  <c r="N115" i="10"/>
  <c r="O115" i="10"/>
  <c r="N59" i="10"/>
  <c r="O59" i="10"/>
  <c r="N189" i="10"/>
  <c r="O189" i="10"/>
  <c r="N148" i="10"/>
  <c r="O148" i="10"/>
  <c r="N191" i="10"/>
  <c r="O191" i="10"/>
  <c r="N156" i="10"/>
  <c r="O156" i="10"/>
  <c r="N162" i="10"/>
  <c r="O162" i="10"/>
  <c r="R162" i="10"/>
  <c r="N65" i="10"/>
  <c r="O65" i="10"/>
  <c r="N77" i="10"/>
  <c r="O77" i="10"/>
  <c r="N119" i="10"/>
  <c r="O119" i="10"/>
  <c r="R119" i="10"/>
  <c r="N86" i="10"/>
  <c r="O86" i="10"/>
  <c r="R86" i="10"/>
  <c r="N160" i="10"/>
  <c r="O160" i="10"/>
  <c r="N68" i="10"/>
  <c r="O68" i="10"/>
  <c r="R68" i="10"/>
  <c r="N113" i="10"/>
  <c r="O113" i="10"/>
  <c r="N91" i="10"/>
  <c r="O91" i="10"/>
  <c r="N64" i="10"/>
  <c r="O64" i="10"/>
  <c r="R64" i="10"/>
  <c r="N20" i="10"/>
  <c r="O20" i="10"/>
  <c r="N177" i="10"/>
  <c r="O177" i="10"/>
  <c r="R177" i="10"/>
  <c r="N100" i="10"/>
  <c r="O100" i="10"/>
  <c r="N46" i="10"/>
  <c r="O46" i="10"/>
  <c r="R46" i="10"/>
  <c r="N48" i="10"/>
  <c r="O48" i="10"/>
  <c r="N179" i="10"/>
  <c r="O179" i="10"/>
  <c r="R179" i="10"/>
  <c r="N50" i="10"/>
  <c r="O50" i="10"/>
  <c r="N18" i="10"/>
  <c r="O18" i="10"/>
  <c r="R18" i="10"/>
  <c r="N44" i="10"/>
  <c r="O44" i="10"/>
  <c r="R44" i="10"/>
  <c r="N169" i="10"/>
  <c r="O169" i="10"/>
  <c r="R169" i="10"/>
  <c r="N102" i="10"/>
  <c r="O102" i="10"/>
  <c r="R102" i="10"/>
  <c r="N94" i="10"/>
  <c r="O94" i="10"/>
  <c r="R94" i="10"/>
  <c r="N182" i="10"/>
  <c r="O182" i="10"/>
  <c r="R182" i="10"/>
  <c r="N49" i="10"/>
  <c r="O49" i="10"/>
  <c r="R49" i="10"/>
  <c r="O56" i="10"/>
  <c r="N56" i="10"/>
  <c r="N76" i="10"/>
  <c r="O76" i="10"/>
  <c r="R76" i="10"/>
  <c r="N24" i="10"/>
  <c r="O24" i="10"/>
  <c r="R24" i="10"/>
  <c r="N149" i="10"/>
  <c r="O149" i="10"/>
  <c r="R149" i="10"/>
  <c r="N63" i="10"/>
  <c r="O63" i="10"/>
  <c r="R63" i="10"/>
  <c r="N53" i="10"/>
  <c r="O53" i="10"/>
  <c r="R53" i="10"/>
  <c r="N43" i="10"/>
  <c r="O43" i="10"/>
  <c r="R43" i="10"/>
  <c r="N171" i="10"/>
  <c r="O171" i="10"/>
  <c r="R171" i="10"/>
  <c r="N161" i="10"/>
  <c r="O161" i="10"/>
  <c r="R161" i="10"/>
  <c r="N69" i="10"/>
  <c r="O69" i="10"/>
  <c r="R69" i="10"/>
  <c r="N32" i="10"/>
  <c r="O32" i="10"/>
  <c r="R32" i="10"/>
  <c r="N109" i="10"/>
  <c r="O109" i="10"/>
  <c r="R109" i="10"/>
  <c r="N188" i="10"/>
  <c r="O188" i="10"/>
  <c r="R188" i="10"/>
  <c r="N157" i="10"/>
  <c r="O157" i="10"/>
  <c r="R157" i="10"/>
  <c r="N120" i="10"/>
  <c r="O120" i="10"/>
  <c r="R120" i="10"/>
  <c r="N126" i="10"/>
  <c r="O126" i="10"/>
  <c r="R126" i="10"/>
  <c r="N184" i="10"/>
  <c r="O184" i="10"/>
  <c r="R184" i="10"/>
  <c r="N103" i="10"/>
  <c r="O103" i="10"/>
  <c r="R103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<sst xmlns="http://schemas.openxmlformats.org/spreadsheetml/2006/main" count="2650" uniqueCount="531">
  <si>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</si>
  <si>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</si>
  <si>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</si>
  <si>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</si>
  <si>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</si>
  <si>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</si>
  <si>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</si>
  <si>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</si>
  <si>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</si>
  <si>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</si>
  <si>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</si>
  <si>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</si>
  <si>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</si>
  <si>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</si>
  <si>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</si>
  <si>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</si>
  <si>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</si>
  <si>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</si>
  <si>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</si>
  <si>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</si>
  <si>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</si>
  <si>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</si>
  <si>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</si>
  <si>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</si>
  <si>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</si>
  <si>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</si>
  <si>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</si>
  <si>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</si>
  <si>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</si>
  <si>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</si>
  <si>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</si>
  <si>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</si>
  <si>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</si>
  <si>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</si>
  <si>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</si>
  <si>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</si>
  <si>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</si>
  <si>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</si>
  <si>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</si>
  <si>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</si>
  <si>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</si>
  <si>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</si>
  <si>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</si>
  <si>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</si>
  <si>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</si>
  <si>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</si>
  <si>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</si>
  <si>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</si>
  <si>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</si>
  <si>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</si>
  <si>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</si>
  <si>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</si>
  <si>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</si>
  <si>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</si>
  <si>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</si>
  <si>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</si>
  <si>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</si>
  <si>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</si>
  <si>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</si>
  <si>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</si>
  <si>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</si>
  <si>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</si>
  <si>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</si>
  <si>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</si>
  <si>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</si>
  <si>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</si>
  <si>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</si>
  <si>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</si>
  <si>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</si>
  <si>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</si>
  <si>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</si>
  <si>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</si>
  <si>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</si>
  <si>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</si>
  <si>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</si>
  <si>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</si>
  <si>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</si>
  <si>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</si>
  <si>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</si>
  <si>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</si>
  <si>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</si>
  <si>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</si>
  <si>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</si>
  <si>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</si>
  <si>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</si>
  <si>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</si>
  <si>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</si>
  <si>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</si>
  <si>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</si>
  <si>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</si>
  <si>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</si>
  <si>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</si>
  <si>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</si>
  <si>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</si>
  <si>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</si>
  <si>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</si>
  <si>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</si>
  <si>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</si>
  <si>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</si>
  <si>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</si>
  <si>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</si>
  <si>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</si>
  <si>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</si>
  <si>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</si>
  <si>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</si>
  <si>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</si>
  <si>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</si>
  <si>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</si>
  <si>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</si>
  <si>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</si>
  <si>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</si>
  <si>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</si>
  <si>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</si>
  <si>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</si>
  <si>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</si>
  <si>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</si>
  <si>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</si>
  <si>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</si>
  <si>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</si>
  <si>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</si>
  <si>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</si>
  <si>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</si>
  <si>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</si>
  <si>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</si>
  <si>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</si>
  <si>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</si>
  <si>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</si>
  <si>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</si>
  <si>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</si>
  <si>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</si>
  <si>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</si>
  <si>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</si>
  <si>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</si>
  <si>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</si>
  <si>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</si>
  <si>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</si>
  <si>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</si>
  <si>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</si>
  <si>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</si>
  <si>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</si>
  <si>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</si>
  <si>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</si>
  <si>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</si>
  <si>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</si>
  <si>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</si>
  <si>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</si>
  <si>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</si>
  <si>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</si>
  <si>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</si>
  <si>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</si>
  <si>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</si>
  <si>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</si>
  <si>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</si>
  <si>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</si>
  <si>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</si>
  <si>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</si>
  <si>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</si>
  <si>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</si>
  <si>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</si>
  <si>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</si>
  <si>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</si>
  <si>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</si>
  <si>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</si>
  <si>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</si>
  <si>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</si>
  <si>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</si>
  <si>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</si>
  <si>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</si>
  <si>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</si>
  <si>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</si>
  <si>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</si>
  <si>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</si>
  <si>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</si>
  <si>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</si>
  <si>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</si>
  <si>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</si>
  <si>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</si>
  <si>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</si>
  <si>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</si>
  <si>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</si>
  <si>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</si>
  <si>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</si>
  <si>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</si>
  <si>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</si>
  <si>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</si>
  <si>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</si>
  <si>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</si>
  <si>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</si>
  <si>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</si>
  <si>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</si>
  <si>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</si>
  <si>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</si>
  <si>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</si>
  <si>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</si>
  <si>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</si>
  <si>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</si>
  <si>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</si>
  <si>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</si>
  <si>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</si>
  <si>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</si>
  <si>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</si>
  <si>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</si>
  <si>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</si>
  <si>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</si>
  <si>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</si>
  <si>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</si>
  <si>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</si>
  <si>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</si>
  <si>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</si>
  <si>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</si>
  <si>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</si>
  <si>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</si>
  <si>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</si>
  <si>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</si>
  <si>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</si>
  <si>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</si>
  <si>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</si>
  <si>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</si>
  <si>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</si>
  <si>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</si>
  <si>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</si>
  <si>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</si>
  <si>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</si>
  <si>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</si>
  <si>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</si>
  <si>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</si>
  <si>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</si>
  <si>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</si>
  <si>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</si>
  <si>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</si>
  <si>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</si>
  <si>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</si>
  <si>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</si>
  <si>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</si>
  <si>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</si>
  <si>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</si>
  <si>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</si>
  <si>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</si>
  <si>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</si>
  <si>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</si>
  <si>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</si>
  <si>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</si>
  <si>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</si>
  <si>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</si>
  <si>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</si>
  <si>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</si>
  <si>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</si>
  <si>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</si>
  <si>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</si>
  <si>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</si>
  <si>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</si>
  <si>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</si>
  <si>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</si>
  <si>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</si>
  <si>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</si>
  <si>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</si>
  <si>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</si>
  <si>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</si>
  <si>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</si>
  <si>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</si>
  <si>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</si>
  <si>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</si>
  <si>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</si>
  <si>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</si>
  <si>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</si>
  <si>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</si>
  <si>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</si>
  <si>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</si>
  <si>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</si>
  <si>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</si>
  <si>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</si>
  <si>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</si>
  <si>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</si>
  <si>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</si>
  <si>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</si>
  <si>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</si>
  <si>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</si>
  <si>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</si>
  <si>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</si>
  <si>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</si>
  <si>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</si>
  <si>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</si>
  <si>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</si>
  <si>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</si>
  <si>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</si>
  <si>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</si>
  <si>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</si>
  <si>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</si>
  <si>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</si>
  <si>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</si>
  <si>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</si>
  <si>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</si>
  <si>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</si>
  <si>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</si>
  <si>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</si>
  <si>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</si>
  <si>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</si>
  <si>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</si>
  <si>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</si>
  <si>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</si>
  <si>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</si>
  <si>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</si>
  <si>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</si>
  <si>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</si>
  <si>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</si>
  <si>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</si>
  <si>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</si>
  <si>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</si>
  <si>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</si>
  <si>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</si>
  <si>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</si>
  <si>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</si>
  <si>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</si>
  <si>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</si>
  <si>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</si>
  <si>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</si>
  <si>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</si>
  <si>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</si>
  <si>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</si>
  <si>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</si>
  <si>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</si>
  <si>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</si>
  <si>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</si>
  <si>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</si>
  <si>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</si>
  <si>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</si>
  <si>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</si>
  <si>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</si>
  <si>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</si>
  <si>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</si>
  <si>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</si>
  <si>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</si>
  <si>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</si>
  <si>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</si>
  <si>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</si>
  <si>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</si>
  <si>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</si>
  <si>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</si>
  <si>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</si>
  <si>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</si>
  <si>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</si>
  <si>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</si>
  <si>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</si>
  <si>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</si>
  <si>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</si>
  <si>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</si>
  <si>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</si>
  <si>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</si>
  <si>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</si>
  <si>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</si>
  <si>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</si>
  <si>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</si>
  <si>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</si>
  <si>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</si>
  <si>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</si>
  <si>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</si>
  <si>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</si>
  <si>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</si>
  <si>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</si>
  <si>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</si>
  <si>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</si>
  <si>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</si>
  <si>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</si>
  <si>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</si>
  <si>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</si>
  <si>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</si>
  <si>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</si>
  <si>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</si>
  <si>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</si>
  <si>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</si>
  <si>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</si>
  <si>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</si>
  <si>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</si>
  <si>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</si>
  <si>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</si>
  <si>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</si>
  <si>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</si>
  <si>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</si>
  <si>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</si>
  <si>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</si>
  <si>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</si>
  <si>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</si>
  <si>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</si>
  <si>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</si>
  <si>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</si>
  <si>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</si>
  <si>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</si>
  <si>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</si>
  <si>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</si>
  <si>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</si>
  <si>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</si>
  <si>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</si>
  <si>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</si>
  <si>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</si>
  <si>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</si>
  <si>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</si>
  <si>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</si>
  <si>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</si>
  <si>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</si>
  <si>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</si>
  <si>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</si>
  <si>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</si>
  <si>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</si>
  <si>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</si>
  <si>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</si>
  <si>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</si>
  <si>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</si>
  <si>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</si>
  <si>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</si>
  <si>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</si>
  <si>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</si>
  <si>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</si>
  <si>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</si>
  <si>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</si>
  <si>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</si>
  <si>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</si>
  <si>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</si>
  <si>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</si>
  <si>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</si>
  <si>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</si>
  <si>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</si>
  <si>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</si>
  <si>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</si>
  <si>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</si>
  <si>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</si>
  <si>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</si>
  <si>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</si>
  <si>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</si>
  <si>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</si>
  <si>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</si>
  <si>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</si>
  <si>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</si>
  <si>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</si>
  <si>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</si>
  <si>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</si>
  <si>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</si>
  <si>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</si>
  <si>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</si>
  <si>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</si>
  <si>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</si>
  <si>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</si>
  <si>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</si>
  <si>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</si>
  <si>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</si>
  <si>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</si>
  <si>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</si>
  <si>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</si>
  <si>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</si>
  <si>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</si>
  <si>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</si>
  <si>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</si>
  <si>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</si>
  <si>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</si>
  <si>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</si>
  <si>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</si>
  <si>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</si>
  <si>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</si>
  <si>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</si>
  <si>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</si>
  <si>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</si>
  <si>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</si>
  <si>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</si>
  <si>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</si>
  <si>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</si>
  <si>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</si>
  <si>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</si>
  <si>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</si>
  <si>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</si>
  <si>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</si>
  <si>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</si>
  <si>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</si>
  <si>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</si>
  <si>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</si>
  <si>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</si>
  <si>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</si>
  <si>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EMILIA USECHE</t>
  </si>
  <si>
    <t>CRA 17 #9BIS -52</t>
  </si>
  <si>
    <t>CRA 17 #9BIS-52</t>
  </si>
  <si>
    <t>PABLO MESA</t>
  </si>
  <si>
    <t>CALLE 11 # 1-35</t>
  </si>
  <si>
    <t>SANDRA MILENA MURILLO LONGA</t>
  </si>
  <si>
    <t>MARICELA CAICEDO MORENO</t>
  </si>
  <si>
    <t>CRA 2A #13-102</t>
  </si>
  <si>
    <t>SANDRA P. MURILLO A.</t>
  </si>
  <si>
    <t>CALLE 9 #6-11</t>
  </si>
  <si>
    <t>EDGAR FLORES MOLINA</t>
  </si>
  <si>
    <t>CALLE 17 #7-38</t>
  </si>
  <si>
    <t>HUGO ANDERSON MURILLO LONGA</t>
  </si>
  <si>
    <t xml:space="preserve"> HUGO ANDERSON MURILLO LONGA</t>
  </si>
  <si>
    <t>WENDY JHOANA MURILLO PACHECO</t>
  </si>
  <si>
    <t>CARRERA 4 #12-09</t>
  </si>
  <si>
    <t>DIANA CAROLINA BARON E.</t>
  </si>
  <si>
    <t>MANZ. 4 CASA 20</t>
  </si>
  <si>
    <t>PEREIRA</t>
  </si>
  <si>
    <t>MARIA EUGENIA MURILLO LONGA</t>
  </si>
  <si>
    <t>CALLE 15 # 12-58</t>
  </si>
  <si>
    <t>YOLANDA VALENCIA</t>
  </si>
  <si>
    <t>CRA 8 #11-02</t>
  </si>
  <si>
    <t>LUZ AYDA ECHEVERRY PARRA</t>
  </si>
  <si>
    <t>CRA 17 #11-78</t>
  </si>
  <si>
    <t>LUIS ALBERTO GARCIA</t>
  </si>
  <si>
    <t>ANA  MILENA RUIZ ESPINOSA</t>
  </si>
  <si>
    <t>GORGONA</t>
  </si>
  <si>
    <t>NELLY MOSQUERA VELAZQUEZ</t>
  </si>
  <si>
    <t>CRA 6 #5-30</t>
  </si>
  <si>
    <t>DERLY YINETH VERA PATIÑO</t>
  </si>
  <si>
    <t>CALLE 12 #5-38</t>
  </si>
  <si>
    <t>MARITZA URDINOLA HINCAPIE</t>
  </si>
  <si>
    <t>CRA 2A # 12-34</t>
  </si>
  <si>
    <t>CARLOS CASTRILLON</t>
  </si>
  <si>
    <t>CRA 1 #11-20</t>
  </si>
  <si>
    <t>LUZ ANGELICA MUÑOZ PEREIRA</t>
  </si>
  <si>
    <t>CALLE 7 #2-02</t>
  </si>
  <si>
    <t>FLORIANA LONGA</t>
  </si>
  <si>
    <t>CALLE 9 # 5C-27</t>
  </si>
  <si>
    <t>CARLOS ERNESTO MORENO C.</t>
  </si>
  <si>
    <t>CALLE 9 # 6-20</t>
  </si>
  <si>
    <t>ANGELA ZULAY GUTIERREZ PORTELA</t>
  </si>
  <si>
    <t>CALLE 12 #5-40</t>
  </si>
  <si>
    <t>HUGO MURILLO LONGA</t>
  </si>
  <si>
    <t>OSCAR MARINO GONZALEZ LONDOÑO</t>
  </si>
  <si>
    <t>CALLE 13 # 4-29</t>
  </si>
  <si>
    <t>YOLANDA HERRERA</t>
  </si>
  <si>
    <t>CRA 5 #10-36</t>
  </si>
  <si>
    <t xml:space="preserve"> HUGO MURILLO</t>
  </si>
  <si>
    <t>CRA 5 # 10-36</t>
  </si>
  <si>
    <t>GUIDO ALEXANDER DELGADO</t>
  </si>
  <si>
    <t>CRA 7 # 2-34</t>
  </si>
  <si>
    <t>CARLOS ANDRES MONTAÑO MONTAÑO</t>
  </si>
  <si>
    <t>CRA 18 #11-23</t>
  </si>
  <si>
    <t>GIRLENA MORALES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</si>
</sst>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199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199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194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91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81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62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85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76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75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55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67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20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99" totalsRowShown="0" headerRowDxfId="91" headerRowBorderDxfId="90" tableBorderDxfId="89" totalsRowBorderDxfId="88">
  <autoFilter ref="B8:L199">
    <filterColumn colId="0">
      <filters>
        <filter val="2629"/>
      </filters>
    </filterColumn>
  </autoFilter>
  <sortState ref="B86:L86">
    <sortCondition ref="B8:B198"/>
  </sortState>
  <tableColumns count="11">
    <tableColumn id="1" name="N° BONO" dataDxfId="87" dataCellStyle="Millares [0]"/>
    <tableColumn id="2" name="FECHA      " dataDxfId="86"/>
    <tableColumn id="3" name="NOMBRE PERSONA" dataDxfId="85"/>
    <tableColumn id="4" name="DIRECCION" dataDxfId="84"/>
    <tableColumn id="5" name="TELEFONO" dataDxfId="83"/>
    <tableColumn id="6" name="DOCUMENTO" dataDxfId="82"/>
    <tableColumn id="11" name="CIUDAD" dataDxfId="81"/>
    <tableColumn id="10" name="DEPARTAMENTO" dataDxfId="80"/>
    <tableColumn id="7" name="NOMBRE VENDEDOR" dataDxfId="79"/>
    <tableColumn id="8" name="VALOR" dataDxfId="78">
      <calculatedColumnFormula>IF(C9&gt;43607,130000,105000)</calculatedColumnFormula>
    </tableColumn>
    <tableColumn id="9" name="VALOR RESTANTE" dataDxfId="77">
      <calculatedColumnFormula>VLOOKUP(B9,'REGISTRO ABONOS'!$B$8:$BC$10038,54,0)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95" totalsRowShown="0" headerRowDxfId="76" headerRowBorderDxfId="75" tableBorderDxfId="74" totalsRowBorderDxfId="73">
  <autoFilter ref="B8:R195">
    <filterColumn colId="0">
      <filters>
        <filter val="3155"/>
      </filters>
    </filterColumn>
  </autoFilter>
  <sortState ref="B15:R15">
    <sortCondition ref="B8:B194"/>
  </sortState>
  <tableColumns count="17">
    <tableColumn id="1" name="N° BONO" dataDxfId="72"/>
    <tableColumn id="2" name="FECHA      " dataDxfId="71"/>
    <tableColumn id="3" name="NOMBRE VENDEDOR" dataDxfId="70"/>
    <tableColumn id="12" name="NOMBRE TITULAR BONO" dataDxfId="69"/>
    <tableColumn id="4" name="DIRECCION" dataDxfId="68"/>
    <tableColumn id="5" name="TELEFONO" dataDxfId="67"/>
    <tableColumn id="6" name="DOCUMENTO" dataDxfId="66"/>
    <tableColumn id="17" name="CIUDAD" dataDxfId="65"/>
    <tableColumn id="16" name="DEPARTAMENTO" dataDxfId="64"/>
    <tableColumn id="7" name="ID" dataDxfId="63"/>
    <tableColumn id="8" name="PLOMOTOR/ASESOR" dataDxfId="62"/>
    <tableColumn id="9" name="VALOR BONO" dataDxfId="61">
      <calculatedColumnFormula>IF(C9&gt;43607,130000,105000)</calculatedColumnFormula>
    </tableColumn>
    <tableColumn id="10" name="VALOR RESTANTE" dataDxfId="60">
      <calculatedColumnFormula>Tabla1[[#This Row],[VALOR RESTANTE]:[TOTAL]]=VLOOKUP(B9,#REF!,30,0)</calculatedColumnFormula>
    </tableColumn>
    <tableColumn id="13" name="COMISION BONO" dataDxfId="59">
      <calculatedColumnFormula>IF(Tabla1[VALOR RESTANTE]&gt;0,0,IF(C9&gt;43607,40000,35000))</calculatedColumnFormula>
    </tableColumn>
    <tableColumn id="11" name="CANTIDAD BONOS VENDIDOS" dataDxfId="58">
      <calculatedColumnFormula>IF(Tabla1[NOMBRE VENDEDOR]=#REF!,COUNTIF(#REF!,(Tabla1[NOMBRE VENDEDOR]=#REF!)=0),0)</calculatedColumnFormula>
    </tableColumn>
    <tableColumn id="14" name="INSENTIVO VENTA" dataDxfId="57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6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86" totalsRowShown="0" headerRowDxfId="55" headerRowBorderDxfId="54" tableBorderDxfId="53" totalsRowBorderDxfId="52">
  <autoFilter ref="B8:T86">
    <filterColumn colId="0">
      <filters>
        <filter val="1249"/>
      </filters>
    </filterColumn>
  </autoFilter>
  <sortState ref="B18:T18">
    <sortCondition ref="B8:B85"/>
  </sortState>
  <tableColumns count="19">
    <tableColumn id="1" name="N° BONO" dataDxfId="51"/>
    <tableColumn id="2" name="FECHA      " dataDxfId="50"/>
    <tableColumn id="3" name="NOMBRE PROMOTOR" dataDxfId="49"/>
    <tableColumn id="12" name="NOMBRE TITULAR BONO" dataDxfId="48"/>
    <tableColumn id="4" name="DIRECCION" dataDxfId="47"/>
    <tableColumn id="5" name="TELEFONO" dataDxfId="46"/>
    <tableColumn id="19" name="CIUDAD"/>
    <tableColumn id="18" name="DEPARTAMENTO" dataDxfId="45"/>
    <tableColumn id="6" name="DOCUMENTO" dataDxfId="44"/>
    <tableColumn id="7" name="ID" dataDxfId="43"/>
    <tableColumn id="8" name="VENDEDOR ASOCIADO" dataDxfId="42"/>
    <tableColumn id="9" name="VALOR BONO" dataDxfId="41">
      <calculatedColumnFormula>IF(C9&gt;43607,130000,105000)</calculatedColumnFormula>
    </tableColumn>
    <tableColumn id="10" name="VALOR RESTANTE" dataDxfId="40">
      <calculatedColumnFormula>VLOOKUP(B9,'REGISTRO ABONOS'!$B$8:$BC$10038,30,0)</calculatedColumnFormula>
    </tableColumn>
    <tableColumn id="13" name="COMISION BONO" dataDxfId="39">
      <calculatedColumnFormula>IF(C9&gt;43607,40000,35000)</calculatedColumnFormula>
    </tableColumn>
    <tableColumn id="16" name="COMISION BONO ENTREGADO" dataDxfId="38">
      <calculatedColumnFormula>IF(Tabla14[[#This Row],[VALOR BONO]]=105000,5000,5000)</calculatedColumnFormula>
    </tableColumn>
    <tableColumn id="11" name="CANTIDAD BONOS VENDIDOS" dataDxfId="37"/>
    <tableColumn id="17" name="CANTIDAD BONOS ENTREGADOS" dataDxfId="36"/>
    <tableColumn id="14" name="INSENTIVO VENTA" dataDxfId="3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10" totalsRowShown="0" headerRowDxfId="33" headerRowBorderDxfId="32" tableBorderDxfId="31" totalsRowBorderDxfId="30">
  <autoFilter ref="B8:T10"/>
  <sortState ref="B9:T9">
    <sortCondition ref="B8:B9"/>
  </sortState>
  <tableColumns count="19">
    <tableColumn id="1" name="N° BONO" dataDxfId="29"/>
    <tableColumn id="2" name="FECHA      " dataDxfId="28"/>
    <tableColumn id="3" name="NOMBRE COORDINADOR" dataDxfId="27"/>
    <tableColumn id="12" name="NOMBRE TITULAR BONO" dataDxfId="26"/>
    <tableColumn id="4" name="DIRECCION" dataDxfId="25"/>
    <tableColumn id="5" name="TELEFONO" dataDxfId="24"/>
    <tableColumn id="6" name="DOCUMENTO" dataDxfId="23"/>
    <tableColumn id="19" name="CIUDAD" dataDxfId="22"/>
    <tableColumn id="18" name="DEPARTAMENTO" dataDxfId="21"/>
    <tableColumn id="7" name="ID" dataDxfId="20"/>
    <tableColumn id="8" name="VENDEDOR ASOCIADO" dataDxfId="19"/>
    <tableColumn id="9" name="VALOR BONO" dataDxfId="18">
      <calculatedColumnFormula>IF(C9&gt;43607,130000,105000)</calculatedColumnFormula>
    </tableColumn>
    <tableColumn id="10" name="VALOR RESTANTE" dataDxfId="17">
      <calculatedColumnFormula>VLOOKUP(B9,'REGISTRO ABONOS'!$B$8:$BC$10038,30,0)</calculatedColumnFormula>
    </tableColumn>
    <tableColumn id="13" name="COMISION BONO" dataDxfId="16">
      <calculatedColumnFormula>IF(C9&gt;43607,40000,35000)</calculatedColumnFormula>
    </tableColumn>
    <tableColumn id="16" name="COMISION BONO ENTREGADO" dataDxfId="15"/>
    <tableColumn id="11" name="CANTIDAD BONOS VENDIDOS" dataDxfId="14"/>
    <tableColumn id="17" name="CANTIDAD BONOS ENTREGADOS" dataDxfId="13"/>
    <tableColumn id="14" name="INSENTIVO VENTA" dataDxfId="1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10">
  <autoFilter ref="B8:M10016">
    <filterColumn colId="0">
      <filters>
        <filter val="3201"/>
      </filters>
    </filterColumn>
  </autoFilter>
  <sortState ref="B8554:M10011">
    <sortCondition ref="B8:B10014"/>
  </sortState>
  <tableColumns count="12">
    <tableColumn id="1" name="N° BONO" dataDxfId="9" dataCellStyle="Millares [0]"/>
    <tableColumn id="2" name="FECHA      " dataDxfId="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7">
      <calculatedColumnFormula>IF(C9&gt;43607,130000,105000)</calculatedColumnFormula>
    </tableColumn>
    <tableColumn id="12" name="VALOR RESTANTE" dataDxfId="6">
      <calculatedColumnFormula>VLOOKUP(B9,'REGISTRO ABONOS'!$B$8:$BC$10041,54,0)</calculatedColumnFormula>
    </tableColumn>
    <tableColumn id="9" name="DISPONIBILIDAD" dataDxfId="5">
      <calculatedColumnFormula>IF(Tabla26[[#This Row],[VALOR RESTANTE]]&lt;Tabla26[[#This Row],[VALOR]],"NO DISPONIBLE","DISPONIBLE")</calculatedColumnFormula>
    </tableColumn>
    <tableColumn id="11" name="original?" dataDxfId="4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5" zoomScaleNormal="100" workbookViewId="0">
      <selection activeCell="D23" sqref="D23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>
        <v>733</v>
      </c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 t="s">
        <v>530</v>
      </c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 t="s">
        <v>529</v>
      </c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>
        <v>3115370542</v>
      </c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>
        <v>66681039</v>
      </c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 t="s">
        <v>140</v>
      </c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 t="s">
        <v>61</v>
      </c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 t="s">
        <v>322</v>
      </c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11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abSelected="1" topLeftCell="B13" zoomScale="80" zoomScaleNormal="8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 t="s">
        <v>130</v>
      </c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202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ABONOS'!$B$8:$BC$10038,54,0)</f>
        <v>#N/A</v>
      </c>
      <c r="M9" s="6"/>
    </row>
    <row r="10" spans="1:14" ht="32.25" hidden="1" customHeight="1" x14ac:dyDescent="0.2">
      <c r="A10" s="8"/>
      <c r="B10" s="31">
        <v>3201</v>
      </c>
      <c r="C10" s="30">
        <v>43571</v>
      </c>
      <c r="D10" s="83" t="s">
        <v>528</v>
      </c>
      <c r="E10" s="83" t="s">
        <v>529</v>
      </c>
      <c r="F10" s="83">
        <v>3007704995</v>
      </c>
      <c r="G10" s="83">
        <v>94230859</v>
      </c>
      <c r="H10" s="29" t="s">
        <v>140</v>
      </c>
      <c r="I10" s="29" t="s">
        <v>61</v>
      </c>
      <c r="J10" s="83" t="s">
        <v>322</v>
      </c>
      <c r="K10" s="84">
        <f t="shared" ref="K10" si="1">IF(C10&gt;43607,130000,105000)</f>
        <v>105000</v>
      </c>
      <c r="L10" s="85" t="e">
        <f>VLOOKUP(B10,'REGISTRO ABONOS'!$B$8:$BC$10038,54,0)</f>
        <v>#N/A</v>
      </c>
      <c r="M10" s="6"/>
    </row>
    <row r="11" spans="1:14" ht="32.25" hidden="1" customHeight="1" x14ac:dyDescent="0.2">
      <c r="A11" s="8"/>
      <c r="B11" s="31">
        <v>850</v>
      </c>
      <c r="C11" s="30">
        <v>43571</v>
      </c>
      <c r="D11" s="83" t="s">
        <v>526</v>
      </c>
      <c r="E11" s="83" t="s">
        <v>527</v>
      </c>
      <c r="F11" s="83">
        <v>3155113304</v>
      </c>
      <c r="G11" s="83">
        <v>1116437237</v>
      </c>
      <c r="H11" s="29" t="s">
        <v>140</v>
      </c>
      <c r="I11" s="29" t="s">
        <v>61</v>
      </c>
      <c r="J11" s="83" t="s">
        <v>322</v>
      </c>
      <c r="K11" s="84">
        <f t="shared" ref="K11" si="2">IF(C11&gt;43607,130000,105000)</f>
        <v>105000</v>
      </c>
      <c r="L11" s="85" t="e">
        <f>VLOOKUP(B11,'REGISTRO ABONOS'!$B$8:$BC$10038,54,0)</f>
        <v>#N/A</v>
      </c>
      <c r="M11" s="6"/>
    </row>
    <row r="12" spans="1:14" ht="32.25" hidden="1" customHeight="1" x14ac:dyDescent="0.2">
      <c r="A12" s="8"/>
      <c r="B12" s="31">
        <v>2116</v>
      </c>
      <c r="C12" s="30">
        <v>43571</v>
      </c>
      <c r="D12" s="83" t="s">
        <v>522</v>
      </c>
      <c r="E12" s="83" t="s">
        <v>523</v>
      </c>
      <c r="F12" s="83"/>
      <c r="G12" s="83">
        <v>66872382</v>
      </c>
      <c r="H12" s="29" t="s">
        <v>140</v>
      </c>
      <c r="I12" s="29" t="s">
        <v>61</v>
      </c>
      <c r="J12" s="83" t="s">
        <v>322</v>
      </c>
      <c r="K12" s="84">
        <f t="shared" ref="K12" si="3">IF(C12&gt;43607,130000,105000)</f>
        <v>105000</v>
      </c>
      <c r="L12" s="85" t="e">
        <f>VLOOKUP(B12,'REGISTRO ABONOS'!$B$8:$BC$10038,54,0)</f>
        <v>#N/A</v>
      </c>
      <c r="M12" s="6"/>
    </row>
    <row r="13" spans="1:14" ht="32.25" hidden="1" customHeight="1" x14ac:dyDescent="0.2">
      <c r="A13" s="8"/>
      <c r="B13" s="31">
        <v>6074</v>
      </c>
      <c r="C13" s="30">
        <v>43571</v>
      </c>
      <c r="D13" s="83" t="s">
        <v>520</v>
      </c>
      <c r="E13" s="83" t="s">
        <v>521</v>
      </c>
      <c r="F13" s="83">
        <v>3218501604</v>
      </c>
      <c r="G13" s="83">
        <v>1116435466</v>
      </c>
      <c r="H13" s="29" t="s">
        <v>140</v>
      </c>
      <c r="I13" s="29" t="s">
        <v>61</v>
      </c>
      <c r="J13" s="83" t="s">
        <v>322</v>
      </c>
      <c r="K13" s="84">
        <f t="shared" ref="K13" si="4">IF(C13&gt;43607,130000,105000)</f>
        <v>105000</v>
      </c>
      <c r="L13" s="85" t="e">
        <f>VLOOKUP(B13,'REGISTRO ABONOS'!$B$8:$BC$10038,54,0)</f>
        <v>#N/A</v>
      </c>
      <c r="M13" s="6"/>
    </row>
    <row r="14" spans="1:14" ht="32.25" hidden="1" customHeight="1" x14ac:dyDescent="0.2">
      <c r="A14" s="8"/>
      <c r="B14" s="31">
        <v>3155</v>
      </c>
      <c r="C14" s="30">
        <v>43571</v>
      </c>
      <c r="D14" s="83" t="s">
        <v>519</v>
      </c>
      <c r="E14" s="83" t="s">
        <v>468</v>
      </c>
      <c r="F14" s="83">
        <v>3115522999</v>
      </c>
      <c r="G14" s="83">
        <v>94232544</v>
      </c>
      <c r="H14" s="29" t="s">
        <v>140</v>
      </c>
      <c r="I14" s="29" t="s">
        <v>61</v>
      </c>
      <c r="J14" s="83" t="s">
        <v>322</v>
      </c>
      <c r="K14" s="84">
        <f t="shared" ref="K14" si="5">IF(C14&gt;43607,130000,105000)</f>
        <v>105000</v>
      </c>
      <c r="L14" s="85" t="e">
        <f>VLOOKUP(B14,'REGISTRO ABONOS'!$B$8:$BC$10038,54,0)</f>
        <v>#N/A</v>
      </c>
      <c r="M14" s="6"/>
    </row>
    <row r="15" spans="1:14" ht="32.25" hidden="1" customHeight="1" x14ac:dyDescent="0.2">
      <c r="A15" s="8"/>
      <c r="B15" s="31">
        <v>7619</v>
      </c>
      <c r="C15" s="30">
        <v>43571</v>
      </c>
      <c r="D15" s="83" t="s">
        <v>517</v>
      </c>
      <c r="E15" s="83" t="s">
        <v>518</v>
      </c>
      <c r="F15" s="83">
        <v>3152544424</v>
      </c>
      <c r="G15" s="83">
        <v>1125249975</v>
      </c>
      <c r="H15" s="29" t="s">
        <v>140</v>
      </c>
      <c r="I15" s="29" t="s">
        <v>61</v>
      </c>
      <c r="J15" s="83" t="s">
        <v>322</v>
      </c>
      <c r="K15" s="84">
        <f t="shared" ref="K15" si="6">IF(C15&gt;43607,130000,105000)</f>
        <v>105000</v>
      </c>
      <c r="L15" s="85" t="e">
        <f>VLOOKUP(B15,'REGISTRO ABONOS'!$B$8:$BC$10038,54,0)</f>
        <v>#N/A</v>
      </c>
      <c r="M15" s="6"/>
    </row>
    <row r="16" spans="1:14" ht="32.25" hidden="1" customHeight="1" x14ac:dyDescent="0.2">
      <c r="A16" s="8"/>
      <c r="B16" s="31">
        <v>3144</v>
      </c>
      <c r="C16" s="30">
        <v>43571</v>
      </c>
      <c r="D16" s="83" t="s">
        <v>515</v>
      </c>
      <c r="E16" s="83" t="s">
        <v>516</v>
      </c>
      <c r="F16" s="83">
        <v>3185223709</v>
      </c>
      <c r="G16" s="83">
        <v>16540756</v>
      </c>
      <c r="H16" s="29" t="s">
        <v>140</v>
      </c>
      <c r="I16" s="29" t="s">
        <v>61</v>
      </c>
      <c r="J16" s="83" t="s">
        <v>322</v>
      </c>
      <c r="K16" s="84">
        <f t="shared" ref="K16" si="7">IF(C16&gt;43607,130000,105000)</f>
        <v>105000</v>
      </c>
      <c r="L16" s="85" t="e">
        <f>VLOOKUP(B16,'REGISTRO ABONOS'!$B$8:$BC$10038,54,0)</f>
        <v>#N/A</v>
      </c>
      <c r="M16" s="6"/>
    </row>
    <row r="17" spans="1:13" ht="32.25" hidden="1" customHeight="1" x14ac:dyDescent="0.2">
      <c r="A17" s="8"/>
      <c r="B17" s="31">
        <v>328</v>
      </c>
      <c r="C17" s="30">
        <v>43571</v>
      </c>
      <c r="D17" s="83" t="s">
        <v>513</v>
      </c>
      <c r="E17" s="83" t="s">
        <v>514</v>
      </c>
      <c r="F17" s="83">
        <v>3115522999</v>
      </c>
      <c r="G17" s="83">
        <v>29475242</v>
      </c>
      <c r="H17" s="29" t="s">
        <v>140</v>
      </c>
      <c r="I17" s="29" t="s">
        <v>61</v>
      </c>
      <c r="J17" s="83" t="s">
        <v>322</v>
      </c>
      <c r="K17" s="84">
        <f t="shared" ref="K17" si="8">IF(C17&gt;43607,130000,105000)</f>
        <v>105000</v>
      </c>
      <c r="L17" s="85" t="e">
        <f>VLOOKUP(B17,'REGISTRO ABONOS'!$B$8:$BC$10038,54,0)</f>
        <v>#N/A</v>
      </c>
      <c r="M17" s="6"/>
    </row>
    <row r="18" spans="1:13" ht="32.25" hidden="1" customHeight="1" x14ac:dyDescent="0.2">
      <c r="A18" s="8"/>
      <c r="B18" s="31">
        <v>7921</v>
      </c>
      <c r="C18" s="30">
        <v>43571</v>
      </c>
      <c r="D18" s="83" t="s">
        <v>511</v>
      </c>
      <c r="E18" s="83" t="s">
        <v>512</v>
      </c>
      <c r="F18" s="83">
        <v>3207271605</v>
      </c>
      <c r="G18" s="83">
        <v>66683936</v>
      </c>
      <c r="H18" s="29" t="s">
        <v>140</v>
      </c>
      <c r="I18" s="29" t="s">
        <v>61</v>
      </c>
      <c r="J18" s="83" t="s">
        <v>322</v>
      </c>
      <c r="K18" s="84">
        <f t="shared" ref="K18" si="9">IF(C18&gt;43607,130000,105000)</f>
        <v>105000</v>
      </c>
      <c r="L18" s="85" t="e">
        <f>VLOOKUP(B18,'REGISTRO ABONOS'!$B$8:$BC$10038,54,0)</f>
        <v>#N/A</v>
      </c>
      <c r="M18" s="6"/>
    </row>
    <row r="19" spans="1:13" ht="32.25" hidden="1" customHeight="1" x14ac:dyDescent="0.2">
      <c r="A19" s="8"/>
      <c r="B19" s="31">
        <v>9243</v>
      </c>
      <c r="C19" s="30">
        <v>43571</v>
      </c>
      <c r="D19" s="83" t="s">
        <v>509</v>
      </c>
      <c r="E19" s="83" t="s">
        <v>510</v>
      </c>
      <c r="F19" s="83">
        <v>3213494527</v>
      </c>
      <c r="G19" s="83">
        <v>9977272</v>
      </c>
      <c r="H19" s="29" t="s">
        <v>140</v>
      </c>
      <c r="I19" s="29" t="s">
        <v>61</v>
      </c>
      <c r="J19" s="83" t="s">
        <v>322</v>
      </c>
      <c r="K19" s="84">
        <f t="shared" ref="K19" si="10">IF(C19&gt;43607,130000,105000)</f>
        <v>105000</v>
      </c>
      <c r="L19" s="85" t="e">
        <f>VLOOKUP(B19,'REGISTRO ABONOS'!$B$8:$BC$10038,54,0)</f>
        <v>#N/A</v>
      </c>
      <c r="M19" s="6"/>
    </row>
    <row r="20" spans="1:13" ht="32.25" hidden="1" customHeight="1" x14ac:dyDescent="0.2">
      <c r="A20" s="8"/>
      <c r="B20" s="31">
        <v>1249</v>
      </c>
      <c r="C20" s="30">
        <v>43571</v>
      </c>
      <c r="D20" s="83" t="s">
        <v>507</v>
      </c>
      <c r="E20" s="83" t="s">
        <v>508</v>
      </c>
      <c r="F20" s="83">
        <v>3107441451</v>
      </c>
      <c r="G20" s="83">
        <v>38791086</v>
      </c>
      <c r="H20" s="29" t="s">
        <v>140</v>
      </c>
      <c r="I20" s="29" t="s">
        <v>61</v>
      </c>
      <c r="J20" s="83" t="s">
        <v>322</v>
      </c>
      <c r="K20" s="84">
        <f t="shared" ref="K20" si="11">IF(C20&gt;43607,130000,105000)</f>
        <v>105000</v>
      </c>
      <c r="L20" s="85" t="e">
        <f>VLOOKUP(B20,'REGISTRO ABONOS'!$B$8:$BC$10038,54,0)</f>
        <v>#N/A</v>
      </c>
      <c r="M20" s="6"/>
    </row>
    <row r="21" spans="1:13" ht="32.25" hidden="1" customHeight="1" x14ac:dyDescent="0.2">
      <c r="A21" s="8"/>
      <c r="B21" s="31">
        <v>9647</v>
      </c>
      <c r="C21" s="30">
        <v>43571</v>
      </c>
      <c r="D21" s="83" t="s">
        <v>505</v>
      </c>
      <c r="E21" s="83" t="s">
        <v>506</v>
      </c>
      <c r="F21" s="83">
        <v>3235172648</v>
      </c>
      <c r="G21" s="83">
        <v>1116445046</v>
      </c>
      <c r="H21" s="29" t="s">
        <v>140</v>
      </c>
      <c r="I21" s="29" t="s">
        <v>61</v>
      </c>
      <c r="J21" s="83" t="s">
        <v>322</v>
      </c>
      <c r="K21" s="84">
        <f t="shared" ref="K21" si="12">IF(C21&gt;43607,130000,105000)</f>
        <v>105000</v>
      </c>
      <c r="L21" s="85" t="e">
        <f>VLOOKUP(B21,'REGISTRO ABONOS'!$B$8:$BC$10038,54,0)</f>
        <v>#N/A</v>
      </c>
      <c r="M21" s="6"/>
    </row>
    <row r="22" spans="1:13" ht="32.25" hidden="1" customHeight="1" x14ac:dyDescent="0.2">
      <c r="A22" s="8"/>
      <c r="B22" s="31">
        <v>3530</v>
      </c>
      <c r="C22" s="30">
        <v>43571</v>
      </c>
      <c r="D22" s="83" t="s">
        <v>503</v>
      </c>
      <c r="E22" s="83" t="s">
        <v>504</v>
      </c>
      <c r="F22" s="83">
        <v>3113702323</v>
      </c>
      <c r="G22" s="83">
        <v>31491355</v>
      </c>
      <c r="H22" s="29" t="s">
        <v>140</v>
      </c>
      <c r="I22" s="29" t="s">
        <v>61</v>
      </c>
      <c r="J22" s="83" t="s">
        <v>322</v>
      </c>
      <c r="K22" s="84">
        <f t="shared" ref="K22" si="13">IF(C22&gt;43607,130000,105000)</f>
        <v>105000</v>
      </c>
      <c r="L22" s="85" t="e">
        <f>VLOOKUP(B22,'REGISTRO ABONOS'!$B$8:$BC$10038,54,0)</f>
        <v>#N/A</v>
      </c>
      <c r="M22" s="6"/>
    </row>
    <row r="23" spans="1:13" ht="32.25" hidden="1" customHeight="1" x14ac:dyDescent="0.2">
      <c r="A23" s="8"/>
      <c r="B23" s="31">
        <v>1234</v>
      </c>
      <c r="C23" s="30">
        <v>43571</v>
      </c>
      <c r="D23" s="83" t="s">
        <v>431</v>
      </c>
      <c r="E23" s="83" t="s">
        <v>502</v>
      </c>
      <c r="F23" s="83">
        <v>3017620993</v>
      </c>
      <c r="G23" s="83">
        <v>94231554</v>
      </c>
      <c r="H23" s="29" t="s">
        <v>140</v>
      </c>
      <c r="I23" s="29" t="s">
        <v>61</v>
      </c>
      <c r="J23" s="83" t="s">
        <v>322</v>
      </c>
      <c r="K23" s="84">
        <f t="shared" ref="K23" si="14">IF(C23&gt;43607,130000,105000)</f>
        <v>105000</v>
      </c>
      <c r="L23" s="85" t="e">
        <f>VLOOKUP(B23,'REGISTRO ABONOS'!$B$8:$BC$10038,54,0)</f>
        <v>#N/A</v>
      </c>
      <c r="M23" s="6"/>
    </row>
    <row r="24" spans="1:13" ht="32.25" hidden="1" customHeight="1" x14ac:dyDescent="0.2">
      <c r="A24" s="8"/>
      <c r="B24" s="31">
        <v>9869</v>
      </c>
      <c r="C24" s="30">
        <v>43565</v>
      </c>
      <c r="D24" s="83" t="s">
        <v>500</v>
      </c>
      <c r="E24" s="83" t="s">
        <v>499</v>
      </c>
      <c r="F24" s="83">
        <v>3154659318</v>
      </c>
      <c r="G24" s="83">
        <v>16546580</v>
      </c>
      <c r="H24" s="29" t="s">
        <v>60</v>
      </c>
      <c r="I24" s="29" t="s">
        <v>61</v>
      </c>
      <c r="J24" s="83" t="s">
        <v>99</v>
      </c>
      <c r="K24" s="84">
        <f t="shared" ref="K24" si="15">IF(C24&gt;43607,130000,105000)</f>
        <v>105000</v>
      </c>
      <c r="L24" s="85">
        <f>VLOOKUP(B24,'REGISTRO ABONOS'!$B$8:$BC$10038,54,0)</f>
        <v>55000</v>
      </c>
      <c r="M24" s="6"/>
    </row>
    <row r="25" spans="1:13" ht="32.25" hidden="1" customHeight="1" x14ac:dyDescent="0.2">
      <c r="A25" s="8"/>
      <c r="B25" s="31">
        <v>3136</v>
      </c>
      <c r="C25" s="30">
        <v>43565</v>
      </c>
      <c r="D25" s="83" t="s">
        <v>498</v>
      </c>
      <c r="E25" s="83" t="s">
        <v>499</v>
      </c>
      <c r="F25" s="83">
        <v>3154501678</v>
      </c>
      <c r="G25" s="83">
        <v>66676905</v>
      </c>
      <c r="H25" s="29" t="s">
        <v>60</v>
      </c>
      <c r="I25" s="29" t="s">
        <v>61</v>
      </c>
      <c r="J25" s="83" t="s">
        <v>99</v>
      </c>
      <c r="K25" s="84">
        <f t="shared" ref="K25" si="16">IF(C25&gt;43607,130000,105000)</f>
        <v>105000</v>
      </c>
      <c r="L25" s="85">
        <f>VLOOKUP(B25,'REGISTRO ABONOS'!$B$8:$BC$10038,54,0)</f>
        <v>55000</v>
      </c>
      <c r="M25" s="6"/>
    </row>
    <row r="26" spans="1:13" ht="32.25" hidden="1" customHeight="1" x14ac:dyDescent="0.2">
      <c r="A26" s="8"/>
      <c r="B26" s="31">
        <v>3806</v>
      </c>
      <c r="C26" s="30">
        <v>43576</v>
      </c>
      <c r="D26" s="83" t="s">
        <v>496</v>
      </c>
      <c r="E26" s="83" t="s">
        <v>497</v>
      </c>
      <c r="F26" s="83">
        <v>3105911341</v>
      </c>
      <c r="G26" s="83">
        <v>29993008</v>
      </c>
      <c r="H26" s="29" t="s">
        <v>60</v>
      </c>
      <c r="I26" s="29" t="s">
        <v>61</v>
      </c>
      <c r="J26" s="83" t="s">
        <v>99</v>
      </c>
      <c r="K26" s="84">
        <f t="shared" ref="K26" si="17">IF(C26&gt;43607,130000,105000)</f>
        <v>105000</v>
      </c>
      <c r="L26" s="85" t="e">
        <f>VLOOKUP(B26,'REGISTRO ABONOS'!$B$8:$BC$10038,54,0)</f>
        <v>#N/A</v>
      </c>
      <c r="M26" s="6"/>
    </row>
    <row r="27" spans="1:13" ht="32.25" hidden="1" customHeight="1" x14ac:dyDescent="0.2">
      <c r="A27" s="8"/>
      <c r="B27" s="31">
        <v>2346</v>
      </c>
      <c r="C27" s="30">
        <v>43571</v>
      </c>
      <c r="D27" s="83" t="s">
        <v>494</v>
      </c>
      <c r="E27" s="83" t="s">
        <v>495</v>
      </c>
      <c r="F27" s="83">
        <v>3148639899</v>
      </c>
      <c r="G27" s="83">
        <v>31491166</v>
      </c>
      <c r="H27" s="29" t="s">
        <v>60</v>
      </c>
      <c r="I27" s="29" t="s">
        <v>61</v>
      </c>
      <c r="J27" s="83" t="s">
        <v>322</v>
      </c>
      <c r="K27" s="84">
        <f t="shared" ref="K27" si="18">IF(C27&gt;43607,130000,105000)</f>
        <v>105000</v>
      </c>
      <c r="L27" s="85" t="e">
        <f>VLOOKUP(B27,'REGISTRO ABONOS'!$B$8:$BC$10038,54,0)</f>
        <v>#N/A</v>
      </c>
      <c r="M27" s="6"/>
    </row>
    <row r="28" spans="1:13" ht="32.25" hidden="1" customHeight="1" x14ac:dyDescent="0.2">
      <c r="A28" s="8"/>
      <c r="B28" s="31">
        <v>1216</v>
      </c>
      <c r="C28" s="30">
        <v>43571</v>
      </c>
      <c r="D28" s="83" t="s">
        <v>491</v>
      </c>
      <c r="E28" s="83" t="s">
        <v>492</v>
      </c>
      <c r="F28" s="83">
        <v>3104957601</v>
      </c>
      <c r="G28" s="83">
        <v>38797562</v>
      </c>
      <c r="H28" s="29" t="s">
        <v>493</v>
      </c>
      <c r="I28" s="29" t="s">
        <v>93</v>
      </c>
      <c r="J28" s="83" t="s">
        <v>322</v>
      </c>
      <c r="K28" s="84">
        <f t="shared" ref="K28" si="19">IF(C28&gt;43607,130000,105000)</f>
        <v>105000</v>
      </c>
      <c r="L28" s="85" t="e">
        <f>VLOOKUP(B28,'REGISTRO ABONOS'!$B$8:$BC$10038,54,0)</f>
        <v>#N/A</v>
      </c>
      <c r="M28" s="6"/>
    </row>
    <row r="29" spans="1:13" ht="32.25" hidden="1" customHeight="1" x14ac:dyDescent="0.2">
      <c r="A29" s="8"/>
      <c r="B29" s="31">
        <v>146</v>
      </c>
      <c r="C29" s="30">
        <v>43571</v>
      </c>
      <c r="D29" s="83" t="s">
        <v>472</v>
      </c>
      <c r="E29" s="83" t="s">
        <v>473</v>
      </c>
      <c r="F29" s="83">
        <v>3219367572</v>
      </c>
      <c r="G29" s="83">
        <v>1116439274</v>
      </c>
      <c r="H29" s="29" t="s">
        <v>60</v>
      </c>
      <c r="I29" s="29" t="s">
        <v>61</v>
      </c>
      <c r="J29" s="83" t="s">
        <v>322</v>
      </c>
      <c r="K29" s="84">
        <f t="shared" ref="K28:K59" si="20">IF(C29&gt;43607,130000,105000)</f>
        <v>105000</v>
      </c>
      <c r="L29" s="85" t="e">
        <f>VLOOKUP(B29,'REGISTRO ABONOS'!$B$8:$BC$10038,54,0)</f>
        <v>#N/A</v>
      </c>
      <c r="M29" s="6"/>
    </row>
    <row r="30" spans="1:13" ht="32.25" hidden="1" customHeight="1" x14ac:dyDescent="0.2">
      <c r="A30" s="8"/>
      <c r="B30" s="31">
        <v>206</v>
      </c>
      <c r="C30" s="30">
        <v>43572</v>
      </c>
      <c r="D30" s="83" t="s">
        <v>453</v>
      </c>
      <c r="E30" s="83" t="s">
        <v>454</v>
      </c>
      <c r="F30" s="83">
        <v>3147567269</v>
      </c>
      <c r="G30" s="83">
        <v>1116437890</v>
      </c>
      <c r="H30" s="29" t="s">
        <v>60</v>
      </c>
      <c r="I30" s="29" t="s">
        <v>61</v>
      </c>
      <c r="J30" s="83" t="s">
        <v>336</v>
      </c>
      <c r="K30" s="84">
        <f t="shared" si="20"/>
        <v>105000</v>
      </c>
      <c r="L30" s="85" t="e">
        <f>VLOOKUP(B30,'REGISTRO ABONOS'!$B$8:$BC$10038,54,0)</f>
        <v>#N/A</v>
      </c>
      <c r="M30" s="6"/>
    </row>
    <row r="31" spans="1:13" ht="32.25" hidden="1" customHeight="1" x14ac:dyDescent="0.2">
      <c r="A31" s="8"/>
      <c r="B31" s="31">
        <v>220</v>
      </c>
      <c r="C31" s="30">
        <v>43564</v>
      </c>
      <c r="D31" s="83" t="s">
        <v>250</v>
      </c>
      <c r="E31" s="83" t="s">
        <v>251</v>
      </c>
      <c r="F31" s="83">
        <v>3128693918</v>
      </c>
      <c r="G31" s="83">
        <v>1116439023</v>
      </c>
      <c r="H31" s="29" t="s">
        <v>60</v>
      </c>
      <c r="I31" s="29" t="s">
        <v>61</v>
      </c>
      <c r="J31" s="83" t="s">
        <v>229</v>
      </c>
      <c r="K31" s="84">
        <f t="shared" si="20"/>
        <v>105000</v>
      </c>
      <c r="L31" s="85" t="e">
        <f>VLOOKUP(B31,'REGISTRO ABONOS'!$B$8:$BC$10038,54,0)</f>
        <v>#N/A</v>
      </c>
      <c r="M31" s="6"/>
    </row>
    <row r="32" spans="1:13" ht="32.25" hidden="1" customHeight="1" x14ac:dyDescent="0.2">
      <c r="A32" s="8"/>
      <c r="B32" s="31">
        <v>264</v>
      </c>
      <c r="C32" s="30">
        <v>43572</v>
      </c>
      <c r="D32" s="83" t="s">
        <v>406</v>
      </c>
      <c r="E32" s="83" t="s">
        <v>407</v>
      </c>
      <c r="F32" s="83">
        <v>3163008943</v>
      </c>
      <c r="G32" s="83">
        <v>94230715</v>
      </c>
      <c r="H32" s="29" t="s">
        <v>60</v>
      </c>
      <c r="I32" s="29" t="s">
        <v>61</v>
      </c>
      <c r="J32" s="83" t="s">
        <v>403</v>
      </c>
      <c r="K32" s="84">
        <f t="shared" si="20"/>
        <v>105000</v>
      </c>
      <c r="L32" s="85" t="e">
        <f>VLOOKUP(B32,'REGISTRO ABONOS'!$B$8:$BC$10038,54,0)</f>
        <v>#N/A</v>
      </c>
      <c r="M32" s="6"/>
    </row>
    <row r="33" spans="1:13" ht="32.25" hidden="1" customHeight="1" x14ac:dyDescent="0.2">
      <c r="A33" s="8"/>
      <c r="B33" s="31">
        <v>285</v>
      </c>
      <c r="C33" s="30">
        <v>43570</v>
      </c>
      <c r="D33" s="83" t="s">
        <v>353</v>
      </c>
      <c r="E33" s="83" t="s">
        <v>474</v>
      </c>
      <c r="F33" s="83">
        <v>3206268213</v>
      </c>
      <c r="G33" s="83"/>
      <c r="H33" s="29" t="s">
        <v>60</v>
      </c>
      <c r="I33" s="29" t="s">
        <v>61</v>
      </c>
      <c r="J33" s="83" t="s">
        <v>65</v>
      </c>
      <c r="K33" s="84">
        <f t="shared" si="20"/>
        <v>105000</v>
      </c>
      <c r="L33" s="85">
        <f>VLOOKUP(B33,'REGISTRO ABONOS'!$B$8:$BC$10038,54,0)</f>
        <v>55000</v>
      </c>
      <c r="M33" s="6"/>
    </row>
    <row r="34" spans="1:13" ht="32.25" hidden="1" customHeight="1" x14ac:dyDescent="0.2">
      <c r="A34" s="8"/>
      <c r="B34" s="31">
        <v>469</v>
      </c>
      <c r="C34" s="30">
        <v>43556</v>
      </c>
      <c r="D34" s="83" t="s">
        <v>107</v>
      </c>
      <c r="E34" s="83" t="s">
        <v>106</v>
      </c>
      <c r="F34" s="83">
        <v>3502502164</v>
      </c>
      <c r="G34" s="83">
        <v>66676699</v>
      </c>
      <c r="H34" s="29" t="s">
        <v>60</v>
      </c>
      <c r="I34" s="29" t="s">
        <v>61</v>
      </c>
      <c r="J34" s="83" t="s">
        <v>107</v>
      </c>
      <c r="K34" s="84">
        <f t="shared" si="20"/>
        <v>105000</v>
      </c>
      <c r="L34" s="85" t="e">
        <f>VLOOKUP(B34,'REGISTRO ABONOS'!$B$8:$BC$10038,54,0)</f>
        <v>#N/A</v>
      </c>
      <c r="M34" s="6"/>
    </row>
    <row r="35" spans="1:13" ht="32.25" hidden="1" customHeight="1" x14ac:dyDescent="0.2">
      <c r="A35" s="8"/>
      <c r="B35" s="31">
        <v>529</v>
      </c>
      <c r="C35" s="30">
        <v>43571</v>
      </c>
      <c r="D35" s="83" t="s">
        <v>447</v>
      </c>
      <c r="E35" s="83" t="s">
        <v>448</v>
      </c>
      <c r="F35" s="83"/>
      <c r="G35" s="83"/>
      <c r="H35" s="29" t="s">
        <v>60</v>
      </c>
      <c r="I35" s="29" t="s">
        <v>61</v>
      </c>
      <c r="J35" s="83" t="s">
        <v>336</v>
      </c>
      <c r="K35" s="84">
        <f t="shared" si="20"/>
        <v>105000</v>
      </c>
      <c r="L35" s="85" t="e">
        <f>VLOOKUP(B35,'REGISTRO ABONOS'!$B$8:$BC$10038,54,0)</f>
        <v>#N/A</v>
      </c>
      <c r="M35" s="6"/>
    </row>
    <row r="36" spans="1:13" ht="32.25" hidden="1" customHeight="1" x14ac:dyDescent="0.2">
      <c r="A36" s="8"/>
      <c r="B36" s="31">
        <v>615</v>
      </c>
      <c r="C36" s="30">
        <v>43563</v>
      </c>
      <c r="D36" s="83" t="s">
        <v>94</v>
      </c>
      <c r="E36" s="83" t="s">
        <v>95</v>
      </c>
      <c r="F36" s="83">
        <v>3122528972</v>
      </c>
      <c r="G36" s="83">
        <v>8741674</v>
      </c>
      <c r="H36" s="29" t="s">
        <v>96</v>
      </c>
      <c r="I36" s="29" t="s">
        <v>61</v>
      </c>
      <c r="J36" s="83" t="s">
        <v>89</v>
      </c>
      <c r="K36" s="84">
        <f t="shared" si="20"/>
        <v>105000</v>
      </c>
      <c r="L36" s="85">
        <f>VLOOKUP(B36,'REGISTRO ABONOS'!$B$8:$BC$10038,54,0)</f>
        <v>55000</v>
      </c>
      <c r="M36" s="6"/>
    </row>
    <row r="37" spans="1:13" ht="32.25" hidden="1" customHeight="1" x14ac:dyDescent="0.2">
      <c r="A37" s="8"/>
      <c r="B37" s="31">
        <v>658</v>
      </c>
      <c r="C37" s="30">
        <v>43564</v>
      </c>
      <c r="D37" s="83" t="s">
        <v>205</v>
      </c>
      <c r="E37" s="83" t="s">
        <v>206</v>
      </c>
      <c r="F37" s="83">
        <v>3103828437</v>
      </c>
      <c r="G37" s="83">
        <v>66676402</v>
      </c>
      <c r="H37" s="29" t="s">
        <v>60</v>
      </c>
      <c r="I37" s="29" t="s">
        <v>61</v>
      </c>
      <c r="J37" s="83" t="s">
        <v>200</v>
      </c>
      <c r="K37" s="84">
        <f t="shared" si="20"/>
        <v>105000</v>
      </c>
      <c r="L37" s="85" t="e">
        <f>VLOOKUP(B37,'REGISTRO ABONOS'!$B$8:$BC$10038,54,0)</f>
        <v>#N/A</v>
      </c>
      <c r="M37" s="6"/>
    </row>
    <row r="38" spans="1:13" ht="32.25" hidden="1" customHeight="1" x14ac:dyDescent="0.2">
      <c r="A38" s="8"/>
      <c r="B38" s="31">
        <v>675</v>
      </c>
      <c r="C38" s="30">
        <v>43571</v>
      </c>
      <c r="D38" s="83" t="s">
        <v>483</v>
      </c>
      <c r="E38" s="83" t="s">
        <v>484</v>
      </c>
      <c r="F38" s="83">
        <v>3206816643</v>
      </c>
      <c r="G38" s="83">
        <v>66682632</v>
      </c>
      <c r="H38" s="29" t="s">
        <v>140</v>
      </c>
      <c r="I38" s="29" t="s">
        <v>61</v>
      </c>
      <c r="J38" s="83" t="s">
        <v>322</v>
      </c>
      <c r="K38" s="84">
        <f t="shared" si="20"/>
        <v>105000</v>
      </c>
      <c r="L38" s="85" t="e">
        <f>VLOOKUP(B38,'REGISTRO ABONOS'!$B$8:$BC$10038,54,0)</f>
        <v>#N/A</v>
      </c>
      <c r="M38" s="6"/>
    </row>
    <row r="39" spans="1:13" ht="32.25" hidden="1" customHeight="1" x14ac:dyDescent="0.2">
      <c r="A39" s="8"/>
      <c r="B39" s="31">
        <v>710</v>
      </c>
      <c r="C39" s="30">
        <v>43564</v>
      </c>
      <c r="D39" s="83" t="s">
        <v>256</v>
      </c>
      <c r="E39" s="83" t="s">
        <v>257</v>
      </c>
      <c r="F39" s="83">
        <v>3127982230</v>
      </c>
      <c r="G39" s="83">
        <v>1032253261</v>
      </c>
      <c r="H39" s="29" t="s">
        <v>60</v>
      </c>
      <c r="I39" s="29" t="s">
        <v>258</v>
      </c>
      <c r="J39" s="83" t="s">
        <v>229</v>
      </c>
      <c r="K39" s="84">
        <f t="shared" si="20"/>
        <v>105000</v>
      </c>
      <c r="L39" s="85" t="e">
        <f>VLOOKUP(B39,'REGISTRO ABONOS'!$B$8:$BC$10038,54,0)</f>
        <v>#N/A</v>
      </c>
      <c r="M39" s="6"/>
    </row>
    <row r="40" spans="1:13" ht="32.25" hidden="1" customHeight="1" x14ac:dyDescent="0.2">
      <c r="A40" s="8"/>
      <c r="B40" s="31">
        <v>715</v>
      </c>
      <c r="C40" s="30">
        <v>43559</v>
      </c>
      <c r="D40" s="83" t="s">
        <v>191</v>
      </c>
      <c r="E40" s="83" t="s">
        <v>192</v>
      </c>
      <c r="F40" s="83">
        <v>3116090111</v>
      </c>
      <c r="G40" s="83">
        <v>16229284</v>
      </c>
      <c r="H40" s="29" t="s">
        <v>60</v>
      </c>
      <c r="I40" s="29" t="s">
        <v>61</v>
      </c>
      <c r="J40" s="83" t="s">
        <v>171</v>
      </c>
      <c r="K40" s="84">
        <f t="shared" si="20"/>
        <v>105000</v>
      </c>
      <c r="L40" s="85" t="e">
        <f>VLOOKUP(B40,'REGISTRO ABONOS'!$B$8:$BC$10038,54,0)</f>
        <v>#N/A</v>
      </c>
      <c r="M40" s="6"/>
    </row>
    <row r="41" spans="1:13" ht="32.25" hidden="1" customHeight="1" x14ac:dyDescent="0.2">
      <c r="A41" s="8"/>
      <c r="B41" s="31">
        <v>743</v>
      </c>
      <c r="C41" s="30">
        <v>43565</v>
      </c>
      <c r="D41" s="83" t="s">
        <v>292</v>
      </c>
      <c r="E41" s="83" t="s">
        <v>293</v>
      </c>
      <c r="F41" s="83">
        <v>3117139436</v>
      </c>
      <c r="G41" s="83">
        <v>29806327</v>
      </c>
      <c r="H41" s="29" t="s">
        <v>285</v>
      </c>
      <c r="I41" s="29" t="s">
        <v>61</v>
      </c>
      <c r="J41" s="83" t="s">
        <v>281</v>
      </c>
      <c r="K41" s="84">
        <f t="shared" si="20"/>
        <v>105000</v>
      </c>
      <c r="L41" s="85" t="e">
        <f>VLOOKUP(B41,'REGISTRO ABONOS'!$B$8:$BC$10038,54,0)</f>
        <v>#N/A</v>
      </c>
      <c r="M41" s="6"/>
    </row>
    <row r="42" spans="1:13" ht="32.25" hidden="1" customHeight="1" x14ac:dyDescent="0.2">
      <c r="A42" s="8"/>
      <c r="B42" s="31">
        <v>807</v>
      </c>
      <c r="C42" s="30">
        <v>43560</v>
      </c>
      <c r="D42" s="83" t="s">
        <v>279</v>
      </c>
      <c r="E42" s="83" t="s">
        <v>280</v>
      </c>
      <c r="F42" s="83">
        <v>3105291061</v>
      </c>
      <c r="G42" s="83">
        <v>93418135</v>
      </c>
      <c r="H42" s="29" t="s">
        <v>75</v>
      </c>
      <c r="I42" s="29" t="s">
        <v>61</v>
      </c>
      <c r="J42" s="83" t="s">
        <v>281</v>
      </c>
      <c r="K42" s="84">
        <f t="shared" si="20"/>
        <v>105000</v>
      </c>
      <c r="L42" s="85" t="e">
        <f>VLOOKUP(B42,'REGISTRO ABONOS'!$B$8:$BC$10038,54,0)</f>
        <v>#N/A</v>
      </c>
      <c r="M42" s="6"/>
    </row>
    <row r="43" spans="1:13" ht="32.25" hidden="1" customHeight="1" x14ac:dyDescent="0.2">
      <c r="A43" s="8"/>
      <c r="B43" s="31">
        <v>814</v>
      </c>
      <c r="C43" s="30">
        <v>43559</v>
      </c>
      <c r="D43" s="83" t="s">
        <v>286</v>
      </c>
      <c r="E43" s="83" t="s">
        <v>287</v>
      </c>
      <c r="F43" s="83">
        <v>3177746815</v>
      </c>
      <c r="G43" s="83">
        <v>16834806</v>
      </c>
      <c r="H43" s="29" t="s">
        <v>287</v>
      </c>
      <c r="I43" s="29" t="s">
        <v>61</v>
      </c>
      <c r="J43" s="83" t="s">
        <v>281</v>
      </c>
      <c r="K43" s="84">
        <f t="shared" si="20"/>
        <v>105000</v>
      </c>
      <c r="L43" s="85">
        <f>VLOOKUP(B43,'REGISTRO ABONOS'!$B$8:$BC$10038,54,0)</f>
        <v>0</v>
      </c>
      <c r="M43" s="6"/>
    </row>
    <row r="44" spans="1:13" ht="32.25" hidden="1" customHeight="1" x14ac:dyDescent="0.2">
      <c r="A44" s="8"/>
      <c r="B44" s="31">
        <v>837</v>
      </c>
      <c r="C44" s="30">
        <v>43564</v>
      </c>
      <c r="D44" s="83" t="s">
        <v>262</v>
      </c>
      <c r="E44" s="83" t="s">
        <v>263</v>
      </c>
      <c r="F44" s="83" t="s">
        <v>264</v>
      </c>
      <c r="G44" s="83">
        <v>29991986</v>
      </c>
      <c r="H44" s="29" t="s">
        <v>265</v>
      </c>
      <c r="I44" s="29" t="s">
        <v>61</v>
      </c>
      <c r="J44" s="83" t="s">
        <v>229</v>
      </c>
      <c r="K44" s="84">
        <f t="shared" si="20"/>
        <v>105000</v>
      </c>
      <c r="L44" s="85" t="e">
        <f>VLOOKUP(B44,'REGISTRO ABONOS'!$B$8:$BC$10038,54,0)</f>
        <v>#N/A</v>
      </c>
      <c r="M44" s="6"/>
    </row>
    <row r="45" spans="1:13" ht="32.25" hidden="1" customHeight="1" x14ac:dyDescent="0.2">
      <c r="A45" s="8"/>
      <c r="B45" s="31">
        <v>859</v>
      </c>
      <c r="C45" s="30">
        <v>43565</v>
      </c>
      <c r="D45" s="83" t="s">
        <v>288</v>
      </c>
      <c r="E45" s="83" t="s">
        <v>70</v>
      </c>
      <c r="F45" s="83">
        <v>3225765288</v>
      </c>
      <c r="G45" s="83" t="s">
        <v>70</v>
      </c>
      <c r="H45" s="29" t="s">
        <v>60</v>
      </c>
      <c r="I45" s="29" t="s">
        <v>61</v>
      </c>
      <c r="J45" s="83" t="s">
        <v>281</v>
      </c>
      <c r="K45" s="84">
        <f t="shared" si="20"/>
        <v>105000</v>
      </c>
      <c r="L45" s="85" t="e">
        <f>VLOOKUP(B45,'REGISTRO ABONOS'!$B$8:$BC$10038,54,0)</f>
        <v>#N/A</v>
      </c>
      <c r="M45" s="6"/>
    </row>
    <row r="46" spans="1:13" ht="32.25" hidden="1" customHeight="1" x14ac:dyDescent="0.2">
      <c r="A46" s="8"/>
      <c r="B46" s="31">
        <v>918</v>
      </c>
      <c r="C46" s="30">
        <v>43571</v>
      </c>
      <c r="D46" s="83" t="s">
        <v>480</v>
      </c>
      <c r="E46" s="83" t="s">
        <v>468</v>
      </c>
      <c r="F46" s="83">
        <v>3175603599</v>
      </c>
      <c r="G46" s="83">
        <v>66682183</v>
      </c>
      <c r="H46" s="29" t="s">
        <v>140</v>
      </c>
      <c r="I46" s="29" t="s">
        <v>61</v>
      </c>
      <c r="J46" s="83" t="s">
        <v>322</v>
      </c>
      <c r="K46" s="84">
        <f t="shared" si="20"/>
        <v>105000</v>
      </c>
      <c r="L46" s="85" t="e">
        <f>VLOOKUP(B46,'REGISTRO ABONOS'!$B$8:$BC$10038,54,0)</f>
        <v>#N/A</v>
      </c>
      <c r="M46" s="6"/>
    </row>
    <row r="47" spans="1:13" ht="32.25" hidden="1" customHeight="1" x14ac:dyDescent="0.2">
      <c r="A47" s="8"/>
      <c r="B47" s="31">
        <v>1024</v>
      </c>
      <c r="C47" s="30">
        <v>43558</v>
      </c>
      <c r="D47" s="83" t="s">
        <v>143</v>
      </c>
      <c r="E47" s="83" t="s">
        <v>144</v>
      </c>
      <c r="F47" s="83">
        <v>3146349514</v>
      </c>
      <c r="G47" s="83">
        <v>94228436</v>
      </c>
      <c r="H47" s="29" t="s">
        <v>60</v>
      </c>
      <c r="I47" s="29" t="s">
        <v>61</v>
      </c>
      <c r="J47" s="83" t="s">
        <v>65</v>
      </c>
      <c r="K47" s="84">
        <f t="shared" si="20"/>
        <v>105000</v>
      </c>
      <c r="L47" s="85" t="e">
        <f>VLOOKUP(B47,'REGISTRO ABONOS'!$B$8:$BC$10038,54,0)</f>
        <v>#N/A</v>
      </c>
      <c r="M47" s="6"/>
    </row>
    <row r="48" spans="1:13" ht="32.25" hidden="1" customHeight="1" x14ac:dyDescent="0.2">
      <c r="A48" s="8"/>
      <c r="B48" s="31">
        <v>1082</v>
      </c>
      <c r="C48" s="30">
        <v>43554</v>
      </c>
      <c r="D48" s="83" t="s">
        <v>459</v>
      </c>
      <c r="E48" s="83" t="s">
        <v>460</v>
      </c>
      <c r="F48" s="83" t="s">
        <v>70</v>
      </c>
      <c r="G48" s="83">
        <v>92431172</v>
      </c>
      <c r="H48" s="29" t="s">
        <v>60</v>
      </c>
      <c r="I48" s="29" t="s">
        <v>461</v>
      </c>
      <c r="J48" s="83" t="s">
        <v>336</v>
      </c>
      <c r="K48" s="84">
        <f t="shared" si="20"/>
        <v>105000</v>
      </c>
      <c r="L48" s="85" t="e">
        <f>VLOOKUP(B48,'REGISTRO ABONOS'!$B$8:$BC$10038,54,0)</f>
        <v>#N/A</v>
      </c>
      <c r="M48" s="6"/>
    </row>
    <row r="49" spans="1:13" ht="32.25" hidden="1" customHeight="1" x14ac:dyDescent="0.2">
      <c r="A49" s="8"/>
      <c r="B49" s="31">
        <v>1111</v>
      </c>
      <c r="C49" s="30">
        <v>43567</v>
      </c>
      <c r="D49" s="83" t="s">
        <v>372</v>
      </c>
      <c r="E49" s="83" t="s">
        <v>363</v>
      </c>
      <c r="F49" s="83">
        <v>3128681153</v>
      </c>
      <c r="G49" s="83">
        <v>31495229</v>
      </c>
      <c r="H49" s="29" t="s">
        <v>60</v>
      </c>
      <c r="I49" s="29" t="s">
        <v>61</v>
      </c>
      <c r="J49" s="83" t="s">
        <v>355</v>
      </c>
      <c r="K49" s="84">
        <f t="shared" si="20"/>
        <v>105000</v>
      </c>
      <c r="L49" s="85" t="e">
        <f>VLOOKUP(B49,'REGISTRO ABONOS'!$B$8:$BC$10038,54,0)</f>
        <v>#N/A</v>
      </c>
      <c r="M49" s="6"/>
    </row>
    <row r="50" spans="1:13" ht="32.25" hidden="1" customHeight="1" x14ac:dyDescent="0.2">
      <c r="A50" s="8"/>
      <c r="B50" s="31">
        <v>1192</v>
      </c>
      <c r="C50" s="30">
        <v>43561</v>
      </c>
      <c r="D50" s="83" t="s">
        <v>73</v>
      </c>
      <c r="E50" s="83" t="s">
        <v>74</v>
      </c>
      <c r="F50" s="83">
        <v>3165615618</v>
      </c>
      <c r="G50" s="83">
        <v>16740212</v>
      </c>
      <c r="H50" s="29" t="s">
        <v>75</v>
      </c>
      <c r="I50" s="29" t="s">
        <v>61</v>
      </c>
      <c r="J50" s="83" t="s">
        <v>65</v>
      </c>
      <c r="K50" s="84">
        <f t="shared" si="20"/>
        <v>105000</v>
      </c>
      <c r="L50" s="85">
        <f>VLOOKUP(B50,'REGISTRO ABONOS'!$B$8:$BC$10038,54,0)</f>
        <v>0</v>
      </c>
      <c r="M50" s="6"/>
    </row>
    <row r="51" spans="1:13" ht="32.25" hidden="1" customHeight="1" x14ac:dyDescent="0.2">
      <c r="A51" s="8"/>
      <c r="B51" s="31">
        <v>1245</v>
      </c>
      <c r="C51" s="30">
        <v>43561</v>
      </c>
      <c r="D51" s="83" t="s">
        <v>154</v>
      </c>
      <c r="E51" s="83" t="s">
        <v>155</v>
      </c>
      <c r="F51" s="83">
        <v>3103752744</v>
      </c>
      <c r="G51" s="83">
        <v>94230036</v>
      </c>
      <c r="H51" s="29" t="s">
        <v>60</v>
      </c>
      <c r="I51" s="29" t="s">
        <v>61</v>
      </c>
      <c r="J51" s="83" t="s">
        <v>65</v>
      </c>
      <c r="K51" s="84">
        <f t="shared" si="20"/>
        <v>105000</v>
      </c>
      <c r="L51" s="85" t="e">
        <f>VLOOKUP(B51,'REGISTRO ABONOS'!$B$8:$BC$10038,54,0)</f>
        <v>#N/A</v>
      </c>
      <c r="M51" s="6"/>
    </row>
    <row r="52" spans="1:13" ht="32.25" hidden="1" customHeight="1" x14ac:dyDescent="0.2">
      <c r="A52" s="8"/>
      <c r="B52" s="31">
        <v>1282</v>
      </c>
      <c r="C52" s="30">
        <v>43559</v>
      </c>
      <c r="D52" s="83" t="s">
        <v>322</v>
      </c>
      <c r="E52" s="83" t="s">
        <v>323</v>
      </c>
      <c r="F52" s="83">
        <v>3115522999</v>
      </c>
      <c r="G52" s="83">
        <v>92232544</v>
      </c>
      <c r="H52" s="29" t="s">
        <v>140</v>
      </c>
      <c r="I52" s="29" t="s">
        <v>61</v>
      </c>
      <c r="J52" s="83" t="s">
        <v>322</v>
      </c>
      <c r="K52" s="84">
        <f t="shared" si="20"/>
        <v>105000</v>
      </c>
      <c r="L52" s="85">
        <f>VLOOKUP(B52,'REGISTRO ABONOS'!$B$8:$BC$10038,54,0)</f>
        <v>0</v>
      </c>
      <c r="M52" s="6"/>
    </row>
    <row r="53" spans="1:13" ht="32.25" hidden="1" customHeight="1" x14ac:dyDescent="0.2">
      <c r="A53" s="8"/>
      <c r="B53" s="31">
        <v>1317</v>
      </c>
      <c r="C53" s="30">
        <v>43565</v>
      </c>
      <c r="D53" s="83" t="s">
        <v>364</v>
      </c>
      <c r="E53" s="83" t="s">
        <v>365</v>
      </c>
      <c r="F53" s="83">
        <v>3207136808</v>
      </c>
      <c r="G53" s="83">
        <v>16540650</v>
      </c>
      <c r="H53" s="29" t="s">
        <v>140</v>
      </c>
      <c r="I53" s="29" t="s">
        <v>61</v>
      </c>
      <c r="J53" s="83" t="s">
        <v>355</v>
      </c>
      <c r="K53" s="84">
        <f t="shared" si="20"/>
        <v>105000</v>
      </c>
      <c r="L53" s="85" t="e">
        <f>VLOOKUP(B53,'REGISTRO ABONOS'!$B$8:$BC$10038,54,0)</f>
        <v>#N/A</v>
      </c>
      <c r="M53" s="6"/>
    </row>
    <row r="54" spans="1:13" ht="32.25" hidden="1" customHeight="1" x14ac:dyDescent="0.2">
      <c r="A54" s="8"/>
      <c r="B54" s="31">
        <v>1342</v>
      </c>
      <c r="C54" s="30">
        <v>43571</v>
      </c>
      <c r="D54" s="83" t="s">
        <v>481</v>
      </c>
      <c r="E54" s="83" t="s">
        <v>482</v>
      </c>
      <c r="F54" s="83">
        <v>3103861792</v>
      </c>
      <c r="G54" s="83">
        <v>66682337</v>
      </c>
      <c r="H54" s="29" t="s">
        <v>140</v>
      </c>
      <c r="I54" s="29" t="s">
        <v>61</v>
      </c>
      <c r="J54" s="83" t="s">
        <v>322</v>
      </c>
      <c r="K54" s="84">
        <f t="shared" si="20"/>
        <v>105000</v>
      </c>
      <c r="L54" s="85" t="e">
        <f>VLOOKUP(B54,'REGISTRO ABONOS'!$B$8:$BC$10038,54,0)</f>
        <v>#N/A</v>
      </c>
      <c r="M54" s="6"/>
    </row>
    <row r="55" spans="1:13" ht="32.25" hidden="1" customHeight="1" x14ac:dyDescent="0.2">
      <c r="A55" s="8"/>
      <c r="B55" s="31">
        <v>1346</v>
      </c>
      <c r="C55" s="30">
        <v>43560</v>
      </c>
      <c r="D55" s="83" t="s">
        <v>211</v>
      </c>
      <c r="E55" s="83" t="s">
        <v>212</v>
      </c>
      <c r="F55" s="83">
        <v>3122300945</v>
      </c>
      <c r="G55" s="83" t="s">
        <v>70</v>
      </c>
      <c r="H55" s="29" t="s">
        <v>60</v>
      </c>
      <c r="I55" s="29" t="s">
        <v>61</v>
      </c>
      <c r="J55" s="83" t="s">
        <v>211</v>
      </c>
      <c r="K55" s="84">
        <f t="shared" si="20"/>
        <v>105000</v>
      </c>
      <c r="L55" s="85" t="e">
        <f>VLOOKUP(B55,'REGISTRO ABONOS'!$B$8:$BC$10038,54,0)</f>
        <v>#N/A</v>
      </c>
      <c r="M55" s="6"/>
    </row>
    <row r="56" spans="1:13" ht="32.25" hidden="1" customHeight="1" x14ac:dyDescent="0.2">
      <c r="A56" s="8"/>
      <c r="B56" s="31">
        <v>1347</v>
      </c>
      <c r="C56" s="30">
        <v>43557</v>
      </c>
      <c r="D56" s="83" t="s">
        <v>114</v>
      </c>
      <c r="E56" s="83" t="s">
        <v>115</v>
      </c>
      <c r="F56" s="83">
        <v>3046476094</v>
      </c>
      <c r="G56" s="83">
        <v>29185108</v>
      </c>
      <c r="H56" s="29" t="s">
        <v>60</v>
      </c>
      <c r="I56" s="29" t="s">
        <v>61</v>
      </c>
      <c r="J56" s="83" t="s">
        <v>107</v>
      </c>
      <c r="K56" s="84">
        <f t="shared" si="20"/>
        <v>105000</v>
      </c>
      <c r="L56" s="85" t="e">
        <f>VLOOKUP(B56,'REGISTRO ABONOS'!$B$8:$BC$10038,54,0)</f>
        <v>#N/A</v>
      </c>
      <c r="M56" s="6"/>
    </row>
    <row r="57" spans="1:13" ht="32.25" hidden="1" customHeight="1" x14ac:dyDescent="0.2">
      <c r="A57" s="8"/>
      <c r="B57" s="31">
        <v>1383</v>
      </c>
      <c r="C57" s="30">
        <v>43561</v>
      </c>
      <c r="D57" s="83" t="s">
        <v>141</v>
      </c>
      <c r="E57" s="83" t="s">
        <v>142</v>
      </c>
      <c r="F57" s="83">
        <v>3137279412</v>
      </c>
      <c r="G57" s="83">
        <v>16361504</v>
      </c>
      <c r="H57" s="29" t="s">
        <v>140</v>
      </c>
      <c r="I57" s="29" t="s">
        <v>61</v>
      </c>
      <c r="J57" s="83" t="s">
        <v>65</v>
      </c>
      <c r="K57" s="84">
        <f t="shared" si="20"/>
        <v>105000</v>
      </c>
      <c r="L57" s="85" t="e">
        <f>VLOOKUP(B57,'REGISTRO ABONOS'!$B$8:$BC$10038,54,0)</f>
        <v>#N/A</v>
      </c>
      <c r="M57" s="6"/>
    </row>
    <row r="58" spans="1:13" ht="32.25" hidden="1" customHeight="1" x14ac:dyDescent="0.2">
      <c r="A58" s="8"/>
      <c r="B58" s="31">
        <v>1411</v>
      </c>
      <c r="C58" s="30">
        <v>43564</v>
      </c>
      <c r="D58" s="83" t="s">
        <v>233</v>
      </c>
      <c r="E58" s="83" t="s">
        <v>234</v>
      </c>
      <c r="F58" s="83">
        <v>3172759876</v>
      </c>
      <c r="G58" s="83">
        <v>66684262</v>
      </c>
      <c r="H58" s="29" t="s">
        <v>60</v>
      </c>
      <c r="I58" s="29" t="s">
        <v>61</v>
      </c>
      <c r="J58" s="83" t="s">
        <v>229</v>
      </c>
      <c r="K58" s="84">
        <f t="shared" si="20"/>
        <v>105000</v>
      </c>
      <c r="L58" s="85" t="e">
        <f>VLOOKUP(B58,'REGISTRO ABONOS'!$B$8:$BC$10038,54,0)</f>
        <v>#N/A</v>
      </c>
      <c r="M58" s="6"/>
    </row>
    <row r="59" spans="1:13" ht="32.25" hidden="1" customHeight="1" x14ac:dyDescent="0.2">
      <c r="A59" s="8"/>
      <c r="B59" s="31">
        <v>1574</v>
      </c>
      <c r="C59" s="30">
        <v>43558</v>
      </c>
      <c r="D59" s="83" t="s">
        <v>131</v>
      </c>
      <c r="E59" s="83" t="s">
        <v>134</v>
      </c>
      <c r="F59" s="83">
        <v>3115699030</v>
      </c>
      <c r="G59" s="83">
        <v>25014503</v>
      </c>
      <c r="H59" s="29" t="s">
        <v>132</v>
      </c>
      <c r="I59" s="29" t="s">
        <v>133</v>
      </c>
      <c r="J59" s="83" t="s">
        <v>65</v>
      </c>
      <c r="K59" s="84">
        <f t="shared" si="20"/>
        <v>105000</v>
      </c>
      <c r="L59" s="85" t="e">
        <f>VLOOKUP(B59,'REGISTRO ABONOS'!$B$8:$BC$10038,54,0)</f>
        <v>#N/A</v>
      </c>
      <c r="M59" s="6"/>
    </row>
    <row r="60" spans="1:13" ht="32.25" hidden="1" customHeight="1" x14ac:dyDescent="0.2">
      <c r="A60" s="8"/>
      <c r="B60" s="31">
        <v>1610</v>
      </c>
      <c r="C60" s="30">
        <v>43563</v>
      </c>
      <c r="D60" s="83" t="s">
        <v>90</v>
      </c>
      <c r="E60" s="83" t="s">
        <v>91</v>
      </c>
      <c r="F60" s="83">
        <v>3108301277</v>
      </c>
      <c r="G60" s="83"/>
      <c r="H60" s="29" t="s">
        <v>92</v>
      </c>
      <c r="I60" s="29" t="s">
        <v>93</v>
      </c>
      <c r="J60" s="83" t="s">
        <v>89</v>
      </c>
      <c r="K60" s="84">
        <f t="shared" ref="K60:K91" si="21">IF(C60&gt;43607,130000,105000)</f>
        <v>105000</v>
      </c>
      <c r="L60" s="85" t="e">
        <f>VLOOKUP(B60,'REGISTRO ABONOS'!$B$8:$BC$10038,54,0)</f>
        <v>#N/A</v>
      </c>
      <c r="M60" s="6"/>
    </row>
    <row r="61" spans="1:13" ht="32.25" hidden="1" customHeight="1" x14ac:dyDescent="0.2">
      <c r="A61" s="8"/>
      <c r="B61" s="31">
        <v>1635</v>
      </c>
      <c r="C61" s="30">
        <v>43559</v>
      </c>
      <c r="D61" s="83" t="s">
        <v>65</v>
      </c>
      <c r="E61" s="83" t="s">
        <v>77</v>
      </c>
      <c r="F61" s="83">
        <v>3117137134</v>
      </c>
      <c r="G61" s="83">
        <v>66682736</v>
      </c>
      <c r="H61" s="29" t="s">
        <v>60</v>
      </c>
      <c r="I61" s="29" t="s">
        <v>61</v>
      </c>
      <c r="J61" s="83" t="s">
        <v>65</v>
      </c>
      <c r="K61" s="84">
        <f t="shared" si="21"/>
        <v>105000</v>
      </c>
      <c r="L61" s="85">
        <f>VLOOKUP(B61,'REGISTRO ABONOS'!$B$8:$BC$10038,54,0)</f>
        <v>50000</v>
      </c>
      <c r="M61" s="6"/>
    </row>
    <row r="62" spans="1:13" ht="32.25" hidden="1" customHeight="1" x14ac:dyDescent="0.2">
      <c r="A62" s="8"/>
      <c r="B62" s="31">
        <v>1720</v>
      </c>
      <c r="C62" s="30">
        <v>43560</v>
      </c>
      <c r="D62" s="83" t="s">
        <v>223</v>
      </c>
      <c r="E62" s="83" t="s">
        <v>224</v>
      </c>
      <c r="F62" s="83">
        <v>3228206575</v>
      </c>
      <c r="G62" s="83">
        <v>29995319</v>
      </c>
      <c r="H62" s="29" t="s">
        <v>70</v>
      </c>
      <c r="I62" s="29" t="s">
        <v>61</v>
      </c>
      <c r="J62" s="83" t="s">
        <v>211</v>
      </c>
      <c r="K62" s="84">
        <f t="shared" si="21"/>
        <v>105000</v>
      </c>
      <c r="L62" s="85" t="e">
        <f>VLOOKUP(B62,'REGISTRO ABONOS'!$B$8:$BC$10038,54,0)</f>
        <v>#N/A</v>
      </c>
      <c r="M62" s="6"/>
    </row>
    <row r="63" spans="1:13" ht="32.25" hidden="1" customHeight="1" x14ac:dyDescent="0.2">
      <c r="A63" s="8"/>
      <c r="B63" s="31">
        <v>1738</v>
      </c>
      <c r="C63" s="30">
        <v>43571</v>
      </c>
      <c r="D63" s="83" t="s">
        <v>485</v>
      </c>
      <c r="E63" s="83" t="s">
        <v>486</v>
      </c>
      <c r="F63" s="83">
        <v>3113611957</v>
      </c>
      <c r="G63" s="83">
        <v>7522728</v>
      </c>
      <c r="H63" s="29" t="s">
        <v>102</v>
      </c>
      <c r="I63" s="29" t="s">
        <v>61</v>
      </c>
      <c r="J63" s="83" t="s">
        <v>322</v>
      </c>
      <c r="K63" s="84">
        <f t="shared" si="21"/>
        <v>105000</v>
      </c>
      <c r="L63" s="85" t="e">
        <f>VLOOKUP(B63,'REGISTRO ABONOS'!$B$8:$BC$10038,54,0)</f>
        <v>#N/A</v>
      </c>
      <c r="M63" s="6"/>
    </row>
    <row r="64" spans="1:13" ht="32.25" hidden="1" customHeight="1" x14ac:dyDescent="0.2">
      <c r="A64" s="8"/>
      <c r="B64" s="31">
        <v>1828</v>
      </c>
      <c r="C64" s="30">
        <v>43571</v>
      </c>
      <c r="D64" s="83" t="s">
        <v>449</v>
      </c>
      <c r="E64" s="83" t="s">
        <v>450</v>
      </c>
      <c r="F64" s="83">
        <v>3137847742</v>
      </c>
      <c r="G64" s="83">
        <v>6557806</v>
      </c>
      <c r="H64" s="29" t="s">
        <v>60</v>
      </c>
      <c r="I64" s="29" t="s">
        <v>61</v>
      </c>
      <c r="J64" s="83" t="s">
        <v>336</v>
      </c>
      <c r="K64" s="84">
        <f t="shared" si="21"/>
        <v>105000</v>
      </c>
      <c r="L64" s="85" t="e">
        <f>VLOOKUP(B64,'REGISTRO ABONOS'!$B$8:$BC$10038,54,0)</f>
        <v>#N/A</v>
      </c>
      <c r="M64" s="6"/>
    </row>
    <row r="65" spans="1:13" ht="32.25" hidden="1" customHeight="1" x14ac:dyDescent="0.2">
      <c r="A65" s="8"/>
      <c r="B65" s="31">
        <v>1867</v>
      </c>
      <c r="C65" s="30">
        <v>43567</v>
      </c>
      <c r="D65" s="83" t="s">
        <v>318</v>
      </c>
      <c r="E65" s="83" t="s">
        <v>319</v>
      </c>
      <c r="F65" s="83">
        <v>3104629703</v>
      </c>
      <c r="G65" s="83">
        <v>1116444320</v>
      </c>
      <c r="H65" s="29" t="s">
        <v>60</v>
      </c>
      <c r="I65" s="29" t="s">
        <v>61</v>
      </c>
      <c r="J65" s="83" t="s">
        <v>87</v>
      </c>
      <c r="K65" s="84">
        <f t="shared" si="21"/>
        <v>105000</v>
      </c>
      <c r="L65" s="85" t="e">
        <f>VLOOKUP(B65,'REGISTRO ABONOS'!$B$8:$BC$10038,54,0)</f>
        <v>#N/A</v>
      </c>
      <c r="M65" s="6"/>
    </row>
    <row r="66" spans="1:13" ht="32.25" hidden="1" customHeight="1" x14ac:dyDescent="0.2">
      <c r="A66" s="8"/>
      <c r="B66" s="31">
        <v>1936</v>
      </c>
      <c r="C66" s="30">
        <v>43556</v>
      </c>
      <c r="D66" s="83" t="s">
        <v>63</v>
      </c>
      <c r="E66" s="83" t="s">
        <v>64</v>
      </c>
      <c r="F66" s="83">
        <v>3216971073</v>
      </c>
      <c r="G66" s="83">
        <v>29993024</v>
      </c>
      <c r="H66" s="29" t="s">
        <v>60</v>
      </c>
      <c r="I66" s="29" t="s">
        <v>61</v>
      </c>
      <c r="J66" s="83" t="s">
        <v>65</v>
      </c>
      <c r="K66" s="84">
        <f t="shared" si="21"/>
        <v>105000</v>
      </c>
      <c r="L66" s="85">
        <f>VLOOKUP(B66,'REGISTRO ABONOS'!$B$8:$BC$10038,54,0)</f>
        <v>13000</v>
      </c>
      <c r="M66" s="6"/>
    </row>
    <row r="67" spans="1:13" ht="32.25" hidden="1" customHeight="1" x14ac:dyDescent="0.2">
      <c r="A67" s="8"/>
      <c r="B67" s="31">
        <v>1944</v>
      </c>
      <c r="C67" s="30">
        <v>43564</v>
      </c>
      <c r="D67" s="83" t="s">
        <v>87</v>
      </c>
      <c r="E67" s="83" t="s">
        <v>157</v>
      </c>
      <c r="F67" s="83">
        <v>3148978584</v>
      </c>
      <c r="G67" s="83">
        <v>17118304</v>
      </c>
      <c r="H67" s="29" t="s">
        <v>60</v>
      </c>
      <c r="I67" s="29" t="s">
        <v>61</v>
      </c>
      <c r="J67" s="83" t="s">
        <v>87</v>
      </c>
      <c r="K67" s="84">
        <f t="shared" si="21"/>
        <v>105000</v>
      </c>
      <c r="L67" s="85" t="e">
        <f>VLOOKUP(B67,'REGISTRO ABONOS'!$B$8:$BC$10038,54,0)</f>
        <v>#N/A</v>
      </c>
      <c r="M67" s="6"/>
    </row>
    <row r="68" spans="1:13" ht="32.25" hidden="1" customHeight="1" x14ac:dyDescent="0.2">
      <c r="A68" s="8"/>
      <c r="B68" s="31">
        <v>1958</v>
      </c>
      <c r="C68" s="30">
        <v>43564</v>
      </c>
      <c r="D68" s="83" t="s">
        <v>230</v>
      </c>
      <c r="E68" s="83" t="s">
        <v>231</v>
      </c>
      <c r="F68" s="83">
        <v>3116610696</v>
      </c>
      <c r="G68" s="83" t="s">
        <v>70</v>
      </c>
      <c r="H68" s="29" t="s">
        <v>60</v>
      </c>
      <c r="I68" s="29" t="s">
        <v>61</v>
      </c>
      <c r="J68" s="83" t="s">
        <v>229</v>
      </c>
      <c r="K68" s="84">
        <f t="shared" si="21"/>
        <v>105000</v>
      </c>
      <c r="L68" s="85" t="e">
        <f>VLOOKUP(B68,'REGISTRO ABONOS'!$B$8:$BC$10038,54,0)</f>
        <v>#N/A</v>
      </c>
      <c r="M68" s="6"/>
    </row>
    <row r="69" spans="1:13" ht="32.25" hidden="1" customHeight="1" x14ac:dyDescent="0.2">
      <c r="A69" s="8"/>
      <c r="B69" s="31">
        <v>1965</v>
      </c>
      <c r="C69" s="30">
        <v>43561</v>
      </c>
      <c r="D69" s="66" t="s">
        <v>68</v>
      </c>
      <c r="E69" s="66" t="s">
        <v>69</v>
      </c>
      <c r="F69" s="66">
        <v>3103585498</v>
      </c>
      <c r="G69" s="66">
        <v>29993464</v>
      </c>
      <c r="H69" s="29" t="s">
        <v>60</v>
      </c>
      <c r="I69" s="29" t="s">
        <v>61</v>
      </c>
      <c r="J69" s="66" t="s">
        <v>65</v>
      </c>
      <c r="K69" s="69">
        <f t="shared" si="21"/>
        <v>105000</v>
      </c>
      <c r="L69" s="62">
        <f>VLOOKUP(B69,'REGISTRO ABONOS'!$B$8:$BC$10038,54,0)</f>
        <v>75000</v>
      </c>
      <c r="M69" s="6"/>
    </row>
    <row r="70" spans="1:13" ht="32.25" hidden="1" customHeight="1" x14ac:dyDescent="0.2">
      <c r="A70" s="8"/>
      <c r="B70" s="31">
        <v>1981</v>
      </c>
      <c r="C70" s="30">
        <v>43556</v>
      </c>
      <c r="D70" s="83" t="s">
        <v>148</v>
      </c>
      <c r="E70" s="83" t="s">
        <v>149</v>
      </c>
      <c r="F70" s="83">
        <v>3124929546</v>
      </c>
      <c r="G70" s="83">
        <v>18465890</v>
      </c>
      <c r="H70" s="29" t="s">
        <v>132</v>
      </c>
      <c r="I70" s="29" t="s">
        <v>133</v>
      </c>
      <c r="J70" s="83" t="s">
        <v>65</v>
      </c>
      <c r="K70" s="84">
        <f t="shared" si="21"/>
        <v>105000</v>
      </c>
      <c r="L70" s="85" t="e">
        <f>VLOOKUP(B70,'REGISTRO ABONOS'!$B$8:$BC$10038,54,0)</f>
        <v>#N/A</v>
      </c>
      <c r="M70" s="6"/>
    </row>
    <row r="71" spans="1:13" ht="32.25" hidden="1" customHeight="1" x14ac:dyDescent="0.2">
      <c r="A71" s="8"/>
      <c r="B71" s="31">
        <v>1985</v>
      </c>
      <c r="C71" s="30">
        <v>43559</v>
      </c>
      <c r="D71" s="83" t="s">
        <v>123</v>
      </c>
      <c r="E71" s="83" t="s">
        <v>124</v>
      </c>
      <c r="F71" s="83">
        <v>3113368929</v>
      </c>
      <c r="G71" s="83">
        <v>40340970</v>
      </c>
      <c r="H71" s="29" t="s">
        <v>60</v>
      </c>
      <c r="I71" s="29" t="s">
        <v>61</v>
      </c>
      <c r="J71" s="83" t="s">
        <v>65</v>
      </c>
      <c r="K71" s="84">
        <f t="shared" si="21"/>
        <v>105000</v>
      </c>
      <c r="L71" s="85" t="e">
        <f>VLOOKUP(B71,'REGISTRO ABONOS'!$B$8:$BC$10038,54,0)</f>
        <v>#N/A</v>
      </c>
      <c r="M71" s="6"/>
    </row>
    <row r="72" spans="1:13" ht="32.25" hidden="1" customHeight="1" x14ac:dyDescent="0.2">
      <c r="A72" s="8"/>
      <c r="B72" s="31">
        <v>2113</v>
      </c>
      <c r="C72" s="30">
        <v>43571</v>
      </c>
      <c r="D72" s="83" t="s">
        <v>489</v>
      </c>
      <c r="E72" s="83" t="s">
        <v>490</v>
      </c>
      <c r="F72" s="83">
        <v>3235172645</v>
      </c>
      <c r="G72" s="83">
        <v>1047458820</v>
      </c>
      <c r="H72" s="29" t="s">
        <v>140</v>
      </c>
      <c r="I72" s="29" t="s">
        <v>61</v>
      </c>
      <c r="J72" s="83" t="s">
        <v>322</v>
      </c>
      <c r="K72" s="84">
        <f t="shared" si="21"/>
        <v>105000</v>
      </c>
      <c r="L72" s="85" t="e">
        <f>VLOOKUP(B72,'REGISTRO ABONOS'!$B$8:$BC$10038,54,0)</f>
        <v>#N/A</v>
      </c>
      <c r="M72" s="6"/>
    </row>
    <row r="73" spans="1:13" ht="32.25" hidden="1" customHeight="1" x14ac:dyDescent="0.2">
      <c r="A73" s="8"/>
      <c r="B73" s="31">
        <v>2308</v>
      </c>
      <c r="C73" s="30">
        <v>43564</v>
      </c>
      <c r="D73" s="83" t="s">
        <v>246</v>
      </c>
      <c r="E73" s="83" t="s">
        <v>247</v>
      </c>
      <c r="F73" s="83">
        <v>22088790</v>
      </c>
      <c r="G73" s="83">
        <v>24494724</v>
      </c>
      <c r="H73" s="29" t="s">
        <v>60</v>
      </c>
      <c r="I73" s="29" t="s">
        <v>61</v>
      </c>
      <c r="J73" s="83" t="s">
        <v>229</v>
      </c>
      <c r="K73" s="84">
        <f t="shared" si="21"/>
        <v>105000</v>
      </c>
      <c r="L73" s="85" t="e">
        <f>VLOOKUP(B73,'REGISTRO ABONOS'!$B$8:$BC$10038,54,0)</f>
        <v>#N/A</v>
      </c>
      <c r="M73" s="6"/>
    </row>
    <row r="74" spans="1:13" ht="32.25" hidden="1" customHeight="1" x14ac:dyDescent="0.2">
      <c r="A74" s="8"/>
      <c r="B74" s="31">
        <v>2317</v>
      </c>
      <c r="C74" s="30">
        <v>43560</v>
      </c>
      <c r="D74" s="83" t="s">
        <v>215</v>
      </c>
      <c r="E74" s="83" t="s">
        <v>216</v>
      </c>
      <c r="F74" s="83">
        <v>3116241555</v>
      </c>
      <c r="G74" s="83">
        <v>6560378</v>
      </c>
      <c r="H74" s="29" t="s">
        <v>60</v>
      </c>
      <c r="I74" s="29" t="s">
        <v>61</v>
      </c>
      <c r="J74" s="83" t="s">
        <v>211</v>
      </c>
      <c r="K74" s="84">
        <f t="shared" si="21"/>
        <v>105000</v>
      </c>
      <c r="L74" s="85" t="e">
        <f>VLOOKUP(B74,'REGISTRO ABONOS'!$B$8:$BC$10038,54,0)</f>
        <v>#N/A</v>
      </c>
      <c r="M74" s="6"/>
    </row>
    <row r="75" spans="1:13" ht="32.25" hidden="1" customHeight="1" x14ac:dyDescent="0.2">
      <c r="A75" s="8"/>
      <c r="B75" s="31">
        <v>2318</v>
      </c>
      <c r="C75" s="30">
        <v>43564</v>
      </c>
      <c r="D75" s="83" t="s">
        <v>266</v>
      </c>
      <c r="E75" s="83" t="s">
        <v>267</v>
      </c>
      <c r="F75" s="83">
        <v>3186505737</v>
      </c>
      <c r="G75" s="83">
        <v>66673401</v>
      </c>
      <c r="H75" s="29" t="s">
        <v>60</v>
      </c>
      <c r="I75" s="29" t="s">
        <v>61</v>
      </c>
      <c r="J75" s="83" t="s">
        <v>229</v>
      </c>
      <c r="K75" s="84">
        <f t="shared" si="21"/>
        <v>105000</v>
      </c>
      <c r="L75" s="85" t="e">
        <f>VLOOKUP(B75,'REGISTRO ABONOS'!$B$8:$BC$10038,54,0)</f>
        <v>#N/A</v>
      </c>
      <c r="M75" s="6"/>
    </row>
    <row r="76" spans="1:13" ht="32.25" hidden="1" customHeight="1" x14ac:dyDescent="0.2">
      <c r="A76" s="8"/>
      <c r="B76" s="31">
        <v>2319</v>
      </c>
      <c r="C76" s="30">
        <v>43564</v>
      </c>
      <c r="D76" s="83" t="s">
        <v>237</v>
      </c>
      <c r="E76" s="83" t="s">
        <v>238</v>
      </c>
      <c r="F76" s="83">
        <v>3148092893</v>
      </c>
      <c r="G76" s="83">
        <v>1116441203</v>
      </c>
      <c r="H76" s="29" t="s">
        <v>60</v>
      </c>
      <c r="I76" s="29" t="s">
        <v>61</v>
      </c>
      <c r="J76" s="83" t="s">
        <v>229</v>
      </c>
      <c r="K76" s="84">
        <f t="shared" si="21"/>
        <v>105000</v>
      </c>
      <c r="L76" s="85" t="e">
        <f>VLOOKUP(B76,'REGISTRO ABONOS'!$B$8:$BC$10038,54,0)</f>
        <v>#N/A</v>
      </c>
      <c r="M76" s="6"/>
    </row>
    <row r="77" spans="1:13" ht="32.25" hidden="1" customHeight="1" x14ac:dyDescent="0.2">
      <c r="A77" s="8"/>
      <c r="B77" s="31">
        <v>2330</v>
      </c>
      <c r="C77" s="30">
        <v>43571</v>
      </c>
      <c r="D77" s="83" t="s">
        <v>470</v>
      </c>
      <c r="E77" s="83" t="s">
        <v>471</v>
      </c>
      <c r="F77" s="83">
        <v>3168305463</v>
      </c>
      <c r="G77" s="83">
        <v>94232773</v>
      </c>
      <c r="H77" s="29" t="s">
        <v>60</v>
      </c>
      <c r="I77" s="29" t="s">
        <v>61</v>
      </c>
      <c r="J77" s="83" t="s">
        <v>322</v>
      </c>
      <c r="K77" s="84">
        <f t="shared" si="21"/>
        <v>105000</v>
      </c>
      <c r="L77" s="85" t="e">
        <f>VLOOKUP(B77,'REGISTRO ABONOS'!$B$8:$BC$10038,54,0)</f>
        <v>#N/A</v>
      </c>
      <c r="M77" s="6"/>
    </row>
    <row r="78" spans="1:13" ht="32.25" hidden="1" customHeight="1" x14ac:dyDescent="0.2">
      <c r="A78" s="8"/>
      <c r="B78" s="31">
        <v>2341</v>
      </c>
      <c r="C78" s="30">
        <v>43564</v>
      </c>
      <c r="D78" s="83" t="s">
        <v>273</v>
      </c>
      <c r="E78" s="83" t="s">
        <v>231</v>
      </c>
      <c r="F78" s="83">
        <v>3145701674</v>
      </c>
      <c r="G78" s="83">
        <v>1116434623</v>
      </c>
      <c r="H78" s="29" t="s">
        <v>60</v>
      </c>
      <c r="I78" s="29" t="s">
        <v>61</v>
      </c>
      <c r="J78" s="83" t="s">
        <v>229</v>
      </c>
      <c r="K78" s="84">
        <f t="shared" si="21"/>
        <v>105000</v>
      </c>
      <c r="L78" s="85" t="e">
        <f>VLOOKUP(B78,'REGISTRO ABONOS'!$B$8:$BC$10038,54,0)</f>
        <v>#N/A</v>
      </c>
      <c r="M78" s="6"/>
    </row>
    <row r="79" spans="1:13" ht="32.25" hidden="1" customHeight="1" x14ac:dyDescent="0.2">
      <c r="A79" s="8"/>
      <c r="B79" s="31">
        <v>2345</v>
      </c>
      <c r="C79" s="30">
        <v>43571</v>
      </c>
      <c r="D79" s="83" t="s">
        <v>379</v>
      </c>
      <c r="E79" s="83" t="s">
        <v>380</v>
      </c>
      <c r="F79" s="83">
        <v>3156033073</v>
      </c>
      <c r="G79" s="83">
        <v>31118698</v>
      </c>
      <c r="H79" s="29" t="s">
        <v>128</v>
      </c>
      <c r="I79" s="29" t="s">
        <v>61</v>
      </c>
      <c r="J79" s="83" t="s">
        <v>338</v>
      </c>
      <c r="K79" s="84">
        <f t="shared" si="21"/>
        <v>105000</v>
      </c>
      <c r="L79" s="85" t="e">
        <f>VLOOKUP(B79,'REGISTRO ABONOS'!$B$8:$BC$10038,54,0)</f>
        <v>#N/A</v>
      </c>
      <c r="M79" s="6"/>
    </row>
    <row r="80" spans="1:13" ht="32.25" hidden="1" customHeight="1" x14ac:dyDescent="0.2">
      <c r="A80" s="8"/>
      <c r="B80" s="31">
        <v>2352</v>
      </c>
      <c r="C80" s="30">
        <v>43565</v>
      </c>
      <c r="D80" s="83" t="s">
        <v>281</v>
      </c>
      <c r="E80" s="83" t="s">
        <v>301</v>
      </c>
      <c r="F80" s="83">
        <v>3215992494</v>
      </c>
      <c r="G80" s="83">
        <v>66976484</v>
      </c>
      <c r="H80" s="29" t="s">
        <v>75</v>
      </c>
      <c r="I80" s="29" t="s">
        <v>61</v>
      </c>
      <c r="J80" s="83" t="s">
        <v>281</v>
      </c>
      <c r="K80" s="84">
        <f t="shared" si="21"/>
        <v>105000</v>
      </c>
      <c r="L80" s="85" t="e">
        <f>VLOOKUP(B80,'REGISTRO ABONOS'!$B$8:$BC$10038,54,0)</f>
        <v>#N/A</v>
      </c>
      <c r="M80" s="6"/>
    </row>
    <row r="81" spans="1:13" ht="32.25" hidden="1" customHeight="1" x14ac:dyDescent="0.2">
      <c r="A81" s="8"/>
      <c r="B81" s="31">
        <v>2370</v>
      </c>
      <c r="C81" s="30">
        <v>43565</v>
      </c>
      <c r="D81" s="83" t="s">
        <v>294</v>
      </c>
      <c r="E81" s="83" t="s">
        <v>295</v>
      </c>
      <c r="F81" s="83">
        <v>3122906108</v>
      </c>
      <c r="G81" s="83">
        <v>70827282</v>
      </c>
      <c r="H81" s="29" t="s">
        <v>285</v>
      </c>
      <c r="I81" s="29" t="s">
        <v>61</v>
      </c>
      <c r="J81" s="83" t="s">
        <v>281</v>
      </c>
      <c r="K81" s="84">
        <f t="shared" si="21"/>
        <v>105000</v>
      </c>
      <c r="L81" s="85" t="e">
        <f>VLOOKUP(B81,'REGISTRO ABONOS'!$B$8:$BC$10038,54,0)</f>
        <v>#N/A</v>
      </c>
      <c r="M81" s="6"/>
    </row>
    <row r="82" spans="1:13" ht="32.25" hidden="1" customHeight="1" x14ac:dyDescent="0.2">
      <c r="A82" s="8"/>
      <c r="B82" s="31">
        <v>2372</v>
      </c>
      <c r="C82" s="30">
        <v>43571</v>
      </c>
      <c r="D82" s="83" t="s">
        <v>361</v>
      </c>
      <c r="E82" s="83" t="s">
        <v>287</v>
      </c>
      <c r="F82" s="83">
        <v>3168482692</v>
      </c>
      <c r="G82" s="83" t="s">
        <v>70</v>
      </c>
      <c r="H82" s="29" t="s">
        <v>287</v>
      </c>
      <c r="I82" s="29" t="s">
        <v>61</v>
      </c>
      <c r="J82" s="83" t="s">
        <v>345</v>
      </c>
      <c r="K82" s="84">
        <f t="shared" si="21"/>
        <v>105000</v>
      </c>
      <c r="L82" s="85">
        <f>VLOOKUP(B82,'REGISTRO ABONOS'!$B$8:$BC$10038,54,0)</f>
        <v>70000</v>
      </c>
      <c r="M82" s="6"/>
    </row>
    <row r="83" spans="1:13" ht="32.25" hidden="1" customHeight="1" x14ac:dyDescent="0.2">
      <c r="A83" s="8"/>
      <c r="B83" s="31">
        <v>2453</v>
      </c>
      <c r="C83" s="30">
        <v>43561</v>
      </c>
      <c r="D83" s="83" t="s">
        <v>136</v>
      </c>
      <c r="E83" s="83" t="s">
        <v>137</v>
      </c>
      <c r="F83" s="83">
        <v>3148944017</v>
      </c>
      <c r="G83" s="83">
        <v>80438151</v>
      </c>
      <c r="H83" s="29" t="s">
        <v>75</v>
      </c>
      <c r="I83" s="29" t="s">
        <v>61</v>
      </c>
      <c r="J83" s="83" t="s">
        <v>65</v>
      </c>
      <c r="K83" s="84">
        <f t="shared" si="21"/>
        <v>105000</v>
      </c>
      <c r="L83" s="85" t="e">
        <f>VLOOKUP(B83,'REGISTRO ABONOS'!$B$8:$BC$10038,54,0)</f>
        <v>#N/A</v>
      </c>
      <c r="M83" s="6"/>
    </row>
    <row r="84" spans="1:13" ht="32.25" hidden="1" customHeight="1" x14ac:dyDescent="0.2">
      <c r="A84" s="8"/>
      <c r="B84" s="31">
        <v>2475</v>
      </c>
      <c r="C84" s="30">
        <v>43564</v>
      </c>
      <c r="D84" s="83" t="s">
        <v>259</v>
      </c>
      <c r="E84" s="83" t="s">
        <v>260</v>
      </c>
      <c r="F84" s="83">
        <v>3113468333</v>
      </c>
      <c r="G84" s="83">
        <v>66683244</v>
      </c>
      <c r="H84" s="29" t="s">
        <v>60</v>
      </c>
      <c r="I84" s="29" t="s">
        <v>61</v>
      </c>
      <c r="J84" s="83" t="s">
        <v>229</v>
      </c>
      <c r="K84" s="84">
        <f t="shared" si="21"/>
        <v>105000</v>
      </c>
      <c r="L84" s="85" t="e">
        <f>VLOOKUP(B84,'REGISTRO ABONOS'!$B$8:$BC$10038,54,0)</f>
        <v>#N/A</v>
      </c>
      <c r="M84" s="6"/>
    </row>
    <row r="85" spans="1:13" ht="32.25" hidden="1" customHeight="1" x14ac:dyDescent="0.2">
      <c r="A85" s="8"/>
      <c r="B85" s="31">
        <v>2563</v>
      </c>
      <c r="C85" s="30">
        <v>43567</v>
      </c>
      <c r="D85" s="83" t="s">
        <v>370</v>
      </c>
      <c r="E85" s="83" t="s">
        <v>371</v>
      </c>
      <c r="F85" s="83">
        <v>3205656039</v>
      </c>
      <c r="G85" s="83">
        <v>66679980</v>
      </c>
      <c r="H85" s="29" t="s">
        <v>60</v>
      </c>
      <c r="I85" s="29" t="s">
        <v>61</v>
      </c>
      <c r="J85" s="83" t="s">
        <v>355</v>
      </c>
      <c r="K85" s="84">
        <f t="shared" si="21"/>
        <v>105000</v>
      </c>
      <c r="L85" s="85" t="e">
        <f>VLOOKUP(B85,'REGISTRO ABONOS'!$B$8:$BC$10038,54,0)</f>
        <v>#N/A</v>
      </c>
      <c r="M85" s="6"/>
    </row>
    <row r="86" spans="1:13" ht="32.25" hidden="1" customHeight="1" x14ac:dyDescent="0.2">
      <c r="A86" s="8"/>
      <c r="B86" s="31">
        <v>2613</v>
      </c>
      <c r="C86" s="30">
        <v>43560</v>
      </c>
      <c r="D86" s="83" t="s">
        <v>218</v>
      </c>
      <c r="E86" s="83" t="s">
        <v>219</v>
      </c>
      <c r="F86" s="83">
        <v>3147798121</v>
      </c>
      <c r="G86" s="83">
        <v>24551033</v>
      </c>
      <c r="H86" s="29" t="s">
        <v>60</v>
      </c>
      <c r="I86" s="29" t="s">
        <v>61</v>
      </c>
      <c r="J86" s="83" t="s">
        <v>211</v>
      </c>
      <c r="K86" s="84">
        <f t="shared" si="21"/>
        <v>105000</v>
      </c>
      <c r="L86" s="85" t="e">
        <f>VLOOKUP(B86,'REGISTRO ABONOS'!$B$8:$BC$10038,54,0)</f>
        <v>#N/A</v>
      </c>
      <c r="M86" s="6"/>
    </row>
    <row r="87" spans="1:13" ht="32.25" customHeight="1" x14ac:dyDescent="0.2">
      <c r="A87" s="8"/>
      <c r="B87" s="31">
        <v>2629</v>
      </c>
      <c r="C87" s="30">
        <v>43561</v>
      </c>
      <c r="D87" s="83" t="s">
        <v>395</v>
      </c>
      <c r="E87" s="83" t="s">
        <v>396</v>
      </c>
      <c r="F87" s="83">
        <v>2206761</v>
      </c>
      <c r="G87" s="83">
        <v>6559548</v>
      </c>
      <c r="H87" s="29" t="s">
        <v>60</v>
      </c>
      <c r="I87" s="29" t="s">
        <v>61</v>
      </c>
      <c r="J87" s="83" t="s">
        <v>87</v>
      </c>
      <c r="K87" s="84">
        <f t="shared" si="21"/>
        <v>105000</v>
      </c>
      <c r="L87" s="85" t="e">
        <f>VLOOKUP(B87,'REGISTRO ABONOS'!$B$8:$BC$10038,54,0)</f>
        <v>#N/A</v>
      </c>
      <c r="M87" s="6"/>
    </row>
    <row r="88" spans="1:13" ht="32.25" hidden="1" customHeight="1" x14ac:dyDescent="0.2">
      <c r="A88" s="8"/>
      <c r="B88" s="31">
        <v>2707</v>
      </c>
      <c r="C88" s="30">
        <v>43558</v>
      </c>
      <c r="D88" s="83" t="s">
        <v>322</v>
      </c>
      <c r="E88" s="83" t="s">
        <v>323</v>
      </c>
      <c r="F88" s="83">
        <v>3115522999</v>
      </c>
      <c r="G88" s="83">
        <v>94323544</v>
      </c>
      <c r="H88" s="29" t="s">
        <v>140</v>
      </c>
      <c r="I88" s="29" t="s">
        <v>61</v>
      </c>
      <c r="J88" s="83" t="s">
        <v>322</v>
      </c>
      <c r="K88" s="84">
        <f t="shared" si="21"/>
        <v>105000</v>
      </c>
      <c r="L88" s="85">
        <f>VLOOKUP(B88,'REGISTRO ABONOS'!$B$8:$BC$10038,54,0)</f>
        <v>0</v>
      </c>
      <c r="M88" s="6"/>
    </row>
    <row r="89" spans="1:13" ht="32.25" hidden="1" customHeight="1" x14ac:dyDescent="0.2">
      <c r="A89" s="8"/>
      <c r="B89" s="31">
        <v>2708</v>
      </c>
      <c r="C89" s="30">
        <v>43564</v>
      </c>
      <c r="D89" s="83" t="s">
        <v>268</v>
      </c>
      <c r="E89" s="83" t="s">
        <v>269</v>
      </c>
      <c r="F89" s="83">
        <v>2206885</v>
      </c>
      <c r="G89" s="83">
        <v>29992322</v>
      </c>
      <c r="H89" s="29" t="s">
        <v>60</v>
      </c>
      <c r="I89" s="29" t="s">
        <v>61</v>
      </c>
      <c r="J89" s="83" t="s">
        <v>229</v>
      </c>
      <c r="K89" s="84">
        <f t="shared" si="21"/>
        <v>105000</v>
      </c>
      <c r="L89" s="85" t="e">
        <f>VLOOKUP(B89,'REGISTRO ABONOS'!$B$8:$BC$10038,54,0)</f>
        <v>#N/A</v>
      </c>
      <c r="M89" s="6"/>
    </row>
    <row r="90" spans="1:13" ht="32.25" hidden="1" customHeight="1" x14ac:dyDescent="0.2">
      <c r="A90" s="8"/>
      <c r="B90" s="31">
        <v>2719</v>
      </c>
      <c r="C90" s="30">
        <v>43564</v>
      </c>
      <c r="D90" s="83" t="s">
        <v>103</v>
      </c>
      <c r="E90" s="83" t="s">
        <v>100</v>
      </c>
      <c r="F90" s="83">
        <v>3154563675</v>
      </c>
      <c r="G90" s="83">
        <v>29991109</v>
      </c>
      <c r="H90" s="29" t="s">
        <v>60</v>
      </c>
      <c r="I90" s="29" t="s">
        <v>61</v>
      </c>
      <c r="J90" s="83" t="s">
        <v>99</v>
      </c>
      <c r="K90" s="84">
        <f t="shared" si="21"/>
        <v>105000</v>
      </c>
      <c r="L90" s="85">
        <f>VLOOKUP(B90,'REGISTRO ABONOS'!$B$8:$BC$10038,54,0)</f>
        <v>55000</v>
      </c>
      <c r="M90" s="6"/>
    </row>
    <row r="91" spans="1:13" ht="32.25" hidden="1" customHeight="1" x14ac:dyDescent="0.2">
      <c r="A91" s="8"/>
      <c r="B91" s="31">
        <v>2751</v>
      </c>
      <c r="C91" s="30">
        <v>43565</v>
      </c>
      <c r="D91" s="83" t="s">
        <v>300</v>
      </c>
      <c r="E91" s="83" t="s">
        <v>301</v>
      </c>
      <c r="F91" s="83">
        <v>3167551101</v>
      </c>
      <c r="G91" s="83">
        <v>1192898722</v>
      </c>
      <c r="H91" s="29" t="s">
        <v>75</v>
      </c>
      <c r="I91" s="29" t="s">
        <v>61</v>
      </c>
      <c r="J91" s="83" t="s">
        <v>281</v>
      </c>
      <c r="K91" s="84">
        <f t="shared" si="21"/>
        <v>105000</v>
      </c>
      <c r="L91" s="85" t="e">
        <f>VLOOKUP(B91,'REGISTRO ABONOS'!$B$8:$BC$10038,54,0)</f>
        <v>#N/A</v>
      </c>
      <c r="M91" s="6"/>
    </row>
    <row r="92" spans="1:13" ht="32.25" hidden="1" customHeight="1" x14ac:dyDescent="0.2">
      <c r="A92" s="8"/>
      <c r="B92" s="31">
        <v>2800</v>
      </c>
      <c r="C92" s="30">
        <v>43565</v>
      </c>
      <c r="D92" s="83" t="s">
        <v>306</v>
      </c>
      <c r="E92" s="83" t="s">
        <v>301</v>
      </c>
      <c r="F92" s="83">
        <v>3163903450</v>
      </c>
      <c r="G92" s="83">
        <v>1113306780</v>
      </c>
      <c r="H92" s="29" t="s">
        <v>75</v>
      </c>
      <c r="I92" s="29" t="s">
        <v>61</v>
      </c>
      <c r="J92" s="83" t="s">
        <v>281</v>
      </c>
      <c r="K92" s="84">
        <f t="shared" ref="K92:K123" si="22">IF(C92&gt;43607,130000,105000)</f>
        <v>105000</v>
      </c>
      <c r="L92" s="85" t="e">
        <f>VLOOKUP(B92,'REGISTRO ABONOS'!$B$8:$BC$10038,54,0)</f>
        <v>#N/A</v>
      </c>
      <c r="M92" s="6"/>
    </row>
    <row r="93" spans="1:13" ht="32.25" hidden="1" customHeight="1" x14ac:dyDescent="0.2">
      <c r="A93" s="8"/>
      <c r="B93" s="31">
        <v>2967</v>
      </c>
      <c r="C93" s="30">
        <v>43562</v>
      </c>
      <c r="D93" s="83" t="s">
        <v>165</v>
      </c>
      <c r="E93" s="83" t="s">
        <v>204</v>
      </c>
      <c r="F93" s="83">
        <v>3007845887</v>
      </c>
      <c r="G93" s="83">
        <v>6559334</v>
      </c>
      <c r="H93" s="29" t="s">
        <v>60</v>
      </c>
      <c r="I93" s="29" t="s">
        <v>61</v>
      </c>
      <c r="J93" s="83" t="s">
        <v>200</v>
      </c>
      <c r="K93" s="84">
        <f t="shared" si="22"/>
        <v>105000</v>
      </c>
      <c r="L93" s="85" t="e">
        <f>VLOOKUP(B93,'REGISTRO ABONOS'!$B$8:$BC$10038,54,0)</f>
        <v>#N/A</v>
      </c>
      <c r="M93" s="6"/>
    </row>
    <row r="94" spans="1:13" ht="32.25" hidden="1" customHeight="1" x14ac:dyDescent="0.2">
      <c r="A94" s="8"/>
      <c r="B94" s="31">
        <v>3105</v>
      </c>
      <c r="C94" s="30">
        <v>43559</v>
      </c>
      <c r="D94" s="83" t="s">
        <v>182</v>
      </c>
      <c r="E94" s="83" t="s">
        <v>183</v>
      </c>
      <c r="F94" s="83">
        <v>3183057511</v>
      </c>
      <c r="G94" s="83">
        <v>66870376</v>
      </c>
      <c r="H94" s="29" t="s">
        <v>184</v>
      </c>
      <c r="I94" s="29" t="s">
        <v>61</v>
      </c>
      <c r="J94" s="83" t="s">
        <v>171</v>
      </c>
      <c r="K94" s="84">
        <f t="shared" si="22"/>
        <v>105000</v>
      </c>
      <c r="L94" s="85" t="e">
        <f>VLOOKUP(B94,'REGISTRO ABONOS'!$B$8:$BC$10038,54,0)</f>
        <v>#N/A</v>
      </c>
      <c r="M94" s="6"/>
    </row>
    <row r="95" spans="1:13" ht="32.25" hidden="1" customHeight="1" x14ac:dyDescent="0.2">
      <c r="A95" s="8"/>
      <c r="B95" s="31">
        <v>3108</v>
      </c>
      <c r="C95" s="30">
        <v>43567</v>
      </c>
      <c r="D95" s="83" t="s">
        <v>330</v>
      </c>
      <c r="E95" s="83" t="s">
        <v>331</v>
      </c>
      <c r="F95" s="83">
        <v>3168687593</v>
      </c>
      <c r="G95" s="83">
        <v>1116436546</v>
      </c>
      <c r="H95" s="29" t="s">
        <v>60</v>
      </c>
      <c r="I95" s="29" t="s">
        <v>61</v>
      </c>
      <c r="J95" s="83" t="s">
        <v>99</v>
      </c>
      <c r="K95" s="84">
        <f t="shared" si="22"/>
        <v>105000</v>
      </c>
      <c r="L95" s="85" t="e">
        <f>VLOOKUP(B95,'REGISTRO ABONOS'!$B$8:$BC$10038,54,0)</f>
        <v>#N/A</v>
      </c>
      <c r="M95" s="6"/>
    </row>
    <row r="96" spans="1:13" ht="32.25" hidden="1" customHeight="1" x14ac:dyDescent="0.2">
      <c r="A96" s="8"/>
      <c r="B96" s="31">
        <v>3118</v>
      </c>
      <c r="C96" s="30">
        <v>43558</v>
      </c>
      <c r="D96" s="83" t="s">
        <v>322</v>
      </c>
      <c r="E96" s="83" t="s">
        <v>323</v>
      </c>
      <c r="F96" s="83">
        <v>3115522999</v>
      </c>
      <c r="G96" s="83">
        <v>92232544</v>
      </c>
      <c r="H96" s="29" t="s">
        <v>140</v>
      </c>
      <c r="I96" s="29" t="s">
        <v>61</v>
      </c>
      <c r="J96" s="83" t="s">
        <v>322</v>
      </c>
      <c r="K96" s="84">
        <f t="shared" si="22"/>
        <v>105000</v>
      </c>
      <c r="L96" s="85">
        <f>VLOOKUP(B96,'REGISTRO ABONOS'!$B$8:$BC$10038,54,0)</f>
        <v>0</v>
      </c>
      <c r="M96" s="6"/>
    </row>
    <row r="97" spans="1:13" ht="32.25" hidden="1" customHeight="1" x14ac:dyDescent="0.2">
      <c r="A97" s="8"/>
      <c r="B97" s="31">
        <v>3345</v>
      </c>
      <c r="C97" s="30">
        <v>43560</v>
      </c>
      <c r="D97" s="83" t="s">
        <v>213</v>
      </c>
      <c r="E97" s="83" t="s">
        <v>214</v>
      </c>
      <c r="F97" s="83">
        <v>3122290204</v>
      </c>
      <c r="G97" s="83">
        <v>29995415</v>
      </c>
      <c r="H97" s="29" t="s">
        <v>60</v>
      </c>
      <c r="I97" s="29" t="s">
        <v>61</v>
      </c>
      <c r="J97" s="83" t="s">
        <v>211</v>
      </c>
      <c r="K97" s="84">
        <f t="shared" si="22"/>
        <v>105000</v>
      </c>
      <c r="L97" s="85" t="e">
        <f>VLOOKUP(B97,'REGISTRO ABONOS'!$B$8:$BC$10038,54,0)</f>
        <v>#N/A</v>
      </c>
      <c r="M97" s="6"/>
    </row>
    <row r="98" spans="1:13" ht="32.25" hidden="1" customHeight="1" x14ac:dyDescent="0.2">
      <c r="A98" s="8"/>
      <c r="B98" s="31">
        <v>3371</v>
      </c>
      <c r="C98" s="30">
        <v>43567</v>
      </c>
      <c r="D98" s="83" t="s">
        <v>419</v>
      </c>
      <c r="E98" s="83" t="s">
        <v>420</v>
      </c>
      <c r="F98" s="83">
        <v>2208449</v>
      </c>
      <c r="G98" s="83">
        <v>98850056</v>
      </c>
      <c r="H98" s="29" t="s">
        <v>60</v>
      </c>
      <c r="I98" s="29" t="s">
        <v>61</v>
      </c>
      <c r="J98" s="83" t="s">
        <v>411</v>
      </c>
      <c r="K98" s="84">
        <f t="shared" si="22"/>
        <v>105000</v>
      </c>
      <c r="L98" s="85" t="e">
        <f>VLOOKUP(B98,'REGISTRO ABONOS'!$B$8:$BC$10038,54,0)</f>
        <v>#N/A</v>
      </c>
      <c r="M98" s="6"/>
    </row>
    <row r="99" spans="1:13" ht="32.25" hidden="1" customHeight="1" x14ac:dyDescent="0.2">
      <c r="A99" s="8"/>
      <c r="B99" s="31">
        <v>3413</v>
      </c>
      <c r="C99" s="30">
        <v>43558</v>
      </c>
      <c r="D99" s="83" t="s">
        <v>322</v>
      </c>
      <c r="E99" s="83" t="s">
        <v>323</v>
      </c>
      <c r="F99" s="83">
        <v>3115522999</v>
      </c>
      <c r="G99" s="83">
        <v>94322544</v>
      </c>
      <c r="H99" s="29" t="s">
        <v>325</v>
      </c>
      <c r="I99" s="29" t="s">
        <v>61</v>
      </c>
      <c r="J99" s="83" t="s">
        <v>322</v>
      </c>
      <c r="K99" s="84">
        <f t="shared" si="22"/>
        <v>105000</v>
      </c>
      <c r="L99" s="85">
        <f>VLOOKUP(B99,'REGISTRO ABONOS'!$B$8:$BC$10038,54,0)</f>
        <v>0</v>
      </c>
      <c r="M99" s="6"/>
    </row>
    <row r="100" spans="1:13" ht="32.25" hidden="1" customHeight="1" x14ac:dyDescent="0.2">
      <c r="A100" s="8"/>
      <c r="B100" s="31">
        <v>3423</v>
      </c>
      <c r="C100" s="30">
        <v>43563</v>
      </c>
      <c r="D100" s="83" t="s">
        <v>431</v>
      </c>
      <c r="E100" s="83" t="s">
        <v>432</v>
      </c>
      <c r="F100" s="83">
        <v>3135688087</v>
      </c>
      <c r="G100" s="83">
        <v>640094473</v>
      </c>
      <c r="H100" s="29" t="s">
        <v>60</v>
      </c>
      <c r="I100" s="29" t="s">
        <v>61</v>
      </c>
      <c r="J100" s="83" t="s">
        <v>411</v>
      </c>
      <c r="K100" s="84">
        <f t="shared" si="22"/>
        <v>105000</v>
      </c>
      <c r="L100" s="85" t="e">
        <f>VLOOKUP(B100,'REGISTRO ABONOS'!$B$8:$BC$10038,54,0)</f>
        <v>#N/A</v>
      </c>
      <c r="M100" s="6"/>
    </row>
    <row r="101" spans="1:13" ht="32.25" hidden="1" customHeight="1" x14ac:dyDescent="0.2">
      <c r="A101" s="8"/>
      <c r="B101" s="31">
        <v>3612</v>
      </c>
      <c r="C101" s="30">
        <v>43558</v>
      </c>
      <c r="D101" s="83" t="s">
        <v>322</v>
      </c>
      <c r="E101" s="83" t="s">
        <v>324</v>
      </c>
      <c r="F101" s="83">
        <v>3115522999</v>
      </c>
      <c r="G101" s="83">
        <v>94232544</v>
      </c>
      <c r="H101" s="29" t="s">
        <v>140</v>
      </c>
      <c r="I101" s="29" t="s">
        <v>61</v>
      </c>
      <c r="J101" s="83" t="s">
        <v>322</v>
      </c>
      <c r="K101" s="84">
        <f t="shared" si="22"/>
        <v>105000</v>
      </c>
      <c r="L101" s="85">
        <f>VLOOKUP(B101,'REGISTRO ABONOS'!$B$8:$BC$10038,54,0)</f>
        <v>0</v>
      </c>
      <c r="M101" s="6"/>
    </row>
    <row r="102" spans="1:13" ht="32.25" hidden="1" customHeight="1" x14ac:dyDescent="0.2">
      <c r="A102" s="8"/>
      <c r="B102" s="31">
        <v>3921</v>
      </c>
      <c r="C102" s="30">
        <v>43564</v>
      </c>
      <c r="D102" s="83" t="s">
        <v>248</v>
      </c>
      <c r="E102" s="83" t="s">
        <v>249</v>
      </c>
      <c r="F102" s="83">
        <v>3217529626</v>
      </c>
      <c r="G102" s="83">
        <v>29993549</v>
      </c>
      <c r="H102" s="29" t="s">
        <v>60</v>
      </c>
      <c r="I102" s="29" t="s">
        <v>61</v>
      </c>
      <c r="J102" s="83" t="s">
        <v>229</v>
      </c>
      <c r="K102" s="84">
        <f t="shared" si="22"/>
        <v>105000</v>
      </c>
      <c r="L102" s="85" t="e">
        <f>VLOOKUP(B102,'REGISTRO ABONOS'!$B$8:$BC$10038,54,0)</f>
        <v>#N/A</v>
      </c>
      <c r="M102" s="6"/>
    </row>
    <row r="103" spans="1:13" ht="32.25" hidden="1" customHeight="1" x14ac:dyDescent="0.2">
      <c r="A103" s="8"/>
      <c r="B103" s="31">
        <v>3997</v>
      </c>
      <c r="C103" s="30">
        <v>43558</v>
      </c>
      <c r="D103" s="83" t="s">
        <v>322</v>
      </c>
      <c r="E103" s="83" t="s">
        <v>323</v>
      </c>
      <c r="F103" s="83">
        <v>3115522999</v>
      </c>
      <c r="G103" s="83">
        <v>94232544</v>
      </c>
      <c r="H103" s="29" t="s">
        <v>140</v>
      </c>
      <c r="I103" s="29" t="s">
        <v>61</v>
      </c>
      <c r="J103" s="83" t="s">
        <v>322</v>
      </c>
      <c r="K103" s="84">
        <f t="shared" si="22"/>
        <v>105000</v>
      </c>
      <c r="L103" s="85">
        <f>VLOOKUP(B103,'REGISTRO ABONOS'!$B$8:$BC$10038,54,0)</f>
        <v>0</v>
      </c>
      <c r="M103" s="6"/>
    </row>
    <row r="104" spans="1:13" ht="32.25" hidden="1" customHeight="1" x14ac:dyDescent="0.2">
      <c r="A104" s="8"/>
      <c r="B104" s="31">
        <v>4122</v>
      </c>
      <c r="C104" s="30">
        <v>43563</v>
      </c>
      <c r="D104" s="83" t="s">
        <v>440</v>
      </c>
      <c r="E104" s="83" t="s">
        <v>432</v>
      </c>
      <c r="F104" s="83">
        <v>3122330532</v>
      </c>
      <c r="G104" s="83">
        <v>1116441659</v>
      </c>
      <c r="H104" s="29" t="s">
        <v>60</v>
      </c>
      <c r="I104" s="29" t="s">
        <v>61</v>
      </c>
      <c r="J104" s="83" t="s">
        <v>411</v>
      </c>
      <c r="K104" s="84">
        <f t="shared" si="22"/>
        <v>105000</v>
      </c>
      <c r="L104" s="85" t="e">
        <f>VLOOKUP(B104,'REGISTRO ABONOS'!$B$8:$BC$10038,54,0)</f>
        <v>#N/A</v>
      </c>
      <c r="M104" s="6"/>
    </row>
    <row r="105" spans="1:13" ht="32.25" hidden="1" customHeight="1" x14ac:dyDescent="0.2">
      <c r="A105" s="8"/>
      <c r="B105" s="31">
        <v>4273</v>
      </c>
      <c r="C105" s="30">
        <v>43571</v>
      </c>
      <c r="D105" s="83" t="s">
        <v>358</v>
      </c>
      <c r="E105" s="83" t="s">
        <v>359</v>
      </c>
      <c r="F105" s="83">
        <v>3004325599</v>
      </c>
      <c r="G105" s="83">
        <v>32775558</v>
      </c>
      <c r="H105" s="29" t="s">
        <v>359</v>
      </c>
      <c r="I105" s="29" t="s">
        <v>360</v>
      </c>
      <c r="J105" s="83" t="s">
        <v>345</v>
      </c>
      <c r="K105" s="84">
        <f t="shared" si="22"/>
        <v>105000</v>
      </c>
      <c r="L105" s="85">
        <f>VLOOKUP(B105,'REGISTRO ABONOS'!$B$8:$BC$10038,54,0)</f>
        <v>70000</v>
      </c>
      <c r="M105" s="6"/>
    </row>
    <row r="106" spans="1:13" ht="32.25" hidden="1" customHeight="1" x14ac:dyDescent="0.2">
      <c r="A106" s="8"/>
      <c r="B106" s="31">
        <v>4317</v>
      </c>
      <c r="C106" s="30">
        <v>43564</v>
      </c>
      <c r="D106" s="83" t="s">
        <v>240</v>
      </c>
      <c r="E106" s="83"/>
      <c r="F106" s="83"/>
      <c r="G106" s="83"/>
      <c r="H106" s="29"/>
      <c r="I106" s="29"/>
      <c r="J106" s="83" t="s">
        <v>229</v>
      </c>
      <c r="K106" s="84">
        <f t="shared" si="22"/>
        <v>105000</v>
      </c>
      <c r="L106" s="85" t="e">
        <f>VLOOKUP(B106,'REGISTRO ABONOS'!$B$8:$BC$10038,54,0)</f>
        <v>#N/A</v>
      </c>
      <c r="M106" s="6"/>
    </row>
    <row r="107" spans="1:13" ht="32.25" hidden="1" customHeight="1" x14ac:dyDescent="0.2">
      <c r="A107" s="8"/>
      <c r="B107" s="31">
        <v>4317</v>
      </c>
      <c r="C107" s="30">
        <v>43564</v>
      </c>
      <c r="D107" s="83" t="s">
        <v>240</v>
      </c>
      <c r="E107" s="83" t="s">
        <v>241</v>
      </c>
      <c r="F107" s="83">
        <v>3116610696</v>
      </c>
      <c r="G107" s="83">
        <v>94231473</v>
      </c>
      <c r="H107" s="29" t="s">
        <v>60</v>
      </c>
      <c r="I107" s="29" t="s">
        <v>61</v>
      </c>
      <c r="J107" s="83" t="s">
        <v>229</v>
      </c>
      <c r="K107" s="84">
        <f t="shared" si="22"/>
        <v>105000</v>
      </c>
      <c r="L107" s="85" t="e">
        <f>VLOOKUP(B107,'REGISTRO ABONOS'!$B$8:$BC$10038,54,0)</f>
        <v>#N/A</v>
      </c>
      <c r="M107" s="6"/>
    </row>
    <row r="108" spans="1:13" ht="32.25" hidden="1" customHeight="1" x14ac:dyDescent="0.2">
      <c r="A108" s="8"/>
      <c r="B108" s="31">
        <v>4334</v>
      </c>
      <c r="C108" s="30">
        <v>43564</v>
      </c>
      <c r="D108" s="83" t="s">
        <v>275</v>
      </c>
      <c r="E108" s="83" t="s">
        <v>276</v>
      </c>
      <c r="F108" s="83">
        <v>3204313673</v>
      </c>
      <c r="G108" s="83">
        <v>38466167</v>
      </c>
      <c r="H108" s="29" t="s">
        <v>60</v>
      </c>
      <c r="I108" s="29" t="s">
        <v>61</v>
      </c>
      <c r="J108" s="83" t="s">
        <v>229</v>
      </c>
      <c r="K108" s="84">
        <f t="shared" si="22"/>
        <v>105000</v>
      </c>
      <c r="L108" s="85" t="e">
        <f>VLOOKUP(B108,'REGISTRO ABONOS'!$B$8:$BC$10038,54,0)</f>
        <v>#N/A</v>
      </c>
      <c r="M108" s="6"/>
    </row>
    <row r="109" spans="1:13" ht="32.25" hidden="1" customHeight="1" x14ac:dyDescent="0.2">
      <c r="A109" s="8"/>
      <c r="B109" s="31">
        <v>4374</v>
      </c>
      <c r="C109" s="30">
        <v>43572</v>
      </c>
      <c r="D109" s="83" t="s">
        <v>475</v>
      </c>
      <c r="E109" s="83" t="s">
        <v>476</v>
      </c>
      <c r="F109" s="83">
        <v>3117448891</v>
      </c>
      <c r="G109" s="83">
        <v>31974368</v>
      </c>
      <c r="H109" s="29" t="s">
        <v>60</v>
      </c>
      <c r="I109" s="29" t="s">
        <v>61</v>
      </c>
      <c r="J109" s="83" t="s">
        <v>475</v>
      </c>
      <c r="K109" s="84">
        <f t="shared" si="22"/>
        <v>105000</v>
      </c>
      <c r="L109" s="85" t="e">
        <f>VLOOKUP(B109,'REGISTRO ABONOS'!$B$8:$BC$10038,54,0)</f>
        <v>#N/A</v>
      </c>
      <c r="M109" s="6"/>
    </row>
    <row r="110" spans="1:13" ht="32.25" hidden="1" customHeight="1" x14ac:dyDescent="0.2">
      <c r="A110" s="8"/>
      <c r="B110" s="31">
        <v>4418</v>
      </c>
      <c r="C110" s="30">
        <v>43557</v>
      </c>
      <c r="D110" s="83" t="s">
        <v>112</v>
      </c>
      <c r="E110" s="83" t="s">
        <v>113</v>
      </c>
      <c r="F110" s="83">
        <v>3145748894</v>
      </c>
      <c r="G110" s="83">
        <v>66680416</v>
      </c>
      <c r="H110" s="29" t="s">
        <v>60</v>
      </c>
      <c r="I110" s="29" t="s">
        <v>61</v>
      </c>
      <c r="J110" s="83" t="s">
        <v>107</v>
      </c>
      <c r="K110" s="84">
        <f t="shared" si="22"/>
        <v>105000</v>
      </c>
      <c r="L110" s="85" t="e">
        <f>VLOOKUP(B110,'REGISTRO ABONOS'!$B$8:$BC$10038,54,0)</f>
        <v>#N/A</v>
      </c>
      <c r="M110" s="6"/>
    </row>
    <row r="111" spans="1:13" ht="32.25" hidden="1" customHeight="1" x14ac:dyDescent="0.2">
      <c r="A111" s="8"/>
      <c r="B111" s="31">
        <v>4527</v>
      </c>
      <c r="C111" s="30">
        <v>43569</v>
      </c>
      <c r="D111" s="83" t="s">
        <v>350</v>
      </c>
      <c r="E111" s="83" t="s">
        <v>351</v>
      </c>
      <c r="F111" s="83">
        <v>3118343841</v>
      </c>
      <c r="G111" s="83">
        <v>1012350019</v>
      </c>
      <c r="H111" s="29" t="s">
        <v>265</v>
      </c>
      <c r="I111" s="29" t="s">
        <v>344</v>
      </c>
      <c r="J111" s="83" t="s">
        <v>345</v>
      </c>
      <c r="K111" s="84">
        <f t="shared" si="22"/>
        <v>105000</v>
      </c>
      <c r="L111" s="85" t="e">
        <f>VLOOKUP(B111,'REGISTRO ABONOS'!$B$8:$BC$10038,54,0)</f>
        <v>#N/A</v>
      </c>
      <c r="M111" s="6"/>
    </row>
    <row r="112" spans="1:13" ht="32.25" hidden="1" customHeight="1" x14ac:dyDescent="0.2">
      <c r="A112" s="8"/>
      <c r="B112" s="31">
        <v>4580</v>
      </c>
      <c r="C112" s="30">
        <v>43565</v>
      </c>
      <c r="D112" s="83" t="s">
        <v>165</v>
      </c>
      <c r="E112" s="83" t="s">
        <v>166</v>
      </c>
      <c r="F112" s="83">
        <v>3007845887</v>
      </c>
      <c r="G112" s="83">
        <v>6559334</v>
      </c>
      <c r="H112" s="29" t="s">
        <v>60</v>
      </c>
      <c r="I112" s="29" t="s">
        <v>61</v>
      </c>
      <c r="J112" s="83" t="s">
        <v>87</v>
      </c>
      <c r="K112" s="84">
        <f t="shared" si="22"/>
        <v>105000</v>
      </c>
      <c r="L112" s="85" t="e">
        <f>VLOOKUP(B112,'REGISTRO ABONOS'!$B$8:$BC$10038,54,0)</f>
        <v>#N/A</v>
      </c>
      <c r="M112" s="6"/>
    </row>
    <row r="113" spans="1:13" ht="32.25" hidden="1" customHeight="1" x14ac:dyDescent="0.2">
      <c r="A113" s="8"/>
      <c r="B113" s="31">
        <v>4610</v>
      </c>
      <c r="C113" s="30">
        <v>43557</v>
      </c>
      <c r="D113" s="83" t="s">
        <v>339</v>
      </c>
      <c r="E113" s="83" t="s">
        <v>340</v>
      </c>
      <c r="F113" s="83">
        <v>3137498954</v>
      </c>
      <c r="G113" s="83">
        <v>66676322</v>
      </c>
      <c r="H113" s="29" t="s">
        <v>60</v>
      </c>
      <c r="I113" s="29" t="s">
        <v>61</v>
      </c>
      <c r="J113" s="83" t="s">
        <v>341</v>
      </c>
      <c r="K113" s="84">
        <f t="shared" si="22"/>
        <v>105000</v>
      </c>
      <c r="L113" s="85">
        <f>VLOOKUP(B113,'REGISTRO ABONOS'!$B$8:$BC$10038,54,0)</f>
        <v>0</v>
      </c>
      <c r="M113" s="6"/>
    </row>
    <row r="114" spans="1:13" ht="32.25" hidden="1" customHeight="1" x14ac:dyDescent="0.2">
      <c r="A114" s="8"/>
      <c r="B114" s="31">
        <v>4757</v>
      </c>
      <c r="C114" s="30">
        <v>43565</v>
      </c>
      <c r="D114" s="83" t="s">
        <v>313</v>
      </c>
      <c r="E114" s="83" t="s">
        <v>314</v>
      </c>
      <c r="F114" s="83">
        <v>56953878231</v>
      </c>
      <c r="G114" s="83">
        <v>1143858027</v>
      </c>
      <c r="H114" s="29" t="s">
        <v>70</v>
      </c>
      <c r="I114" s="29" t="s">
        <v>70</v>
      </c>
      <c r="J114" s="83" t="s">
        <v>281</v>
      </c>
      <c r="K114" s="84">
        <f t="shared" si="22"/>
        <v>105000</v>
      </c>
      <c r="L114" s="85" t="e">
        <f>VLOOKUP(B114,'REGISTRO ABONOS'!$B$8:$BC$10038,54,0)</f>
        <v>#N/A</v>
      </c>
      <c r="M114" s="6"/>
    </row>
    <row r="115" spans="1:13" ht="32.25" hidden="1" customHeight="1" x14ac:dyDescent="0.2">
      <c r="A115" s="8"/>
      <c r="B115" s="31">
        <v>4817</v>
      </c>
      <c r="C115" s="30">
        <v>43553</v>
      </c>
      <c r="D115" s="83" t="s">
        <v>109</v>
      </c>
      <c r="E115" s="83" t="s">
        <v>110</v>
      </c>
      <c r="F115" s="83">
        <v>3113280427</v>
      </c>
      <c r="G115" s="83">
        <v>42028149</v>
      </c>
      <c r="H115" s="29" t="s">
        <v>60</v>
      </c>
      <c r="I115" s="29" t="s">
        <v>61</v>
      </c>
      <c r="J115" s="83" t="s">
        <v>107</v>
      </c>
      <c r="K115" s="84">
        <f t="shared" si="22"/>
        <v>105000</v>
      </c>
      <c r="L115" s="85" t="e">
        <f>VLOOKUP(B115,'REGISTRO ABONOS'!$B$8:$BC$10038,54,0)</f>
        <v>#N/A</v>
      </c>
      <c r="M115" s="6"/>
    </row>
    <row r="116" spans="1:13" ht="32.25" hidden="1" customHeight="1" x14ac:dyDescent="0.2">
      <c r="A116" s="8"/>
      <c r="B116" s="31">
        <v>4852</v>
      </c>
      <c r="C116" s="30">
        <v>43559</v>
      </c>
      <c r="D116" s="83" t="s">
        <v>283</v>
      </c>
      <c r="E116" s="83" t="s">
        <v>284</v>
      </c>
      <c r="F116" s="83">
        <v>3107427969</v>
      </c>
      <c r="G116" s="83">
        <v>32728855</v>
      </c>
      <c r="H116" s="29" t="s">
        <v>285</v>
      </c>
      <c r="I116" s="29" t="s">
        <v>61</v>
      </c>
      <c r="J116" s="83" t="s">
        <v>281</v>
      </c>
      <c r="K116" s="84">
        <f t="shared" si="22"/>
        <v>105000</v>
      </c>
      <c r="L116" s="85">
        <f>VLOOKUP(B116,'REGISTRO ABONOS'!$B$8:$BC$10038,54,0)</f>
        <v>0</v>
      </c>
      <c r="M116" s="6"/>
    </row>
    <row r="117" spans="1:13" ht="32.25" hidden="1" customHeight="1" x14ac:dyDescent="0.2">
      <c r="A117" s="8"/>
      <c r="B117" s="31">
        <v>4978</v>
      </c>
      <c r="C117" s="30">
        <v>43565</v>
      </c>
      <c r="D117" s="83" t="s">
        <v>202</v>
      </c>
      <c r="E117" s="83" t="s">
        <v>203</v>
      </c>
      <c r="F117" s="83">
        <v>3226944561</v>
      </c>
      <c r="G117" s="83">
        <v>16310056</v>
      </c>
      <c r="H117" s="29" t="s">
        <v>60</v>
      </c>
      <c r="I117" s="29" t="s">
        <v>61</v>
      </c>
      <c r="J117" s="83" t="s">
        <v>200</v>
      </c>
      <c r="K117" s="84">
        <f t="shared" si="22"/>
        <v>105000</v>
      </c>
      <c r="L117" s="85" t="e">
        <f>VLOOKUP(B117,'REGISTRO ABONOS'!$B$8:$BC$10038,54,0)</f>
        <v>#N/A</v>
      </c>
      <c r="M117" s="6"/>
    </row>
    <row r="118" spans="1:13" ht="32.25" hidden="1" customHeight="1" x14ac:dyDescent="0.2">
      <c r="A118" s="8"/>
      <c r="B118" s="31">
        <v>4988</v>
      </c>
      <c r="C118" s="30">
        <v>43560</v>
      </c>
      <c r="D118" s="83" t="s">
        <v>152</v>
      </c>
      <c r="E118" s="83" t="s">
        <v>153</v>
      </c>
      <c r="F118" s="83">
        <v>3103917356</v>
      </c>
      <c r="G118" s="83">
        <v>66681182</v>
      </c>
      <c r="H118" s="29" t="s">
        <v>60</v>
      </c>
      <c r="I118" s="29" t="s">
        <v>61</v>
      </c>
      <c r="J118" s="83" t="s">
        <v>65</v>
      </c>
      <c r="K118" s="84">
        <f t="shared" si="22"/>
        <v>105000</v>
      </c>
      <c r="L118" s="85" t="e">
        <f>VLOOKUP(B118,'REGISTRO ABONOS'!$B$8:$BC$10038,54,0)</f>
        <v>#N/A</v>
      </c>
      <c r="M118" s="6"/>
    </row>
    <row r="119" spans="1:13" ht="32.25" hidden="1" customHeight="1" x14ac:dyDescent="0.2">
      <c r="A119" s="8"/>
      <c r="B119" s="31">
        <v>5519</v>
      </c>
      <c r="C119" s="30">
        <v>43564</v>
      </c>
      <c r="D119" s="83" t="s">
        <v>235</v>
      </c>
      <c r="E119" s="83" t="s">
        <v>236</v>
      </c>
      <c r="F119" s="83">
        <v>3147864064</v>
      </c>
      <c r="G119" s="83">
        <v>66675553</v>
      </c>
      <c r="H119" s="29" t="s">
        <v>60</v>
      </c>
      <c r="I119" s="29" t="s">
        <v>61</v>
      </c>
      <c r="J119" s="83" t="s">
        <v>229</v>
      </c>
      <c r="K119" s="84">
        <f t="shared" si="22"/>
        <v>105000</v>
      </c>
      <c r="L119" s="85" t="e">
        <f>VLOOKUP(B119,'REGISTRO ABONOS'!$B$8:$BC$10038,54,0)</f>
        <v>#N/A</v>
      </c>
      <c r="M119" s="6"/>
    </row>
    <row r="120" spans="1:13" ht="32.25" hidden="1" customHeight="1" x14ac:dyDescent="0.2">
      <c r="A120" s="8"/>
      <c r="B120" s="31">
        <v>5550</v>
      </c>
      <c r="C120" s="30">
        <v>43564</v>
      </c>
      <c r="D120" s="83" t="s">
        <v>242</v>
      </c>
      <c r="E120" s="83" t="s">
        <v>243</v>
      </c>
      <c r="F120" s="83">
        <v>2208790</v>
      </c>
      <c r="G120" s="83">
        <v>6557716</v>
      </c>
      <c r="H120" s="29" t="s">
        <v>60</v>
      </c>
      <c r="I120" s="29" t="s">
        <v>61</v>
      </c>
      <c r="J120" s="83" t="s">
        <v>229</v>
      </c>
      <c r="K120" s="84">
        <f t="shared" si="22"/>
        <v>105000</v>
      </c>
      <c r="L120" s="85" t="e">
        <f>VLOOKUP(B120,'REGISTRO ABONOS'!$B$8:$BC$10038,54,0)</f>
        <v>#N/A</v>
      </c>
      <c r="M120" s="6"/>
    </row>
    <row r="121" spans="1:13" ht="32.25" hidden="1" customHeight="1" x14ac:dyDescent="0.2">
      <c r="A121" s="8"/>
      <c r="B121" s="31">
        <v>5621</v>
      </c>
      <c r="C121" s="30">
        <v>43555</v>
      </c>
      <c r="D121" s="83" t="s">
        <v>401</v>
      </c>
      <c r="E121" s="83" t="s">
        <v>402</v>
      </c>
      <c r="F121" s="83">
        <v>3188660163</v>
      </c>
      <c r="G121" s="83">
        <v>6559703</v>
      </c>
      <c r="H121" s="29" t="s">
        <v>60</v>
      </c>
      <c r="I121" s="29" t="s">
        <v>61</v>
      </c>
      <c r="J121" s="83" t="s">
        <v>403</v>
      </c>
      <c r="K121" s="84">
        <f t="shared" si="22"/>
        <v>105000</v>
      </c>
      <c r="L121" s="85" t="e">
        <f>VLOOKUP(B121,'REGISTRO ABONOS'!$B$8:$BC$10038,54,0)</f>
        <v>#N/A</v>
      </c>
      <c r="M121" s="6"/>
    </row>
    <row r="122" spans="1:13" ht="32.25" hidden="1" customHeight="1" x14ac:dyDescent="0.2">
      <c r="A122" s="8"/>
      <c r="B122" s="31">
        <v>5647</v>
      </c>
      <c r="C122" s="30">
        <v>43564</v>
      </c>
      <c r="D122" s="83" t="s">
        <v>244</v>
      </c>
      <c r="E122" s="83" t="s">
        <v>245</v>
      </c>
      <c r="F122" s="83">
        <v>3218331859</v>
      </c>
      <c r="G122" s="83">
        <v>66677877</v>
      </c>
      <c r="H122" s="29" t="s">
        <v>60</v>
      </c>
      <c r="I122" s="29" t="s">
        <v>61</v>
      </c>
      <c r="J122" s="83" t="s">
        <v>229</v>
      </c>
      <c r="K122" s="84">
        <f t="shared" si="22"/>
        <v>105000</v>
      </c>
      <c r="L122" s="85" t="e">
        <f>VLOOKUP(B122,'REGISTRO ABONOS'!$B$8:$BC$10038,54,0)</f>
        <v>#N/A</v>
      </c>
      <c r="M122" s="6"/>
    </row>
    <row r="123" spans="1:13" ht="32.25" hidden="1" customHeight="1" x14ac:dyDescent="0.2">
      <c r="A123" s="8"/>
      <c r="B123" s="31">
        <v>5649</v>
      </c>
      <c r="C123" s="30">
        <v>43570</v>
      </c>
      <c r="D123" s="83" t="s">
        <v>424</v>
      </c>
      <c r="E123" s="83" t="s">
        <v>425</v>
      </c>
      <c r="F123" s="83" t="s">
        <v>426</v>
      </c>
      <c r="G123" s="83">
        <v>66677095</v>
      </c>
      <c r="H123" s="29" t="s">
        <v>60</v>
      </c>
      <c r="I123" s="29" t="s">
        <v>61</v>
      </c>
      <c r="J123" s="83" t="s">
        <v>411</v>
      </c>
      <c r="K123" s="84">
        <f t="shared" si="22"/>
        <v>105000</v>
      </c>
      <c r="L123" s="85" t="e">
        <f>VLOOKUP(B123,'REGISTRO ABONOS'!$B$8:$BC$10038,54,0)</f>
        <v>#N/A</v>
      </c>
      <c r="M123" s="6"/>
    </row>
    <row r="124" spans="1:13" ht="32.25" hidden="1" customHeight="1" x14ac:dyDescent="0.2">
      <c r="A124" s="8"/>
      <c r="B124" s="31">
        <v>5714</v>
      </c>
      <c r="C124" s="30">
        <v>43572</v>
      </c>
      <c r="D124" s="83" t="s">
        <v>406</v>
      </c>
      <c r="E124" s="83" t="s">
        <v>407</v>
      </c>
      <c r="F124" s="83">
        <v>3163008943</v>
      </c>
      <c r="G124" s="83">
        <v>94230715</v>
      </c>
      <c r="H124" s="29" t="s">
        <v>60</v>
      </c>
      <c r="I124" s="29" t="s">
        <v>61</v>
      </c>
      <c r="J124" s="83" t="s">
        <v>403</v>
      </c>
      <c r="K124" s="84">
        <f t="shared" ref="K124:K155" si="23">IF(C124&gt;43607,130000,105000)</f>
        <v>105000</v>
      </c>
      <c r="L124" s="85" t="e">
        <f>VLOOKUP(B124,'REGISTRO ABONOS'!$B$8:$BC$10038,54,0)</f>
        <v>#N/A</v>
      </c>
      <c r="M124" s="6"/>
    </row>
    <row r="125" spans="1:13" ht="32.25" hidden="1" customHeight="1" x14ac:dyDescent="0.2">
      <c r="A125" s="8"/>
      <c r="B125" s="31">
        <v>5817</v>
      </c>
      <c r="C125" s="30">
        <v>43556</v>
      </c>
      <c r="D125" s="83" t="s">
        <v>105</v>
      </c>
      <c r="E125" s="83" t="s">
        <v>106</v>
      </c>
      <c r="F125" s="83">
        <v>3188939047</v>
      </c>
      <c r="G125" s="83">
        <v>94229405</v>
      </c>
      <c r="H125" s="29" t="s">
        <v>60</v>
      </c>
      <c r="I125" s="29" t="s">
        <v>61</v>
      </c>
      <c r="J125" s="83" t="s">
        <v>107</v>
      </c>
      <c r="K125" s="84">
        <f t="shared" si="23"/>
        <v>105000</v>
      </c>
      <c r="L125" s="85" t="e">
        <f>VLOOKUP(B125,'REGISTRO ABONOS'!$B$8:$BC$10038,54,0)</f>
        <v>#N/A</v>
      </c>
      <c r="M125" s="6"/>
    </row>
    <row r="126" spans="1:13" ht="32.25" hidden="1" customHeight="1" x14ac:dyDescent="0.2">
      <c r="A126" s="8"/>
      <c r="B126" s="31">
        <v>5937</v>
      </c>
      <c r="C126" s="30">
        <v>43572</v>
      </c>
      <c r="D126" s="83" t="s">
        <v>457</v>
      </c>
      <c r="E126" s="83" t="s">
        <v>458</v>
      </c>
      <c r="F126" s="83">
        <v>3122498672</v>
      </c>
      <c r="G126" s="83">
        <v>94225748</v>
      </c>
      <c r="H126" s="29" t="s">
        <v>60</v>
      </c>
      <c r="I126" s="29" t="s">
        <v>61</v>
      </c>
      <c r="J126" s="83" t="s">
        <v>336</v>
      </c>
      <c r="K126" s="84">
        <f t="shared" si="23"/>
        <v>105000</v>
      </c>
      <c r="L126" s="85" t="e">
        <f>VLOOKUP(B126,'REGISTRO ABONOS'!$B$8:$BC$10038,54,0)</f>
        <v>#N/A</v>
      </c>
      <c r="M126" s="6"/>
    </row>
    <row r="127" spans="1:13" ht="32.25" hidden="1" customHeight="1" x14ac:dyDescent="0.2">
      <c r="A127" s="8"/>
      <c r="B127" s="31">
        <v>6041</v>
      </c>
      <c r="C127" s="30">
        <v>43566</v>
      </c>
      <c r="D127" s="83" t="s">
        <v>398</v>
      </c>
      <c r="E127" s="83"/>
      <c r="F127" s="83"/>
      <c r="G127" s="83"/>
      <c r="H127" s="29"/>
      <c r="I127" s="29" t="s">
        <v>61</v>
      </c>
      <c r="J127" s="83" t="s">
        <v>173</v>
      </c>
      <c r="K127" s="84">
        <f t="shared" si="23"/>
        <v>105000</v>
      </c>
      <c r="L127" s="85">
        <f>VLOOKUP(B127,'REGISTRO ABONOS'!$B$8:$BC$10038,54,0)</f>
        <v>0</v>
      </c>
      <c r="M127" s="6"/>
    </row>
    <row r="128" spans="1:13" ht="32.25" hidden="1" customHeight="1" x14ac:dyDescent="0.2">
      <c r="A128" s="8"/>
      <c r="B128" s="31">
        <v>6127</v>
      </c>
      <c r="C128" s="30">
        <v>43565</v>
      </c>
      <c r="D128" s="83" t="s">
        <v>356</v>
      </c>
      <c r="E128" s="83" t="s">
        <v>357</v>
      </c>
      <c r="F128" s="83">
        <v>3207549397</v>
      </c>
      <c r="G128" s="83">
        <v>94226179</v>
      </c>
      <c r="H128" s="29" t="s">
        <v>60</v>
      </c>
      <c r="I128" s="29" t="s">
        <v>61</v>
      </c>
      <c r="J128" s="83" t="s">
        <v>355</v>
      </c>
      <c r="K128" s="84">
        <f t="shared" si="23"/>
        <v>105000</v>
      </c>
      <c r="L128" s="85" t="e">
        <f>VLOOKUP(B128,'REGISTRO ABONOS'!$B$8:$BC$10038,54,0)</f>
        <v>#N/A</v>
      </c>
      <c r="M128" s="6"/>
    </row>
    <row r="129" spans="1:13" ht="32.25" hidden="1" customHeight="1" x14ac:dyDescent="0.2">
      <c r="A129" s="8"/>
      <c r="B129" s="31">
        <v>6249</v>
      </c>
      <c r="C129" s="30">
        <v>43570</v>
      </c>
      <c r="D129" s="83" t="s">
        <v>429</v>
      </c>
      <c r="E129" s="83" t="s">
        <v>430</v>
      </c>
      <c r="F129" s="83">
        <v>3137361218</v>
      </c>
      <c r="G129" s="83">
        <v>1116441758</v>
      </c>
      <c r="H129" s="29" t="s">
        <v>60</v>
      </c>
      <c r="I129" s="29" t="s">
        <v>61</v>
      </c>
      <c r="J129" s="83" t="s">
        <v>411</v>
      </c>
      <c r="K129" s="84">
        <f t="shared" si="23"/>
        <v>105000</v>
      </c>
      <c r="L129" s="85" t="e">
        <f>VLOOKUP(B129,'REGISTRO ABONOS'!$B$8:$BC$10038,54,0)</f>
        <v>#N/A</v>
      </c>
      <c r="M129" s="6"/>
    </row>
    <row r="130" spans="1:13" ht="32.25" hidden="1" customHeight="1" x14ac:dyDescent="0.2">
      <c r="A130" s="8"/>
      <c r="B130" s="31">
        <v>6262</v>
      </c>
      <c r="C130" s="30">
        <v>43559</v>
      </c>
      <c r="D130" s="83" t="s">
        <v>116</v>
      </c>
      <c r="E130" s="83" t="s">
        <v>117</v>
      </c>
      <c r="F130" s="83">
        <v>3209463235</v>
      </c>
      <c r="G130" s="83">
        <v>66677320</v>
      </c>
      <c r="H130" s="29" t="s">
        <v>60</v>
      </c>
      <c r="I130" s="29" t="s">
        <v>61</v>
      </c>
      <c r="J130" s="83" t="s">
        <v>65</v>
      </c>
      <c r="K130" s="84">
        <f t="shared" si="23"/>
        <v>105000</v>
      </c>
      <c r="L130" s="85" t="e">
        <f>VLOOKUP(B130,'REGISTRO ABONOS'!$B$8:$BC$10038,54,0)</f>
        <v>#N/A</v>
      </c>
      <c r="M130" s="6"/>
    </row>
    <row r="131" spans="1:13" ht="32.25" hidden="1" customHeight="1" x14ac:dyDescent="0.2">
      <c r="A131" s="8"/>
      <c r="B131" s="31">
        <v>6274</v>
      </c>
      <c r="C131" s="30">
        <v>43559</v>
      </c>
      <c r="D131" s="83" t="s">
        <v>121</v>
      </c>
      <c r="E131" s="83" t="s">
        <v>122</v>
      </c>
      <c r="F131" s="83">
        <v>3219421998</v>
      </c>
      <c r="G131" s="83">
        <v>66684136</v>
      </c>
      <c r="H131" s="29" t="s">
        <v>60</v>
      </c>
      <c r="I131" s="29" t="s">
        <v>61</v>
      </c>
      <c r="J131" s="83" t="s">
        <v>65</v>
      </c>
      <c r="K131" s="84">
        <f t="shared" si="23"/>
        <v>105000</v>
      </c>
      <c r="L131" s="85" t="e">
        <f>VLOOKUP(B131,'REGISTRO ABONOS'!$B$8:$BC$10038,54,0)</f>
        <v>#N/A</v>
      </c>
      <c r="M131" s="6"/>
    </row>
    <row r="132" spans="1:13" ht="32.25" hidden="1" customHeight="1" x14ac:dyDescent="0.2">
      <c r="A132" s="8"/>
      <c r="B132" s="31">
        <v>6475</v>
      </c>
      <c r="C132" s="30">
        <v>43563</v>
      </c>
      <c r="D132" s="83" t="s">
        <v>97</v>
      </c>
      <c r="E132" s="83" t="s">
        <v>98</v>
      </c>
      <c r="F132" s="83">
        <v>3186448614</v>
      </c>
      <c r="G132" s="83">
        <v>66680301</v>
      </c>
      <c r="H132" s="29" t="s">
        <v>60</v>
      </c>
      <c r="I132" s="29" t="s">
        <v>61</v>
      </c>
      <c r="J132" s="83" t="s">
        <v>99</v>
      </c>
      <c r="K132" s="84">
        <f t="shared" si="23"/>
        <v>105000</v>
      </c>
      <c r="L132" s="85">
        <f>VLOOKUP(B132,'REGISTRO ABONOS'!$B$8:$BC$10038,54,0)</f>
        <v>0</v>
      </c>
      <c r="M132" s="6"/>
    </row>
    <row r="133" spans="1:13" ht="32.25" hidden="1" customHeight="1" x14ac:dyDescent="0.2">
      <c r="A133" s="8"/>
      <c r="B133" s="31">
        <v>6714</v>
      </c>
      <c r="C133" s="30">
        <v>43559</v>
      </c>
      <c r="D133" s="83" t="s">
        <v>186</v>
      </c>
      <c r="E133" s="83" t="s">
        <v>185</v>
      </c>
      <c r="F133" s="83">
        <v>3148741297</v>
      </c>
      <c r="G133" s="83">
        <v>1116450012</v>
      </c>
      <c r="H133" s="29" t="s">
        <v>60</v>
      </c>
      <c r="I133" s="29" t="s">
        <v>61</v>
      </c>
      <c r="J133" s="83" t="s">
        <v>171</v>
      </c>
      <c r="K133" s="84">
        <f t="shared" si="23"/>
        <v>105000</v>
      </c>
      <c r="L133" s="85" t="e">
        <f>VLOOKUP(B133,'REGISTRO ABONOS'!$B$8:$BC$10038,54,0)</f>
        <v>#N/A</v>
      </c>
      <c r="M133" s="6"/>
    </row>
    <row r="134" spans="1:13" ht="32.25" hidden="1" customHeight="1" x14ac:dyDescent="0.2">
      <c r="A134" s="8"/>
      <c r="B134" s="31">
        <v>6729</v>
      </c>
      <c r="C134" s="30">
        <v>43562</v>
      </c>
      <c r="D134" s="83" t="s">
        <v>443</v>
      </c>
      <c r="E134" s="83" t="s">
        <v>444</v>
      </c>
      <c r="F134" s="83">
        <v>3104100132</v>
      </c>
      <c r="G134" s="83">
        <v>66675843</v>
      </c>
      <c r="H134" s="29" t="s">
        <v>60</v>
      </c>
      <c r="I134" s="29" t="s">
        <v>61</v>
      </c>
      <c r="J134" s="83" t="s">
        <v>411</v>
      </c>
      <c r="K134" s="84">
        <f t="shared" si="23"/>
        <v>105000</v>
      </c>
      <c r="L134" s="85" t="e">
        <f>VLOOKUP(B134,'REGISTRO ABONOS'!$B$8:$BC$10038,54,0)</f>
        <v>#N/A</v>
      </c>
      <c r="M134" s="6"/>
    </row>
    <row r="135" spans="1:13" ht="32.25" hidden="1" customHeight="1" x14ac:dyDescent="0.2">
      <c r="A135" s="8"/>
      <c r="B135" s="31">
        <v>6814</v>
      </c>
      <c r="C135" s="30">
        <v>43564</v>
      </c>
      <c r="D135" s="83" t="s">
        <v>229</v>
      </c>
      <c r="E135" s="83" t="s">
        <v>252</v>
      </c>
      <c r="F135" s="83">
        <v>3116110696</v>
      </c>
      <c r="G135" s="83">
        <v>94231669</v>
      </c>
      <c r="H135" s="29" t="s">
        <v>60</v>
      </c>
      <c r="I135" s="29" t="s">
        <v>61</v>
      </c>
      <c r="J135" s="83" t="s">
        <v>229</v>
      </c>
      <c r="K135" s="84">
        <f t="shared" si="23"/>
        <v>105000</v>
      </c>
      <c r="L135" s="85" t="e">
        <f>VLOOKUP(B135,'REGISTRO ABONOS'!$B$8:$BC$10038,54,0)</f>
        <v>#N/A</v>
      </c>
      <c r="M135" s="6"/>
    </row>
    <row r="136" spans="1:13" ht="32.25" hidden="1" customHeight="1" x14ac:dyDescent="0.2">
      <c r="A136" s="8"/>
      <c r="B136" s="31">
        <v>6827</v>
      </c>
      <c r="C136" s="30">
        <v>43564</v>
      </c>
      <c r="D136" s="83" t="s">
        <v>254</v>
      </c>
      <c r="E136" s="83" t="s">
        <v>255</v>
      </c>
      <c r="F136" s="83">
        <v>3235162652</v>
      </c>
      <c r="G136" s="83">
        <v>29987440</v>
      </c>
      <c r="H136" s="29" t="s">
        <v>60</v>
      </c>
      <c r="I136" s="29" t="s">
        <v>61</v>
      </c>
      <c r="J136" s="83" t="s">
        <v>229</v>
      </c>
      <c r="K136" s="84">
        <f t="shared" si="23"/>
        <v>105000</v>
      </c>
      <c r="L136" s="85" t="e">
        <f>VLOOKUP(B136,'REGISTRO ABONOS'!$B$8:$BC$10038,54,0)</f>
        <v>#N/A</v>
      </c>
      <c r="M136" s="6"/>
    </row>
    <row r="137" spans="1:13" ht="32.25" hidden="1" customHeight="1" x14ac:dyDescent="0.2">
      <c r="A137" s="8"/>
      <c r="B137" s="31">
        <v>6901</v>
      </c>
      <c r="C137" s="30">
        <v>43562</v>
      </c>
      <c r="D137" s="83" t="s">
        <v>435</v>
      </c>
      <c r="E137" s="83" t="s">
        <v>436</v>
      </c>
      <c r="F137" s="83">
        <v>3106531903</v>
      </c>
      <c r="G137" s="83">
        <v>29900812</v>
      </c>
      <c r="H137" s="29" t="s">
        <v>60</v>
      </c>
      <c r="I137" s="29" t="s">
        <v>61</v>
      </c>
      <c r="J137" s="83" t="s">
        <v>411</v>
      </c>
      <c r="K137" s="84">
        <f t="shared" si="23"/>
        <v>105000</v>
      </c>
      <c r="L137" s="85" t="e">
        <f>VLOOKUP(B137,'REGISTRO ABONOS'!$B$8:$BC$10038,54,0)</f>
        <v>#N/A</v>
      </c>
      <c r="M137" s="6"/>
    </row>
    <row r="138" spans="1:13" ht="32.25" hidden="1" customHeight="1" x14ac:dyDescent="0.2">
      <c r="A138" s="8"/>
      <c r="B138" s="31">
        <v>6902</v>
      </c>
      <c r="C138" s="30">
        <v>43559</v>
      </c>
      <c r="D138" s="83" t="s">
        <v>126</v>
      </c>
      <c r="E138" s="83" t="s">
        <v>127</v>
      </c>
      <c r="F138" s="83">
        <v>3123329135</v>
      </c>
      <c r="G138" s="83">
        <v>1097037705</v>
      </c>
      <c r="H138" s="29" t="s">
        <v>128</v>
      </c>
      <c r="I138" s="29" t="s">
        <v>61</v>
      </c>
      <c r="J138" s="83" t="s">
        <v>129</v>
      </c>
      <c r="K138" s="84">
        <f t="shared" si="23"/>
        <v>105000</v>
      </c>
      <c r="L138" s="85" t="e">
        <f>VLOOKUP(B138,'REGISTRO ABONOS'!$B$8:$BC$10038,54,0)</f>
        <v>#N/A</v>
      </c>
      <c r="M138" s="6"/>
    </row>
    <row r="139" spans="1:13" ht="32.25" hidden="1" customHeight="1" x14ac:dyDescent="0.2">
      <c r="A139" s="8"/>
      <c r="B139" s="31">
        <v>6936</v>
      </c>
      <c r="C139" s="30">
        <v>43571</v>
      </c>
      <c r="D139" s="83" t="s">
        <v>465</v>
      </c>
      <c r="E139" s="83" t="s">
        <v>466</v>
      </c>
      <c r="F139" s="83">
        <v>3152747070</v>
      </c>
      <c r="G139" s="83">
        <v>94230384</v>
      </c>
      <c r="H139" s="29" t="s">
        <v>60</v>
      </c>
      <c r="I139" s="29" t="s">
        <v>61</v>
      </c>
      <c r="J139" s="83" t="s">
        <v>322</v>
      </c>
      <c r="K139" s="84">
        <f t="shared" si="23"/>
        <v>105000</v>
      </c>
      <c r="L139" s="85" t="e">
        <f>VLOOKUP(B139,'REGISTRO ABONOS'!$B$8:$BC$10038,54,0)</f>
        <v>#N/A</v>
      </c>
      <c r="M139" s="6"/>
    </row>
    <row r="140" spans="1:13" ht="32.25" hidden="1" customHeight="1" x14ac:dyDescent="0.2">
      <c r="A140" s="8"/>
      <c r="B140" s="31">
        <v>6942</v>
      </c>
      <c r="C140" s="30">
        <v>43571</v>
      </c>
      <c r="D140" s="83" t="s">
        <v>342</v>
      </c>
      <c r="E140" s="83" t="s">
        <v>343</v>
      </c>
      <c r="F140" s="83">
        <v>3124271224</v>
      </c>
      <c r="G140" s="83">
        <v>53008245</v>
      </c>
      <c r="H140" s="29" t="s">
        <v>265</v>
      </c>
      <c r="I140" s="29" t="s">
        <v>344</v>
      </c>
      <c r="J140" s="83" t="s">
        <v>345</v>
      </c>
      <c r="K140" s="84">
        <f t="shared" si="23"/>
        <v>105000</v>
      </c>
      <c r="L140" s="85">
        <f>VLOOKUP(B140,'REGISTRO ABONOS'!$B$8:$BC$10038,54,0)</f>
        <v>0</v>
      </c>
      <c r="M140" s="6"/>
    </row>
    <row r="141" spans="1:13" ht="32.25" hidden="1" customHeight="1" x14ac:dyDescent="0.2">
      <c r="A141" s="8"/>
      <c r="B141" s="31">
        <v>6948</v>
      </c>
      <c r="C141" s="30">
        <v>43567</v>
      </c>
      <c r="D141" s="83" t="s">
        <v>413</v>
      </c>
      <c r="E141" s="83" t="s">
        <v>414</v>
      </c>
      <c r="F141" s="83">
        <v>3137815267</v>
      </c>
      <c r="G141" s="83">
        <v>388850056</v>
      </c>
      <c r="H141" s="29" t="s">
        <v>60</v>
      </c>
      <c r="I141" s="29" t="s">
        <v>61</v>
      </c>
      <c r="J141" s="83" t="s">
        <v>411</v>
      </c>
      <c r="K141" s="84">
        <f t="shared" si="23"/>
        <v>105000</v>
      </c>
      <c r="L141" s="85" t="e">
        <f>VLOOKUP(B141,'REGISTRO ABONOS'!$B$8:$BC$10038,54,0)</f>
        <v>#N/A</v>
      </c>
      <c r="M141" s="6"/>
    </row>
    <row r="142" spans="1:13" ht="32.25" hidden="1" customHeight="1" x14ac:dyDescent="0.2">
      <c r="A142" s="8"/>
      <c r="B142" s="31">
        <v>6994</v>
      </c>
      <c r="C142" s="30">
        <v>43572</v>
      </c>
      <c r="D142" s="83" t="s">
        <v>399</v>
      </c>
      <c r="E142" s="83" t="s">
        <v>400</v>
      </c>
      <c r="F142" s="83">
        <v>3206542444</v>
      </c>
      <c r="G142" s="83">
        <v>94228031</v>
      </c>
      <c r="H142" s="29" t="s">
        <v>60</v>
      </c>
      <c r="I142" s="29" t="s">
        <v>61</v>
      </c>
      <c r="J142" s="83" t="s">
        <v>173</v>
      </c>
      <c r="K142" s="84">
        <f t="shared" si="23"/>
        <v>105000</v>
      </c>
      <c r="L142" s="85">
        <f>VLOOKUP(B142,'REGISTRO ABONOS'!$B$8:$BC$10038,54,0)</f>
        <v>70000</v>
      </c>
      <c r="M142" s="6"/>
    </row>
    <row r="143" spans="1:13" ht="32.25" hidden="1" customHeight="1" x14ac:dyDescent="0.2">
      <c r="A143" s="8"/>
      <c r="B143" s="31">
        <v>7048</v>
      </c>
      <c r="C143" s="30" t="s">
        <v>416</v>
      </c>
      <c r="D143" s="83" t="s">
        <v>417</v>
      </c>
      <c r="E143" s="83" t="s">
        <v>418</v>
      </c>
      <c r="F143" s="83">
        <v>3146908159</v>
      </c>
      <c r="G143" s="83">
        <v>66684095</v>
      </c>
      <c r="H143" s="29" t="s">
        <v>60</v>
      </c>
      <c r="I143" s="29" t="s">
        <v>61</v>
      </c>
      <c r="J143" s="83" t="s">
        <v>411</v>
      </c>
      <c r="K143" s="84">
        <f t="shared" si="23"/>
        <v>130000</v>
      </c>
      <c r="L143" s="85" t="e">
        <f>VLOOKUP(B143,'REGISTRO ABONOS'!$B$8:$BC$10038,54,0)</f>
        <v>#N/A</v>
      </c>
      <c r="M143" s="6"/>
    </row>
    <row r="144" spans="1:13" ht="32.25" hidden="1" customHeight="1" x14ac:dyDescent="0.2">
      <c r="A144" s="8"/>
      <c r="B144" s="31">
        <v>7100</v>
      </c>
      <c r="C144" s="30">
        <v>43565</v>
      </c>
      <c r="D144" s="83" t="s">
        <v>312</v>
      </c>
      <c r="E144" s="83" t="s">
        <v>301</v>
      </c>
      <c r="F144" s="83">
        <v>3117139436</v>
      </c>
      <c r="G144" s="83">
        <v>6464944</v>
      </c>
      <c r="H144" s="29" t="s">
        <v>75</v>
      </c>
      <c r="I144" s="29" t="s">
        <v>61</v>
      </c>
      <c r="J144" s="83" t="s">
        <v>281</v>
      </c>
      <c r="K144" s="84">
        <f t="shared" si="23"/>
        <v>105000</v>
      </c>
      <c r="L144" s="85" t="e">
        <f>VLOOKUP(B144,'REGISTRO ABONOS'!$B$8:$BC$10038,54,0)</f>
        <v>#N/A</v>
      </c>
      <c r="M144" s="6"/>
    </row>
    <row r="145" spans="1:13" ht="32.25" hidden="1" customHeight="1" x14ac:dyDescent="0.2">
      <c r="A145" s="8"/>
      <c r="B145" s="31">
        <v>7123</v>
      </c>
      <c r="C145" s="30">
        <v>43558</v>
      </c>
      <c r="D145" s="83" t="s">
        <v>322</v>
      </c>
      <c r="E145" s="83" t="s">
        <v>323</v>
      </c>
      <c r="F145" s="83">
        <v>3115522999</v>
      </c>
      <c r="G145" s="83">
        <v>94232544</v>
      </c>
      <c r="H145" s="29" t="s">
        <v>140</v>
      </c>
      <c r="I145" s="29" t="s">
        <v>61</v>
      </c>
      <c r="J145" s="83" t="s">
        <v>322</v>
      </c>
      <c r="K145" s="84">
        <f t="shared" si="23"/>
        <v>105000</v>
      </c>
      <c r="L145" s="85">
        <f>VLOOKUP(B145,'REGISTRO ABONOS'!$B$8:$BC$10038,54,0)</f>
        <v>0</v>
      </c>
      <c r="M145" s="6"/>
    </row>
    <row r="146" spans="1:13" ht="32.25" hidden="1" customHeight="1" x14ac:dyDescent="0.2">
      <c r="A146" s="8"/>
      <c r="B146" s="31">
        <v>7214</v>
      </c>
      <c r="C146" s="30">
        <v>43571</v>
      </c>
      <c r="D146" s="83" t="s">
        <v>478</v>
      </c>
      <c r="E146" s="83" t="s">
        <v>479</v>
      </c>
      <c r="F146" s="83">
        <v>3142937276</v>
      </c>
      <c r="G146" s="83">
        <v>942310203</v>
      </c>
      <c r="H146" s="29" t="s">
        <v>60</v>
      </c>
      <c r="I146" s="29" t="s">
        <v>61</v>
      </c>
      <c r="J146" s="83" t="s">
        <v>322</v>
      </c>
      <c r="K146" s="84">
        <f t="shared" si="23"/>
        <v>105000</v>
      </c>
      <c r="L146" s="85" t="e">
        <f>VLOOKUP(B146,'REGISTRO ABONOS'!$B$8:$BC$10038,54,0)</f>
        <v>#N/A</v>
      </c>
      <c r="M146" s="6"/>
    </row>
    <row r="147" spans="1:13" ht="32.25" hidden="1" customHeight="1" x14ac:dyDescent="0.2">
      <c r="A147" s="8"/>
      <c r="B147" s="31">
        <v>7257</v>
      </c>
      <c r="C147" s="30">
        <v>43566</v>
      </c>
      <c r="D147" s="83" t="s">
        <v>393</v>
      </c>
      <c r="E147" s="83" t="s">
        <v>394</v>
      </c>
      <c r="F147" s="83">
        <v>22079992</v>
      </c>
      <c r="G147" s="83">
        <v>29991044</v>
      </c>
      <c r="H147" s="29" t="s">
        <v>60</v>
      </c>
      <c r="I147" s="29" t="s">
        <v>61</v>
      </c>
      <c r="J147" s="83" t="s">
        <v>383</v>
      </c>
      <c r="K147" s="84">
        <f t="shared" si="23"/>
        <v>105000</v>
      </c>
      <c r="L147" s="85" t="e">
        <f>VLOOKUP(B147,'REGISTRO ABONOS'!$B$8:$BC$10038,54,0)</f>
        <v>#N/A</v>
      </c>
      <c r="M147" s="6"/>
    </row>
    <row r="148" spans="1:13" ht="32.25" hidden="1" customHeight="1" x14ac:dyDescent="0.2">
      <c r="A148" s="8"/>
      <c r="B148" s="31">
        <v>7315</v>
      </c>
      <c r="C148" s="30">
        <v>43562</v>
      </c>
      <c r="D148" s="83" t="s">
        <v>208</v>
      </c>
      <c r="E148" s="83" t="s">
        <v>209</v>
      </c>
      <c r="F148" s="83">
        <v>3123576993</v>
      </c>
      <c r="G148" s="83">
        <v>1116443828</v>
      </c>
      <c r="H148" s="29" t="s">
        <v>60</v>
      </c>
      <c r="I148" s="29" t="s">
        <v>61</v>
      </c>
      <c r="J148" s="83" t="s">
        <v>200</v>
      </c>
      <c r="K148" s="84">
        <f t="shared" si="23"/>
        <v>105000</v>
      </c>
      <c r="L148" s="85" t="e">
        <f>VLOOKUP(B148,'REGISTRO ABONOS'!$B$8:$BC$10038,54,0)</f>
        <v>#N/A</v>
      </c>
      <c r="M148" s="6"/>
    </row>
    <row r="149" spans="1:13" ht="32.25" hidden="1" customHeight="1" x14ac:dyDescent="0.2">
      <c r="A149" s="8"/>
      <c r="B149" s="31">
        <v>7371</v>
      </c>
      <c r="C149" s="30">
        <v>43567</v>
      </c>
      <c r="D149" s="83" t="s">
        <v>409</v>
      </c>
      <c r="E149" s="83" t="s">
        <v>410</v>
      </c>
      <c r="F149" s="83">
        <v>3162978753</v>
      </c>
      <c r="G149" s="83">
        <v>29991451</v>
      </c>
      <c r="H149" s="29" t="s">
        <v>60</v>
      </c>
      <c r="I149" s="29" t="s">
        <v>61</v>
      </c>
      <c r="J149" s="83" t="s">
        <v>411</v>
      </c>
      <c r="K149" s="84">
        <f t="shared" si="23"/>
        <v>105000</v>
      </c>
      <c r="L149" s="85" t="e">
        <f>VLOOKUP(B149,'REGISTRO ABONOS'!$B$8:$BC$10038,54,0)</f>
        <v>#N/A</v>
      </c>
      <c r="M149" s="6"/>
    </row>
    <row r="150" spans="1:13" ht="32.25" hidden="1" customHeight="1" x14ac:dyDescent="0.2">
      <c r="A150" s="8"/>
      <c r="B150" s="31">
        <v>7388</v>
      </c>
      <c r="C150" s="30">
        <v>43567</v>
      </c>
      <c r="D150" s="83" t="s">
        <v>315</v>
      </c>
      <c r="E150" s="83" t="s">
        <v>316</v>
      </c>
      <c r="F150" s="83">
        <v>3108469377</v>
      </c>
      <c r="G150" s="83" t="s">
        <v>70</v>
      </c>
      <c r="H150" s="29" t="s">
        <v>60</v>
      </c>
      <c r="I150" s="29" t="s">
        <v>61</v>
      </c>
      <c r="J150" s="83" t="s">
        <v>87</v>
      </c>
      <c r="K150" s="84">
        <f t="shared" si="23"/>
        <v>105000</v>
      </c>
      <c r="L150" s="85" t="e">
        <f>VLOOKUP(B150,'REGISTRO ABONOS'!$B$8:$BC$10038,54,0)</f>
        <v>#N/A</v>
      </c>
      <c r="M150" s="6"/>
    </row>
    <row r="151" spans="1:13" ht="32.25" hidden="1" customHeight="1" x14ac:dyDescent="0.2">
      <c r="A151" s="8"/>
      <c r="B151" s="31">
        <v>7418</v>
      </c>
      <c r="C151" s="30">
        <v>43563</v>
      </c>
      <c r="D151" s="83" t="s">
        <v>411</v>
      </c>
      <c r="E151" s="83" t="s">
        <v>432</v>
      </c>
      <c r="F151" s="83">
        <v>3206764101</v>
      </c>
      <c r="G151" s="83">
        <v>94229960</v>
      </c>
      <c r="H151" s="29" t="s">
        <v>60</v>
      </c>
      <c r="I151" s="29" t="s">
        <v>61</v>
      </c>
      <c r="J151" s="83" t="s">
        <v>411</v>
      </c>
      <c r="K151" s="84">
        <f t="shared" si="23"/>
        <v>105000</v>
      </c>
      <c r="L151" s="85" t="e">
        <f>VLOOKUP(B151,'REGISTRO ABONOS'!$B$8:$BC$10038,54,0)</f>
        <v>#N/A</v>
      </c>
      <c r="M151" s="6"/>
    </row>
    <row r="152" spans="1:13" ht="32.25" hidden="1" customHeight="1" x14ac:dyDescent="0.2">
      <c r="A152" s="8"/>
      <c r="B152" s="31">
        <v>7451</v>
      </c>
      <c r="C152" s="30">
        <v>43562</v>
      </c>
      <c r="D152" s="83" t="s">
        <v>433</v>
      </c>
      <c r="E152" s="83" t="s">
        <v>434</v>
      </c>
      <c r="F152" s="83">
        <v>3225122079</v>
      </c>
      <c r="G152" s="83">
        <v>66681683</v>
      </c>
      <c r="H152" s="29" t="s">
        <v>60</v>
      </c>
      <c r="I152" s="29" t="s">
        <v>61</v>
      </c>
      <c r="J152" s="83" t="s">
        <v>433</v>
      </c>
      <c r="K152" s="84">
        <f t="shared" si="23"/>
        <v>105000</v>
      </c>
      <c r="L152" s="85" t="e">
        <f>VLOOKUP(B152,'REGISTRO ABONOS'!$B$8:$BC$10038,54,0)</f>
        <v>#N/A</v>
      </c>
      <c r="M152" s="6"/>
    </row>
    <row r="153" spans="1:13" ht="32.25" hidden="1" customHeight="1" x14ac:dyDescent="0.2">
      <c r="A153" s="8"/>
      <c r="B153" s="31">
        <v>7487</v>
      </c>
      <c r="C153" s="30">
        <v>43570</v>
      </c>
      <c r="D153" s="83" t="s">
        <v>422</v>
      </c>
      <c r="E153" s="83" t="s">
        <v>423</v>
      </c>
      <c r="F153" s="83">
        <v>3178139006</v>
      </c>
      <c r="G153" s="83">
        <v>1116445563</v>
      </c>
      <c r="H153" s="29" t="s">
        <v>60</v>
      </c>
      <c r="I153" s="29" t="s">
        <v>61</v>
      </c>
      <c r="J153" s="83" t="s">
        <v>411</v>
      </c>
      <c r="K153" s="84">
        <f t="shared" si="23"/>
        <v>105000</v>
      </c>
      <c r="L153" s="85" t="e">
        <f>VLOOKUP(B153,'REGISTRO ABONOS'!$B$8:$BC$10038,54,0)</f>
        <v>#N/A</v>
      </c>
      <c r="M153" s="6"/>
    </row>
    <row r="154" spans="1:13" ht="32.25" hidden="1" customHeight="1" x14ac:dyDescent="0.2">
      <c r="A154" s="8"/>
      <c r="B154" s="31">
        <v>7500</v>
      </c>
      <c r="C154" s="30">
        <v>43562</v>
      </c>
      <c r="D154" s="83" t="s">
        <v>442</v>
      </c>
      <c r="E154" s="83" t="s">
        <v>432</v>
      </c>
      <c r="F154" s="83">
        <v>3128954065</v>
      </c>
      <c r="G154" s="83">
        <v>1116448721</v>
      </c>
      <c r="H154" s="29" t="s">
        <v>60</v>
      </c>
      <c r="I154" s="29" t="s">
        <v>61</v>
      </c>
      <c r="J154" s="83" t="s">
        <v>411</v>
      </c>
      <c r="K154" s="84">
        <f t="shared" si="23"/>
        <v>105000</v>
      </c>
      <c r="L154" s="85" t="e">
        <f>VLOOKUP(B154,'REGISTRO ABONOS'!$B$8:$BC$10038,54,0)</f>
        <v>#N/A</v>
      </c>
      <c r="M154" s="6"/>
    </row>
    <row r="155" spans="1:13" ht="32.25" hidden="1" customHeight="1" x14ac:dyDescent="0.2">
      <c r="A155" s="8"/>
      <c r="B155" s="31">
        <v>7510</v>
      </c>
      <c r="C155" s="30">
        <v>43570</v>
      </c>
      <c r="D155" s="83" t="s">
        <v>391</v>
      </c>
      <c r="E155" s="83" t="s">
        <v>392</v>
      </c>
      <c r="F155" s="83">
        <v>3146244044</v>
      </c>
      <c r="G155" s="83">
        <v>94230375</v>
      </c>
      <c r="H155" s="29" t="s">
        <v>60</v>
      </c>
      <c r="I155" s="29" t="s">
        <v>61</v>
      </c>
      <c r="J155" s="83" t="s">
        <v>383</v>
      </c>
      <c r="K155" s="84">
        <f t="shared" si="23"/>
        <v>105000</v>
      </c>
      <c r="L155" s="85" t="e">
        <f>VLOOKUP(B155,'REGISTRO ABONOS'!$B$8:$BC$10038,54,0)</f>
        <v>#N/A</v>
      </c>
      <c r="M155" s="6"/>
    </row>
    <row r="156" spans="1:13" ht="32.25" hidden="1" customHeight="1" x14ac:dyDescent="0.2">
      <c r="A156" s="8"/>
      <c r="B156" s="31">
        <v>7535</v>
      </c>
      <c r="C156" s="30">
        <v>43559</v>
      </c>
      <c r="D156" s="83" t="s">
        <v>322</v>
      </c>
      <c r="E156" s="83" t="s">
        <v>323</v>
      </c>
      <c r="F156" s="83">
        <v>3115522999</v>
      </c>
      <c r="G156" s="83">
        <v>94252544</v>
      </c>
      <c r="H156" s="29" t="s">
        <v>140</v>
      </c>
      <c r="I156" s="29" t="s">
        <v>61</v>
      </c>
      <c r="J156" s="83" t="s">
        <v>322</v>
      </c>
      <c r="K156" s="84">
        <f t="shared" ref="K156:K187" si="24">IF(C156&gt;43607,130000,105000)</f>
        <v>105000</v>
      </c>
      <c r="L156" s="85">
        <f>VLOOKUP(B156,'REGISTRO ABONOS'!$B$8:$BC$10038,54,0)</f>
        <v>0</v>
      </c>
      <c r="M156" s="6"/>
    </row>
    <row r="157" spans="1:13" ht="32.25" hidden="1" customHeight="1" x14ac:dyDescent="0.2">
      <c r="A157" s="8"/>
      <c r="B157" s="31">
        <v>7627</v>
      </c>
      <c r="C157" s="30">
        <v>43569</v>
      </c>
      <c r="D157" s="83" t="s">
        <v>368</v>
      </c>
      <c r="E157" s="83" t="s">
        <v>369</v>
      </c>
      <c r="F157" s="83">
        <v>3104654223</v>
      </c>
      <c r="G157" s="83" t="s">
        <v>70</v>
      </c>
      <c r="H157" s="29" t="s">
        <v>140</v>
      </c>
      <c r="I157" s="29" t="s">
        <v>61</v>
      </c>
      <c r="J157" s="83" t="s">
        <v>355</v>
      </c>
      <c r="K157" s="84">
        <f t="shared" si="24"/>
        <v>105000</v>
      </c>
      <c r="L157" s="85" t="e">
        <f>VLOOKUP(B157,'REGISTRO ABONOS'!$B$8:$BC$10038,54,0)</f>
        <v>#N/A</v>
      </c>
      <c r="M157" s="6"/>
    </row>
    <row r="158" spans="1:13" ht="32.25" hidden="1" customHeight="1" x14ac:dyDescent="0.2">
      <c r="A158" s="8"/>
      <c r="B158" s="31">
        <v>7653</v>
      </c>
      <c r="C158" s="30">
        <v>43569</v>
      </c>
      <c r="D158" s="83" t="s">
        <v>346</v>
      </c>
      <c r="E158" s="83" t="s">
        <v>347</v>
      </c>
      <c r="F158" s="83">
        <v>3152449817</v>
      </c>
      <c r="G158" s="83">
        <v>23620210</v>
      </c>
      <c r="H158" s="29" t="s">
        <v>265</v>
      </c>
      <c r="I158" s="29" t="s">
        <v>61</v>
      </c>
      <c r="J158" s="83" t="s">
        <v>345</v>
      </c>
      <c r="K158" s="84">
        <f t="shared" si="24"/>
        <v>105000</v>
      </c>
      <c r="L158" s="85" t="e">
        <f>VLOOKUP(B158,'REGISTRO ABONOS'!$B$8:$BC$10038,54,0)</f>
        <v>#N/A</v>
      </c>
      <c r="M158" s="6"/>
    </row>
    <row r="159" spans="1:13" ht="32.25" hidden="1" customHeight="1" x14ac:dyDescent="0.2">
      <c r="A159" s="8"/>
      <c r="B159" s="31">
        <v>7712</v>
      </c>
      <c r="C159" s="30">
        <v>43570</v>
      </c>
      <c r="D159" s="83" t="s">
        <v>332</v>
      </c>
      <c r="E159" s="83" t="s">
        <v>333</v>
      </c>
      <c r="F159" s="83">
        <v>2206084</v>
      </c>
      <c r="G159" s="83">
        <v>29769624</v>
      </c>
      <c r="H159" s="29" t="s">
        <v>60</v>
      </c>
      <c r="I159" s="29" t="s">
        <v>61</v>
      </c>
      <c r="J159" s="83" t="s">
        <v>334</v>
      </c>
      <c r="K159" s="84">
        <f t="shared" si="24"/>
        <v>105000</v>
      </c>
      <c r="L159" s="85">
        <f>VLOOKUP(B159,'REGISTRO ABONOS'!$B$8:$BC$10038,54,0)</f>
        <v>0</v>
      </c>
      <c r="M159" s="6"/>
    </row>
    <row r="160" spans="1:13" ht="32.25" hidden="1" customHeight="1" x14ac:dyDescent="0.2">
      <c r="A160" s="8"/>
      <c r="B160" s="31">
        <v>7849</v>
      </c>
      <c r="C160" s="30">
        <v>43565</v>
      </c>
      <c r="D160" s="83" t="s">
        <v>198</v>
      </c>
      <c r="E160" s="83" t="s">
        <v>199</v>
      </c>
      <c r="F160" s="83">
        <v>3167127371</v>
      </c>
      <c r="G160" s="83">
        <v>66678318</v>
      </c>
      <c r="H160" s="29" t="s">
        <v>60</v>
      </c>
      <c r="I160" s="29" t="s">
        <v>61</v>
      </c>
      <c r="J160" s="83" t="s">
        <v>200</v>
      </c>
      <c r="K160" s="84">
        <f t="shared" si="24"/>
        <v>105000</v>
      </c>
      <c r="L160" s="85" t="e">
        <f>VLOOKUP(B160,'REGISTRO ABONOS'!$B$8:$BC$10038,54,0)</f>
        <v>#N/A</v>
      </c>
      <c r="M160" s="6"/>
    </row>
    <row r="161" spans="1:13" ht="32.25" hidden="1" customHeight="1" x14ac:dyDescent="0.2">
      <c r="A161" s="8"/>
      <c r="B161" s="31">
        <v>7857</v>
      </c>
      <c r="C161" s="30">
        <v>43559</v>
      </c>
      <c r="D161" s="83" t="s">
        <v>326</v>
      </c>
      <c r="E161" s="83" t="s">
        <v>327</v>
      </c>
      <c r="F161" s="83">
        <v>3167870694</v>
      </c>
      <c r="G161" s="83">
        <v>1114122354</v>
      </c>
      <c r="H161" s="29" t="s">
        <v>328</v>
      </c>
      <c r="I161" s="29" t="s">
        <v>61</v>
      </c>
      <c r="J161" s="83" t="s">
        <v>89</v>
      </c>
      <c r="K161" s="84">
        <f t="shared" si="24"/>
        <v>105000</v>
      </c>
      <c r="L161" s="85" t="e">
        <f>VLOOKUP(B161,'REGISTRO ABONOS'!$B$8:$BC$10038,54,0)</f>
        <v>#N/A</v>
      </c>
      <c r="M161" s="6"/>
    </row>
    <row r="162" spans="1:13" ht="32.25" hidden="1" customHeight="1" x14ac:dyDescent="0.2">
      <c r="A162" s="8"/>
      <c r="B162" s="31">
        <v>7865</v>
      </c>
      <c r="C162" s="30">
        <v>43571</v>
      </c>
      <c r="D162" s="83" t="s">
        <v>445</v>
      </c>
      <c r="E162" s="83" t="s">
        <v>446</v>
      </c>
      <c r="F162" s="83">
        <v>3122575948</v>
      </c>
      <c r="G162" s="83">
        <v>14884194</v>
      </c>
      <c r="H162" s="29" t="s">
        <v>60</v>
      </c>
      <c r="I162" s="29" t="s">
        <v>61</v>
      </c>
      <c r="J162" s="83" t="s">
        <v>336</v>
      </c>
      <c r="K162" s="84">
        <f t="shared" si="24"/>
        <v>105000</v>
      </c>
      <c r="L162" s="85" t="e">
        <f>VLOOKUP(B162,'REGISTRO ABONOS'!$B$8:$BC$10038,54,0)</f>
        <v>#N/A</v>
      </c>
      <c r="M162" s="6"/>
    </row>
    <row r="163" spans="1:13" ht="32.25" hidden="1" customHeight="1" x14ac:dyDescent="0.2">
      <c r="A163" s="8"/>
      <c r="B163" s="31">
        <v>7952</v>
      </c>
      <c r="C163" s="30">
        <v>43571</v>
      </c>
      <c r="D163" s="83" t="s">
        <v>488</v>
      </c>
      <c r="E163" s="83" t="s">
        <v>468</v>
      </c>
      <c r="F163" s="83">
        <v>3115522999</v>
      </c>
      <c r="G163" s="83">
        <v>94232544</v>
      </c>
      <c r="H163" s="29" t="s">
        <v>140</v>
      </c>
      <c r="I163" s="29" t="s">
        <v>61</v>
      </c>
      <c r="J163" s="83" t="s">
        <v>322</v>
      </c>
      <c r="K163" s="84">
        <f t="shared" si="24"/>
        <v>105000</v>
      </c>
      <c r="L163" s="85" t="e">
        <f>VLOOKUP(B163,'REGISTRO ABONOS'!$B$8:$BC$10038,54,0)</f>
        <v>#N/A</v>
      </c>
      <c r="M163" s="6"/>
    </row>
    <row r="164" spans="1:13" ht="32.25" hidden="1" customHeight="1" x14ac:dyDescent="0.2">
      <c r="A164" s="8"/>
      <c r="B164" s="31">
        <v>8038</v>
      </c>
      <c r="C164" s="30">
        <v>43559</v>
      </c>
      <c r="D164" s="83" t="s">
        <v>189</v>
      </c>
      <c r="E164" s="83" t="s">
        <v>190</v>
      </c>
      <c r="F164" s="83">
        <v>3118617604</v>
      </c>
      <c r="G164" s="83">
        <v>2587238</v>
      </c>
      <c r="H164" s="29" t="s">
        <v>60</v>
      </c>
      <c r="I164" s="29" t="s">
        <v>61</v>
      </c>
      <c r="J164" s="83" t="s">
        <v>171</v>
      </c>
      <c r="K164" s="84">
        <f t="shared" si="24"/>
        <v>105000</v>
      </c>
      <c r="L164" s="85" t="e">
        <f>VLOOKUP(B164,'REGISTRO ABONOS'!$B$8:$BC$10038,54,0)</f>
        <v>#N/A</v>
      </c>
      <c r="M164" s="6"/>
    </row>
    <row r="165" spans="1:13" ht="32.25" hidden="1" customHeight="1" x14ac:dyDescent="0.2">
      <c r="A165" s="8"/>
      <c r="B165" s="31">
        <v>8218</v>
      </c>
      <c r="C165" s="30">
        <v>43556</v>
      </c>
      <c r="D165" s="83" t="s">
        <v>150</v>
      </c>
      <c r="E165" s="83" t="s">
        <v>127</v>
      </c>
      <c r="F165" s="83">
        <v>3127298768</v>
      </c>
      <c r="G165" s="83">
        <v>25018799</v>
      </c>
      <c r="H165" s="29" t="s">
        <v>128</v>
      </c>
      <c r="I165" s="29" t="s">
        <v>61</v>
      </c>
      <c r="J165" s="83" t="s">
        <v>65</v>
      </c>
      <c r="K165" s="84">
        <f t="shared" si="24"/>
        <v>105000</v>
      </c>
      <c r="L165" s="85" t="e">
        <f>VLOOKUP(B165,'REGISTRO ABONOS'!$B$8:$BC$10038,54,0)</f>
        <v>#N/A</v>
      </c>
      <c r="M165" s="6"/>
    </row>
    <row r="166" spans="1:13" ht="32.25" hidden="1" customHeight="1" x14ac:dyDescent="0.2">
      <c r="A166" s="8"/>
      <c r="B166" s="31">
        <v>8295</v>
      </c>
      <c r="C166" s="30">
        <v>43565</v>
      </c>
      <c r="D166" s="83" t="s">
        <v>304</v>
      </c>
      <c r="E166" s="83" t="s">
        <v>305</v>
      </c>
      <c r="F166" s="83">
        <v>3135269083</v>
      </c>
      <c r="G166" s="83">
        <v>1061729084</v>
      </c>
      <c r="H166" s="29" t="s">
        <v>285</v>
      </c>
      <c r="I166" s="29" t="s">
        <v>61</v>
      </c>
      <c r="J166" s="83" t="s">
        <v>281</v>
      </c>
      <c r="K166" s="84">
        <f t="shared" si="24"/>
        <v>105000</v>
      </c>
      <c r="L166" s="85" t="e">
        <f>VLOOKUP(B166,'REGISTRO ABONOS'!$B$8:$BC$10038,54,0)</f>
        <v>#N/A</v>
      </c>
      <c r="M166" s="6"/>
    </row>
    <row r="167" spans="1:13" ht="32.25" hidden="1" customHeight="1" x14ac:dyDescent="0.2">
      <c r="A167" s="8"/>
      <c r="B167" s="31">
        <v>8310</v>
      </c>
      <c r="C167" s="30">
        <v>43571</v>
      </c>
      <c r="D167" s="83" t="s">
        <v>487</v>
      </c>
      <c r="E167" s="83" t="s">
        <v>468</v>
      </c>
      <c r="F167" s="83">
        <v>3115522999</v>
      </c>
      <c r="G167" s="83">
        <v>94232544</v>
      </c>
      <c r="H167" s="29" t="s">
        <v>140</v>
      </c>
      <c r="I167" s="29" t="s">
        <v>61</v>
      </c>
      <c r="J167" s="83" t="s">
        <v>322</v>
      </c>
      <c r="K167" s="84">
        <f t="shared" si="24"/>
        <v>105000</v>
      </c>
      <c r="L167" s="85" t="e">
        <f>VLOOKUP(B167,'REGISTRO ABONOS'!$B$8:$BC$10038,54,0)</f>
        <v>#N/A</v>
      </c>
      <c r="M167" s="6"/>
    </row>
    <row r="168" spans="1:13" ht="32.25" hidden="1" customHeight="1" x14ac:dyDescent="0.2">
      <c r="A168" s="8"/>
      <c r="B168" s="31">
        <v>8319</v>
      </c>
      <c r="C168" s="30">
        <v>43560</v>
      </c>
      <c r="D168" s="83" t="s">
        <v>225</v>
      </c>
      <c r="E168" s="83" t="s">
        <v>226</v>
      </c>
      <c r="F168" s="83">
        <v>3176924945</v>
      </c>
      <c r="G168" s="83" t="s">
        <v>70</v>
      </c>
      <c r="H168" s="29" t="s">
        <v>60</v>
      </c>
      <c r="I168" s="29" t="s">
        <v>61</v>
      </c>
      <c r="J168" s="83" t="s">
        <v>211</v>
      </c>
      <c r="K168" s="84">
        <f t="shared" si="24"/>
        <v>105000</v>
      </c>
      <c r="L168" s="85" t="e">
        <f>VLOOKUP(B168,'REGISTRO ABONOS'!$B$8:$BC$10038,54,0)</f>
        <v>#N/A</v>
      </c>
      <c r="M168" s="6"/>
    </row>
    <row r="169" spans="1:13" ht="32.25" hidden="1" customHeight="1" x14ac:dyDescent="0.2">
      <c r="A169" s="8"/>
      <c r="B169" s="31">
        <v>8358</v>
      </c>
      <c r="C169" s="30">
        <v>43567</v>
      </c>
      <c r="D169" s="83" t="s">
        <v>362</v>
      </c>
      <c r="E169" s="83" t="s">
        <v>363</v>
      </c>
      <c r="F169" s="83">
        <v>3128681153</v>
      </c>
      <c r="G169" s="83">
        <v>31495229</v>
      </c>
      <c r="H169" s="29" t="s">
        <v>60</v>
      </c>
      <c r="I169" s="29" t="s">
        <v>61</v>
      </c>
      <c r="J169" s="83" t="s">
        <v>355</v>
      </c>
      <c r="K169" s="84">
        <f t="shared" si="24"/>
        <v>105000</v>
      </c>
      <c r="L169" s="85" t="e">
        <f>VLOOKUP(B169,'REGISTRO ABONOS'!$B$8:$BC$10038,54,0)</f>
        <v>#N/A</v>
      </c>
      <c r="M169" s="6"/>
    </row>
    <row r="170" spans="1:13" ht="32.25" hidden="1" customHeight="1" x14ac:dyDescent="0.2">
      <c r="A170" s="8"/>
      <c r="B170" s="31">
        <v>8427</v>
      </c>
      <c r="C170" s="30">
        <v>43557</v>
      </c>
      <c r="D170" s="83" t="s">
        <v>381</v>
      </c>
      <c r="E170" s="83" t="s">
        <v>382</v>
      </c>
      <c r="F170" s="83">
        <v>2206036</v>
      </c>
      <c r="G170" s="83">
        <v>6300614</v>
      </c>
      <c r="H170" s="29" t="s">
        <v>60</v>
      </c>
      <c r="I170" s="29" t="s">
        <v>61</v>
      </c>
      <c r="J170" s="83" t="s">
        <v>383</v>
      </c>
      <c r="K170" s="84">
        <f t="shared" si="24"/>
        <v>105000</v>
      </c>
      <c r="L170" s="85" t="e">
        <f>VLOOKUP(B170,'REGISTRO ABONOS'!$B$8:$BC$10038,54,0)</f>
        <v>#N/A</v>
      </c>
      <c r="M170" s="6"/>
    </row>
    <row r="171" spans="1:13" ht="32.25" hidden="1" customHeight="1" x14ac:dyDescent="0.2">
      <c r="A171" s="8"/>
      <c r="B171" s="31">
        <v>8435</v>
      </c>
      <c r="C171" s="30">
        <v>43560</v>
      </c>
      <c r="D171" s="83" t="s">
        <v>297</v>
      </c>
      <c r="E171" s="83" t="s">
        <v>298</v>
      </c>
      <c r="F171" s="83">
        <v>3225150410</v>
      </c>
      <c r="G171" s="83">
        <v>29817538</v>
      </c>
      <c r="H171" s="29" t="s">
        <v>285</v>
      </c>
      <c r="I171" s="29" t="s">
        <v>61</v>
      </c>
      <c r="J171" s="83" t="s">
        <v>281</v>
      </c>
      <c r="K171" s="84">
        <f t="shared" si="24"/>
        <v>105000</v>
      </c>
      <c r="L171" s="85" t="e">
        <f>VLOOKUP(B171,'REGISTRO ABONOS'!$B$8:$BC$10038,54,0)</f>
        <v>#N/A</v>
      </c>
      <c r="M171" s="6"/>
    </row>
    <row r="172" spans="1:13" ht="32.25" hidden="1" customHeight="1" x14ac:dyDescent="0.2">
      <c r="A172" s="8"/>
      <c r="B172" s="31">
        <v>8499</v>
      </c>
      <c r="C172" s="30">
        <v>43564</v>
      </c>
      <c r="D172" s="83" t="s">
        <v>79</v>
      </c>
      <c r="E172" s="83" t="s">
        <v>80</v>
      </c>
      <c r="F172" s="83" t="s">
        <v>81</v>
      </c>
      <c r="G172" s="83">
        <v>1087555488</v>
      </c>
      <c r="H172" s="29" t="s">
        <v>60</v>
      </c>
      <c r="I172" s="29" t="s">
        <v>61</v>
      </c>
      <c r="J172" s="83" t="s">
        <v>82</v>
      </c>
      <c r="K172" s="84">
        <f t="shared" si="24"/>
        <v>105000</v>
      </c>
      <c r="L172" s="85">
        <f>VLOOKUP(B172,'REGISTRO ABONOS'!$B$8:$BC$10038,54,0)</f>
        <v>70000</v>
      </c>
      <c r="M172" s="6"/>
    </row>
    <row r="173" spans="1:13" ht="32.25" hidden="1" customHeight="1" x14ac:dyDescent="0.2">
      <c r="A173" s="8"/>
      <c r="B173" s="31">
        <v>8520</v>
      </c>
      <c r="C173" s="30">
        <v>43559</v>
      </c>
      <c r="D173" s="83" t="s">
        <v>146</v>
      </c>
      <c r="E173" s="83" t="s">
        <v>147</v>
      </c>
      <c r="F173" s="83">
        <v>3217688508</v>
      </c>
      <c r="G173" s="83"/>
      <c r="H173" s="29" t="s">
        <v>128</v>
      </c>
      <c r="I173" s="29" t="s">
        <v>61</v>
      </c>
      <c r="J173" s="83" t="s">
        <v>65</v>
      </c>
      <c r="K173" s="84">
        <f t="shared" si="24"/>
        <v>105000</v>
      </c>
      <c r="L173" s="85" t="e">
        <f>VLOOKUP(B173,'REGISTRO ABONOS'!$B$8:$BC$10038,54,0)</f>
        <v>#N/A</v>
      </c>
      <c r="M173" s="6"/>
    </row>
    <row r="174" spans="1:13" ht="32.25" hidden="1" customHeight="1" x14ac:dyDescent="0.2">
      <c r="A174" s="8"/>
      <c r="B174" s="31">
        <v>8532</v>
      </c>
      <c r="C174" s="30">
        <v>43567</v>
      </c>
      <c r="D174" s="83" t="s">
        <v>320</v>
      </c>
      <c r="E174" s="83" t="s">
        <v>321</v>
      </c>
      <c r="F174" s="83">
        <v>3113211639</v>
      </c>
      <c r="G174" s="83">
        <v>6197908</v>
      </c>
      <c r="H174" s="29" t="s">
        <v>60</v>
      </c>
      <c r="I174" s="29" t="s">
        <v>61</v>
      </c>
      <c r="J174" s="83" t="s">
        <v>200</v>
      </c>
      <c r="K174" s="84">
        <f t="shared" si="24"/>
        <v>105000</v>
      </c>
      <c r="L174" s="85" t="e">
        <f>VLOOKUP(B174,'REGISTRO ABONOS'!$B$8:$BC$10038,54,0)</f>
        <v>#N/A</v>
      </c>
      <c r="M174" s="6"/>
    </row>
    <row r="175" spans="1:13" ht="32.25" hidden="1" customHeight="1" x14ac:dyDescent="0.2">
      <c r="A175" s="8"/>
      <c r="B175" s="31">
        <v>8545</v>
      </c>
      <c r="C175" s="30">
        <v>43559</v>
      </c>
      <c r="D175" s="83" t="s">
        <v>168</v>
      </c>
      <c r="E175" s="83" t="s">
        <v>169</v>
      </c>
      <c r="F175" s="83">
        <v>3135377127</v>
      </c>
      <c r="G175" s="83">
        <v>94227097</v>
      </c>
      <c r="H175" s="29" t="s">
        <v>60</v>
      </c>
      <c r="I175" s="29" t="s">
        <v>61</v>
      </c>
      <c r="J175" s="83" t="s">
        <v>170</v>
      </c>
      <c r="K175" s="84">
        <f t="shared" si="24"/>
        <v>105000</v>
      </c>
      <c r="L175" s="85" t="e">
        <f>VLOOKUP(B175,'REGISTRO ABONOS'!$B$8:$BC$10038,54,0)</f>
        <v>#N/A</v>
      </c>
      <c r="M175" s="6"/>
    </row>
    <row r="176" spans="1:13" ht="32.25" hidden="1" customHeight="1" x14ac:dyDescent="0.2">
      <c r="A176" s="8"/>
      <c r="B176" s="31">
        <v>8588</v>
      </c>
      <c r="C176" s="30">
        <v>43571</v>
      </c>
      <c r="D176" s="83" t="s">
        <v>463</v>
      </c>
      <c r="E176" s="83" t="s">
        <v>464</v>
      </c>
      <c r="F176" s="83">
        <v>3235172677</v>
      </c>
      <c r="G176" s="83">
        <v>94233367</v>
      </c>
      <c r="H176" s="29" t="s">
        <v>60</v>
      </c>
      <c r="I176" s="29" t="s">
        <v>61</v>
      </c>
      <c r="J176" s="83" t="s">
        <v>322</v>
      </c>
      <c r="K176" s="84">
        <f t="shared" si="24"/>
        <v>105000</v>
      </c>
      <c r="L176" s="85" t="e">
        <f>VLOOKUP(B176,'REGISTRO ABONOS'!$B$8:$BC$10038,54,0)</f>
        <v>#N/A</v>
      </c>
      <c r="M176" s="6"/>
    </row>
    <row r="177" spans="1:13" ht="32.25" hidden="1" customHeight="1" x14ac:dyDescent="0.2">
      <c r="A177" s="8"/>
      <c r="B177" s="31">
        <v>8615</v>
      </c>
      <c r="C177" s="30">
        <v>43565</v>
      </c>
      <c r="D177" s="83" t="s">
        <v>310</v>
      </c>
      <c r="E177" s="83" t="s">
        <v>311</v>
      </c>
      <c r="F177" s="83">
        <v>3144043709</v>
      </c>
      <c r="G177" s="83">
        <v>41872498</v>
      </c>
      <c r="H177" s="29" t="s">
        <v>285</v>
      </c>
      <c r="I177" s="29" t="s">
        <v>61</v>
      </c>
      <c r="J177" s="83" t="s">
        <v>281</v>
      </c>
      <c r="K177" s="84">
        <f t="shared" si="24"/>
        <v>105000</v>
      </c>
      <c r="L177" s="85" t="e">
        <f>VLOOKUP(B177,'REGISTRO ABONOS'!$B$8:$BC$10038,54,0)</f>
        <v>#N/A</v>
      </c>
      <c r="M177" s="6"/>
    </row>
    <row r="178" spans="1:13" ht="32.25" hidden="1" customHeight="1" x14ac:dyDescent="0.2">
      <c r="A178" s="8"/>
      <c r="B178" s="31">
        <v>8649</v>
      </c>
      <c r="C178" s="30">
        <v>43565</v>
      </c>
      <c r="D178" s="83" t="s">
        <v>290</v>
      </c>
      <c r="E178" s="83" t="s">
        <v>291</v>
      </c>
      <c r="F178" s="83">
        <v>3186738057</v>
      </c>
      <c r="G178" s="83">
        <v>6504939</v>
      </c>
      <c r="H178" s="29" t="s">
        <v>285</v>
      </c>
      <c r="I178" s="29" t="s">
        <v>61</v>
      </c>
      <c r="J178" s="83" t="s">
        <v>281</v>
      </c>
      <c r="K178" s="84">
        <f t="shared" si="24"/>
        <v>105000</v>
      </c>
      <c r="L178" s="85" t="e">
        <f>VLOOKUP(B178,'REGISTRO ABONOS'!$B$8:$BC$10038,54,0)</f>
        <v>#N/A</v>
      </c>
      <c r="M178" s="6"/>
    </row>
    <row r="179" spans="1:13" ht="32.25" hidden="1" customHeight="1" x14ac:dyDescent="0.2">
      <c r="A179" s="8"/>
      <c r="B179" s="31">
        <v>8701</v>
      </c>
      <c r="C179" s="30">
        <v>43565</v>
      </c>
      <c r="D179" s="83" t="s">
        <v>437</v>
      </c>
      <c r="E179" s="83" t="s">
        <v>438</v>
      </c>
      <c r="F179" s="83">
        <v>3215707170</v>
      </c>
      <c r="G179" s="83">
        <v>1116438414</v>
      </c>
      <c r="H179" s="29" t="s">
        <v>60</v>
      </c>
      <c r="I179" s="29" t="s">
        <v>61</v>
      </c>
      <c r="J179" s="83" t="s">
        <v>411</v>
      </c>
      <c r="K179" s="84">
        <f t="shared" si="24"/>
        <v>105000</v>
      </c>
      <c r="L179" s="85" t="e">
        <f>VLOOKUP(B179,'REGISTRO ABONOS'!$B$8:$BC$10038,54,0)</f>
        <v>#N/A</v>
      </c>
      <c r="M179" s="6"/>
    </row>
    <row r="180" spans="1:13" ht="32.25" hidden="1" customHeight="1" x14ac:dyDescent="0.2">
      <c r="A180" s="8"/>
      <c r="B180" s="31">
        <v>8711</v>
      </c>
      <c r="C180" s="30">
        <v>43564</v>
      </c>
      <c r="D180" s="83" t="s">
        <v>227</v>
      </c>
      <c r="E180" s="83" t="s">
        <v>228</v>
      </c>
      <c r="F180" s="83" t="s">
        <v>70</v>
      </c>
      <c r="G180" s="83">
        <v>1116434197</v>
      </c>
      <c r="H180" s="29" t="s">
        <v>60</v>
      </c>
      <c r="I180" s="29" t="s">
        <v>61</v>
      </c>
      <c r="J180" s="83" t="s">
        <v>229</v>
      </c>
      <c r="K180" s="84">
        <f t="shared" si="24"/>
        <v>105000</v>
      </c>
      <c r="L180" s="85">
        <f>VLOOKUP(B180,'REGISTRO ABONOS'!$B$8:$BC$10038,54,0)</f>
        <v>0</v>
      </c>
      <c r="M180" s="6"/>
    </row>
    <row r="181" spans="1:13" ht="32.25" hidden="1" customHeight="1" x14ac:dyDescent="0.2">
      <c r="A181" s="8"/>
      <c r="B181" s="31">
        <v>8711</v>
      </c>
      <c r="C181" s="30">
        <v>43564</v>
      </c>
      <c r="D181" s="83" t="s">
        <v>227</v>
      </c>
      <c r="E181" s="83" t="s">
        <v>228</v>
      </c>
      <c r="F181" s="83" t="s">
        <v>70</v>
      </c>
      <c r="G181" s="83">
        <v>1116434197</v>
      </c>
      <c r="H181" s="29" t="s">
        <v>60</v>
      </c>
      <c r="I181" s="29" t="s">
        <v>61</v>
      </c>
      <c r="J181" s="83" t="s">
        <v>229</v>
      </c>
      <c r="K181" s="84">
        <f t="shared" si="24"/>
        <v>105000</v>
      </c>
      <c r="L181" s="85">
        <f>VLOOKUP(B181,'REGISTRO ABONOS'!$B$8:$BC$10038,54,0)</f>
        <v>0</v>
      </c>
      <c r="M181" s="6"/>
    </row>
    <row r="182" spans="1:13" ht="32.25" hidden="1" customHeight="1" x14ac:dyDescent="0.2">
      <c r="A182" s="8"/>
      <c r="B182" s="31">
        <v>8728</v>
      </c>
      <c r="C182" s="30">
        <v>43559</v>
      </c>
      <c r="D182" s="83" t="s">
        <v>174</v>
      </c>
      <c r="E182" s="83" t="s">
        <v>175</v>
      </c>
      <c r="F182" s="83">
        <v>3163304325</v>
      </c>
      <c r="G182" s="83">
        <v>94229849</v>
      </c>
      <c r="H182" s="29" t="s">
        <v>60</v>
      </c>
      <c r="I182" s="29" t="s">
        <v>61</v>
      </c>
      <c r="J182" s="83" t="s">
        <v>171</v>
      </c>
      <c r="K182" s="84">
        <f t="shared" si="24"/>
        <v>105000</v>
      </c>
      <c r="L182" s="85" t="e">
        <f>VLOOKUP(B182,'REGISTRO ABONOS'!$B$8:$BC$10038,54,0)</f>
        <v>#N/A</v>
      </c>
      <c r="M182" s="6"/>
    </row>
    <row r="183" spans="1:13" ht="32.25" hidden="1" customHeight="1" x14ac:dyDescent="0.2">
      <c r="A183" s="8"/>
      <c r="B183" s="31">
        <v>8731</v>
      </c>
      <c r="C183" s="30">
        <v>43563</v>
      </c>
      <c r="D183" s="83" t="s">
        <v>101</v>
      </c>
      <c r="E183" s="83" t="s">
        <v>98</v>
      </c>
      <c r="F183" s="83">
        <v>3155328778</v>
      </c>
      <c r="G183" s="83">
        <v>94301278</v>
      </c>
      <c r="H183" s="29" t="s">
        <v>102</v>
      </c>
      <c r="I183" s="29" t="s">
        <v>61</v>
      </c>
      <c r="J183" s="83" t="s">
        <v>99</v>
      </c>
      <c r="K183" s="84">
        <f t="shared" si="24"/>
        <v>105000</v>
      </c>
      <c r="L183" s="85">
        <f>VLOOKUP(B183,'REGISTRO ABONOS'!$B$8:$BC$10038,54,0)</f>
        <v>0</v>
      </c>
      <c r="M183" s="6"/>
    </row>
    <row r="184" spans="1:13" ht="32.25" hidden="1" customHeight="1" x14ac:dyDescent="0.2">
      <c r="A184" s="8"/>
      <c r="B184" s="31">
        <v>8790</v>
      </c>
      <c r="C184" s="30">
        <v>43571</v>
      </c>
      <c r="D184" s="83" t="s">
        <v>377</v>
      </c>
      <c r="E184" s="83" t="s">
        <v>378</v>
      </c>
      <c r="F184" s="83">
        <v>3177389319</v>
      </c>
      <c r="G184" s="83">
        <v>1116439549</v>
      </c>
      <c r="H184" s="29" t="s">
        <v>60</v>
      </c>
      <c r="I184" s="29" t="s">
        <v>61</v>
      </c>
      <c r="J184" s="83" t="s">
        <v>338</v>
      </c>
      <c r="K184" s="84">
        <f t="shared" si="24"/>
        <v>105000</v>
      </c>
      <c r="L184" s="85" t="e">
        <f>VLOOKUP(B184,'REGISTRO ABONOS'!$B$8:$BC$10038,54,0)</f>
        <v>#N/A</v>
      </c>
      <c r="M184" s="6"/>
    </row>
    <row r="185" spans="1:13" ht="32.25" hidden="1" customHeight="1" x14ac:dyDescent="0.2">
      <c r="A185" s="8"/>
      <c r="B185" s="31">
        <v>8865</v>
      </c>
      <c r="C185" s="30">
        <v>43565</v>
      </c>
      <c r="D185" s="83" t="s">
        <v>366</v>
      </c>
      <c r="E185" s="83" t="s">
        <v>367</v>
      </c>
      <c r="F185" s="83">
        <v>3117221459</v>
      </c>
      <c r="G185" s="83">
        <v>94225361</v>
      </c>
      <c r="H185" s="29" t="s">
        <v>60</v>
      </c>
      <c r="I185" s="29" t="s">
        <v>61</v>
      </c>
      <c r="J185" s="83" t="s">
        <v>355</v>
      </c>
      <c r="K185" s="84">
        <f t="shared" si="24"/>
        <v>105000</v>
      </c>
      <c r="L185" s="85" t="e">
        <f>VLOOKUP(B185,'REGISTRO ABONOS'!$B$8:$BC$10038,54,0)</f>
        <v>#N/A</v>
      </c>
      <c r="M185" s="6"/>
    </row>
    <row r="186" spans="1:13" ht="32.25" hidden="1" customHeight="1" x14ac:dyDescent="0.2">
      <c r="A186" s="8"/>
      <c r="B186" s="31">
        <v>8879</v>
      </c>
      <c r="C186" s="30">
        <v>43585</v>
      </c>
      <c r="D186" s="83" t="s">
        <v>451</v>
      </c>
      <c r="E186" s="83" t="s">
        <v>452</v>
      </c>
      <c r="F186" s="83">
        <v>3128173508</v>
      </c>
      <c r="G186" s="83">
        <v>1006592700</v>
      </c>
      <c r="H186" s="29" t="s">
        <v>60</v>
      </c>
      <c r="I186" s="29" t="s">
        <v>61</v>
      </c>
      <c r="J186" s="83" t="s">
        <v>336</v>
      </c>
      <c r="K186" s="84">
        <f t="shared" si="24"/>
        <v>105000</v>
      </c>
      <c r="L186" s="85" t="e">
        <f>VLOOKUP(B186,'REGISTRO ABONOS'!$B$8:$BC$10038,54,0)</f>
        <v>#N/A</v>
      </c>
      <c r="M186" s="6"/>
    </row>
    <row r="187" spans="1:13" ht="32.25" hidden="1" customHeight="1" x14ac:dyDescent="0.2">
      <c r="A187" s="8"/>
      <c r="B187" s="31">
        <v>9018</v>
      </c>
      <c r="C187" s="30">
        <v>43565</v>
      </c>
      <c r="D187" s="83" t="s">
        <v>308</v>
      </c>
      <c r="E187" s="83" t="s">
        <v>284</v>
      </c>
      <c r="F187" s="83" t="s">
        <v>309</v>
      </c>
      <c r="G187" s="83">
        <v>1112761992</v>
      </c>
      <c r="H187" s="29" t="s">
        <v>285</v>
      </c>
      <c r="I187" s="29" t="s">
        <v>61</v>
      </c>
      <c r="J187" s="83" t="s">
        <v>281</v>
      </c>
      <c r="K187" s="84">
        <f t="shared" si="24"/>
        <v>105000</v>
      </c>
      <c r="L187" s="85" t="e">
        <f>VLOOKUP(B187,'REGISTRO ABONOS'!$B$8:$BC$10038,54,0)</f>
        <v>#N/A</v>
      </c>
      <c r="M187" s="6"/>
    </row>
    <row r="188" spans="1:13" ht="32.25" hidden="1" customHeight="1" x14ac:dyDescent="0.2">
      <c r="A188" s="8"/>
      <c r="B188" s="31">
        <v>9102</v>
      </c>
      <c r="C188" s="30">
        <v>43571</v>
      </c>
      <c r="D188" s="83" t="s">
        <v>375</v>
      </c>
      <c r="E188" s="83" t="s">
        <v>376</v>
      </c>
      <c r="F188" s="83">
        <v>3165213290</v>
      </c>
      <c r="G188" s="83">
        <v>94227506</v>
      </c>
      <c r="H188" s="29" t="s">
        <v>60</v>
      </c>
      <c r="I188" s="29" t="s">
        <v>61</v>
      </c>
      <c r="J188" s="83" t="s">
        <v>338</v>
      </c>
      <c r="K188" s="84">
        <f t="shared" ref="K188:K199" si="25">IF(C188&gt;43607,130000,105000)</f>
        <v>105000</v>
      </c>
      <c r="L188" s="85" t="e">
        <f>VLOOKUP(B188,'REGISTRO ABONOS'!$B$8:$BC$10038,54,0)</f>
        <v>#N/A</v>
      </c>
      <c r="M188" s="6"/>
    </row>
    <row r="189" spans="1:13" ht="32.25" hidden="1" customHeight="1" x14ac:dyDescent="0.2">
      <c r="A189" s="8"/>
      <c r="B189" s="31">
        <v>9113</v>
      </c>
      <c r="C189" s="30">
        <v>43564</v>
      </c>
      <c r="D189" s="83" t="s">
        <v>270</v>
      </c>
      <c r="E189" s="83" t="s">
        <v>271</v>
      </c>
      <c r="F189" s="83">
        <v>3116010784</v>
      </c>
      <c r="G189" s="83">
        <v>29993227</v>
      </c>
      <c r="H189" s="29" t="s">
        <v>60</v>
      </c>
      <c r="I189" s="29" t="s">
        <v>61</v>
      </c>
      <c r="J189" s="83" t="s">
        <v>229</v>
      </c>
      <c r="K189" s="84">
        <f t="shared" si="25"/>
        <v>105000</v>
      </c>
      <c r="L189" s="85" t="e">
        <f>VLOOKUP(B189,'REGISTRO ABONOS'!$B$8:$BC$10038,54,0)</f>
        <v>#N/A</v>
      </c>
      <c r="M189" s="6"/>
    </row>
    <row r="190" spans="1:13" ht="32.25" hidden="1" customHeight="1" x14ac:dyDescent="0.2">
      <c r="A190" s="8"/>
      <c r="B190" s="31">
        <v>9302</v>
      </c>
      <c r="C190" s="30">
        <v>43559</v>
      </c>
      <c r="D190" s="83" t="s">
        <v>177</v>
      </c>
      <c r="E190" s="83" t="s">
        <v>178</v>
      </c>
      <c r="F190" s="83">
        <v>3054333023</v>
      </c>
      <c r="G190" s="83">
        <v>16400613</v>
      </c>
      <c r="H190" s="29" t="s">
        <v>60</v>
      </c>
      <c r="I190" s="29" t="s">
        <v>61</v>
      </c>
      <c r="J190" s="83" t="s">
        <v>171</v>
      </c>
      <c r="K190" s="84">
        <f t="shared" si="25"/>
        <v>105000</v>
      </c>
      <c r="L190" s="85" t="e">
        <f>VLOOKUP(B190,'REGISTRO ABONOS'!$B$8:$BC$10038,54,0)</f>
        <v>#N/A</v>
      </c>
      <c r="M190" s="6"/>
    </row>
    <row r="191" spans="1:13" ht="32.25" hidden="1" customHeight="1" x14ac:dyDescent="0.2">
      <c r="A191" s="8"/>
      <c r="B191" s="31">
        <v>9450</v>
      </c>
      <c r="C191" s="30">
        <v>43571</v>
      </c>
      <c r="D191" s="83" t="s">
        <v>487</v>
      </c>
      <c r="E191" s="83" t="s">
        <v>468</v>
      </c>
      <c r="F191" s="83">
        <v>3115522999</v>
      </c>
      <c r="G191" s="83">
        <v>94232544</v>
      </c>
      <c r="H191" s="29" t="s">
        <v>140</v>
      </c>
      <c r="I191" s="29" t="s">
        <v>61</v>
      </c>
      <c r="J191" s="83" t="s">
        <v>322</v>
      </c>
      <c r="K191" s="84">
        <f t="shared" si="25"/>
        <v>105000</v>
      </c>
      <c r="L191" s="85" t="e">
        <f>VLOOKUP(B191,'REGISTRO ABONOS'!$B$8:$BC$10038,54,0)</f>
        <v>#N/A</v>
      </c>
      <c r="M191" s="6"/>
    </row>
    <row r="192" spans="1:13" ht="32.25" hidden="1" customHeight="1" x14ac:dyDescent="0.2">
      <c r="A192" s="8"/>
      <c r="B192" s="31">
        <v>9535</v>
      </c>
      <c r="C192" s="30">
        <v>43571</v>
      </c>
      <c r="D192" s="83" t="s">
        <v>467</v>
      </c>
      <c r="E192" s="83" t="s">
        <v>468</v>
      </c>
      <c r="F192" s="83">
        <v>3217063992</v>
      </c>
      <c r="G192" s="83">
        <v>1113038623</v>
      </c>
      <c r="H192" s="29" t="s">
        <v>60</v>
      </c>
      <c r="I192" s="29" t="s">
        <v>61</v>
      </c>
      <c r="J192" s="83" t="s">
        <v>469</v>
      </c>
      <c r="K192" s="84">
        <f t="shared" si="25"/>
        <v>105000</v>
      </c>
      <c r="L192" s="85" t="e">
        <f>VLOOKUP(B192,'REGISTRO ABONOS'!$B$8:$BC$10038,54,0)</f>
        <v>#N/A</v>
      </c>
      <c r="M192" s="6"/>
    </row>
    <row r="193" spans="1:13" ht="32.25" hidden="1" customHeight="1" x14ac:dyDescent="0.2">
      <c r="A193" s="8"/>
      <c r="B193" s="31">
        <v>9560</v>
      </c>
      <c r="C193" s="30">
        <v>43560</v>
      </c>
      <c r="D193" s="83" t="s">
        <v>221</v>
      </c>
      <c r="E193" s="83" t="s">
        <v>222</v>
      </c>
      <c r="F193" s="83">
        <v>3122356977</v>
      </c>
      <c r="G193" s="83">
        <v>6560833</v>
      </c>
      <c r="H193" s="29" t="s">
        <v>140</v>
      </c>
      <c r="I193" s="29" t="s">
        <v>61</v>
      </c>
      <c r="J193" s="83" t="s">
        <v>211</v>
      </c>
      <c r="K193" s="84">
        <f t="shared" si="25"/>
        <v>105000</v>
      </c>
      <c r="L193" s="85" t="e">
        <f>VLOOKUP(B193,'REGISTRO ABONOS'!$B$8:$BC$10038,54,0)</f>
        <v>#N/A</v>
      </c>
      <c r="M193" s="6"/>
    </row>
    <row r="194" spans="1:13" ht="32.25" hidden="1" customHeight="1" x14ac:dyDescent="0.2">
      <c r="A194" s="8"/>
      <c r="B194" s="31">
        <v>9570</v>
      </c>
      <c r="C194" s="30">
        <v>43559</v>
      </c>
      <c r="D194" s="83" t="s">
        <v>193</v>
      </c>
      <c r="E194" s="83" t="s">
        <v>194</v>
      </c>
      <c r="F194" s="83">
        <v>3136762870</v>
      </c>
      <c r="G194" s="83">
        <v>1116445264</v>
      </c>
      <c r="H194" s="29" t="s">
        <v>195</v>
      </c>
      <c r="I194" s="29" t="s">
        <v>61</v>
      </c>
      <c r="J194" s="83" t="s">
        <v>171</v>
      </c>
      <c r="K194" s="84">
        <f t="shared" si="25"/>
        <v>105000</v>
      </c>
      <c r="L194" s="85" t="e">
        <f>VLOOKUP(B194,'REGISTRO ABONOS'!$B$8:$BC$10038,54,0)</f>
        <v>#N/A</v>
      </c>
      <c r="M194" s="6"/>
    </row>
    <row r="195" spans="1:13" ht="32.25" hidden="1" customHeight="1" x14ac:dyDescent="0.2">
      <c r="A195" s="8"/>
      <c r="B195" s="31">
        <v>9649</v>
      </c>
      <c r="C195" s="30">
        <v>43567</v>
      </c>
      <c r="D195" s="83" t="s">
        <v>277</v>
      </c>
      <c r="E195" s="83" t="s">
        <v>278</v>
      </c>
      <c r="F195" s="83">
        <v>3167472366</v>
      </c>
      <c r="G195" s="83">
        <v>16551120</v>
      </c>
      <c r="H195" s="29" t="s">
        <v>184</v>
      </c>
      <c r="I195" s="29" t="s">
        <v>61</v>
      </c>
      <c r="J195" s="83" t="s">
        <v>200</v>
      </c>
      <c r="K195" s="84">
        <f t="shared" si="25"/>
        <v>105000</v>
      </c>
      <c r="L195" s="85" t="e">
        <f>VLOOKUP(B195,'REGISTRO ABONOS'!$B$8:$BC$10038,54,0)</f>
        <v>#N/A</v>
      </c>
      <c r="M195" s="6"/>
    </row>
    <row r="196" spans="1:13" ht="32.25" hidden="1" customHeight="1" x14ac:dyDescent="0.2">
      <c r="A196" s="8"/>
      <c r="B196" s="31">
        <v>9758</v>
      </c>
      <c r="C196" s="30">
        <v>43565</v>
      </c>
      <c r="D196" s="83" t="s">
        <v>159</v>
      </c>
      <c r="E196" s="83" t="s">
        <v>160</v>
      </c>
      <c r="F196" s="83">
        <v>3148978584</v>
      </c>
      <c r="G196" s="83"/>
      <c r="H196" s="29" t="s">
        <v>60</v>
      </c>
      <c r="I196" s="29" t="s">
        <v>61</v>
      </c>
      <c r="J196" s="83" t="s">
        <v>87</v>
      </c>
      <c r="K196" s="84">
        <f t="shared" si="25"/>
        <v>105000</v>
      </c>
      <c r="L196" s="85" t="e">
        <f>VLOOKUP(B196,'REGISTRO ABONOS'!$B$8:$BC$10038,54,0)</f>
        <v>#N/A</v>
      </c>
      <c r="M196" s="6"/>
    </row>
    <row r="197" spans="1:13" ht="32.25" hidden="1" customHeight="1" x14ac:dyDescent="0.2">
      <c r="A197" s="8"/>
      <c r="B197" s="31">
        <v>9826</v>
      </c>
      <c r="C197" s="30">
        <v>43561</v>
      </c>
      <c r="D197" s="83" t="s">
        <v>138</v>
      </c>
      <c r="E197" s="83" t="s">
        <v>139</v>
      </c>
      <c r="F197" s="83">
        <v>3127363903</v>
      </c>
      <c r="G197" s="83">
        <v>31490510</v>
      </c>
      <c r="H197" s="29" t="s">
        <v>140</v>
      </c>
      <c r="I197" s="29" t="s">
        <v>61</v>
      </c>
      <c r="J197" s="83" t="s">
        <v>65</v>
      </c>
      <c r="K197" s="84">
        <f t="shared" si="25"/>
        <v>105000</v>
      </c>
      <c r="L197" s="85" t="e">
        <f>VLOOKUP(B197,'REGISTRO ABONOS'!$B$8:$BC$10038,54,0)</f>
        <v>#N/A</v>
      </c>
      <c r="M197" s="6"/>
    </row>
    <row r="198" spans="1:13" ht="32.25" hidden="1" customHeight="1" x14ac:dyDescent="0.2">
      <c r="A198" s="8"/>
      <c r="B198" s="31">
        <v>9950</v>
      </c>
      <c r="C198" s="30">
        <v>43565</v>
      </c>
      <c r="D198" s="83" t="s">
        <v>385</v>
      </c>
      <c r="E198" s="83" t="s">
        <v>386</v>
      </c>
      <c r="F198" s="83">
        <v>3175514832</v>
      </c>
      <c r="G198" s="83">
        <v>2726839</v>
      </c>
      <c r="H198" s="29" t="s">
        <v>387</v>
      </c>
      <c r="I198" s="29" t="s">
        <v>61</v>
      </c>
      <c r="J198" s="83" t="s">
        <v>383</v>
      </c>
      <c r="K198" s="84">
        <f t="shared" si="25"/>
        <v>105000</v>
      </c>
      <c r="L198" s="85" t="e">
        <f>VLOOKUP(B198,'REGISTRO ABONOS'!$B$8:$BC$10038,54,0)</f>
        <v>#N/A</v>
      </c>
      <c r="M198" s="6"/>
    </row>
    <row r="199" spans="1:13" ht="32.25" hidden="1" customHeight="1" x14ac:dyDescent="0.2">
      <c r="A199" s="8"/>
      <c r="B199" s="31" t="s">
        <v>353</v>
      </c>
      <c r="C199" s="30">
        <v>43567</v>
      </c>
      <c r="D199" s="83" t="s">
        <v>353</v>
      </c>
      <c r="E199" s="83" t="s">
        <v>354</v>
      </c>
      <c r="F199" s="83">
        <v>3206268213</v>
      </c>
      <c r="G199" s="83" t="s">
        <v>70</v>
      </c>
      <c r="H199" s="29" t="s">
        <v>60</v>
      </c>
      <c r="I199" s="29" t="s">
        <v>61</v>
      </c>
      <c r="J199" s="83" t="s">
        <v>355</v>
      </c>
      <c r="K199" s="84">
        <f t="shared" si="25"/>
        <v>105000</v>
      </c>
      <c r="L199" s="85" t="e">
        <f>VLOOKUP(B199,'REGISTRO ABONOS'!$B$8:$BC$10038,54,0)</f>
        <v>#N/A</v>
      </c>
      <c r="M199" s="6"/>
    </row>
    <row r="200" spans="1:13" x14ac:dyDescent="0.2">
      <c r="B200"/>
      <c r="C200"/>
    </row>
    <row r="201" spans="1:13" x14ac:dyDescent="0.2">
      <c r="B201"/>
      <c r="C201"/>
    </row>
    <row r="202" spans="1:13" x14ac:dyDescent="0.2">
      <c r="B202"/>
      <c r="C202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41"/>
  <sheetViews>
    <sheetView topLeftCell="A4" workbookViewId="0">
      <selection activeCell="A42" sqref="A42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hidden="1" customHeight="1" x14ac:dyDescent="0.2">
      <c r="A9" s="8"/>
      <c r="B9" s="53"/>
      <c r="C9" s="65" t="e">
        <f>VLOOKUP(B9,' BONOS'!$B$8:$L$10240,2,0)</f>
        <v>#N/A</v>
      </c>
      <c r="D9" s="64" t="e">
        <f>VLOOKUP(B9,' BONOS'!$B$8:$L$10240,3,0)</f>
        <v>#N/A</v>
      </c>
      <c r="E9" s="64" t="e">
        <f>VLOOKUP(B9,' BONOS'!$B$8:$J$10240,9,0)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9869</v>
      </c>
      <c r="C10" s="65">
        <f>VLOOKUP(B10,' BONOS'!$B$8:$L$10240,2,0)</f>
        <v>43565</v>
      </c>
      <c r="D10" s="64" t="str">
        <f>VLOOKUP(B10,' BONOS'!$B$8:$L$10240,3,0)</f>
        <v>LUIS ALBERTO GARCIA</v>
      </c>
      <c r="E10" s="64" t="str">
        <f>VLOOKUP(B10,' BONOS'!$B$8:$J$10240,9,0)</f>
        <v>ANA MILENA RUIZ ESPINOSA</v>
      </c>
      <c r="F10" s="13">
        <f>IF(C10&gt;43607,130000,105000)</f>
        <v>105000</v>
      </c>
      <c r="G10" s="25">
        <v>43565</v>
      </c>
      <c r="H10" s="73">
        <v>50000</v>
      </c>
      <c r="I10" s="73">
        <v>12</v>
      </c>
      <c r="J10" s="78">
        <v>556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55000</v>
      </c>
      <c r="BD10" s="12">
        <f t="shared" ref="BD10" si="1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285</v>
      </c>
      <c r="C11" s="65">
        <f>VLOOKUP(B11,' BONOS'!$B$8:$L$10240,2,0)</f>
        <v>43570</v>
      </c>
      <c r="D11" s="64" t="str">
        <f>VLOOKUP(B11,' BONOS'!$B$8:$L$10240,3,0)</f>
        <v>ALVARO OSORIO</v>
      </c>
      <c r="E11" s="64" t="str">
        <f>VLOOKUP(B11,' BONOS'!$B$8:$J$10240,9,0)</f>
        <v>PAOLA ANDREA BERMUDEZ CARVAJAL</v>
      </c>
      <c r="F11" s="13">
        <f>IF(C11&gt;43607,130000,105000)</f>
        <v>105000</v>
      </c>
      <c r="G11" s="25">
        <v>43571</v>
      </c>
      <c r="H11" s="73">
        <v>50000</v>
      </c>
      <c r="I11" s="73" t="s">
        <v>70</v>
      </c>
      <c r="J11" s="78">
        <v>2156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>BD11-H11-L11-P11-T11-X11-AB11-AF11-AJ11-AN11-AR11-AV11-AZ11</f>
        <v>55000</v>
      </c>
      <c r="BD11" s="12">
        <f t="shared" ref="BD11" si="2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615</v>
      </c>
      <c r="C12" s="65">
        <f>VLOOKUP(B12,' BONOS'!$B$8:$L$10240,2,0)</f>
        <v>43563</v>
      </c>
      <c r="D12" s="64" t="str">
        <f>VLOOKUP(B12,' BONOS'!$B$8:$L$10240,3,0)</f>
        <v>HENRY OSORIO RAMIREZ</v>
      </c>
      <c r="E12" s="64" t="str">
        <f>VLOOKUP(B12,' BONOS'!$B$8:$J$10240,9,0)</f>
        <v>JULIAN FRANCO</v>
      </c>
      <c r="F12" s="13">
        <f>IF(C12&gt;43607,130000,105000)</f>
        <v>105000</v>
      </c>
      <c r="G12" s="25">
        <v>43563</v>
      </c>
      <c r="H12" s="73">
        <v>50000</v>
      </c>
      <c r="I12" s="73">
        <v>35</v>
      </c>
      <c r="J12" s="78">
        <v>1710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>BD12-H12-L12-P12-T12-X12-AB12-AF12-AJ12-AN12-AR12-AV12-AZ12</f>
        <v>55000</v>
      </c>
      <c r="BD12" s="12">
        <f t="shared" ref="BD12" si="3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>
        <v>814</v>
      </c>
      <c r="C13" s="65">
        <f>VLOOKUP(B13,' BONOS'!$B$8:$L$10240,2,0)</f>
        <v>43559</v>
      </c>
      <c r="D13" s="64" t="str">
        <f>VLOOKUP(B13,' BONOS'!$B$8:$L$10240,3,0)</f>
        <v>CAMILO MICOLTA</v>
      </c>
      <c r="E13" s="64" t="str">
        <f>VLOOKUP(B13,' BONOS'!$B$8:$J$10240,9,0)</f>
        <v>DORA INES RAMIREZ</v>
      </c>
      <c r="F13" s="13">
        <f>IF(C13&gt;43607,130000,105000)</f>
        <v>105000</v>
      </c>
      <c r="G13" s="25">
        <v>43565</v>
      </c>
      <c r="H13" s="73">
        <v>105000</v>
      </c>
      <c r="I13" s="73"/>
      <c r="J13" s="78">
        <v>801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>BD13-H13-L13-P13-T13-X13-AB13-AF13-AJ13-AN13-AR13-AV13-AZ13</f>
        <v>0</v>
      </c>
      <c r="BD13" s="12">
        <f t="shared" ref="BD13" si="4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3">
        <v>1192</v>
      </c>
      <c r="C14" s="65">
        <f>VLOOKUP(B14,' BONOS'!$B$8:$L$10240,2,0)</f>
        <v>43561</v>
      </c>
      <c r="D14" s="64" t="str">
        <f>VLOOKUP(B14,' BONOS'!$B$8:$L$10240,3,0)</f>
        <v>GUSTAVO ADOLFO RODRIGUEZ</v>
      </c>
      <c r="E14" s="64" t="str">
        <f>VLOOKUP(B14,' BONOS'!$B$8:$J$10240,9,0)</f>
        <v>PAOLA ANDREA BERMUDEZ CARVAJAL</v>
      </c>
      <c r="F14" s="13">
        <f>IF(C14&gt;43607,130000,105000)</f>
        <v>105000</v>
      </c>
      <c r="G14" s="25">
        <v>43561</v>
      </c>
      <c r="H14" s="73">
        <v>105000</v>
      </c>
      <c r="I14" s="73" t="s">
        <v>70</v>
      </c>
      <c r="J14" s="78">
        <v>2152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>BD14-H14-L14-P14-T14-X14-AB14-AF14-AJ14-AN14-AR14-AV14-AZ14</f>
        <v>0</v>
      </c>
      <c r="BD14" s="12">
        <f t="shared" ref="BD14" si="5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3">
        <v>1282</v>
      </c>
      <c r="C15" s="65">
        <f>VLOOKUP(B15,' BONOS'!$B$8:$L$10240,2,0)</f>
        <v>43559</v>
      </c>
      <c r="D15" s="64" t="str">
        <f>VLOOKUP(B15,' BONOS'!$B$8:$L$10240,3,0)</f>
        <v>HUGO MURILLO</v>
      </c>
      <c r="E15" s="64" t="str">
        <f>VLOOKUP(B15,' BONOS'!$B$8:$J$10240,9,0)</f>
        <v>HUGO MURILLO</v>
      </c>
      <c r="F15" s="13">
        <f>IF(C15&gt;43607,130000,105000)</f>
        <v>105000</v>
      </c>
      <c r="G15" s="25">
        <v>43558</v>
      </c>
      <c r="H15" s="73">
        <v>105000</v>
      </c>
      <c r="I15" s="73">
        <v>35</v>
      </c>
      <c r="J15" s="78">
        <v>1701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>BD15-H15-L15-P15-T15-X15-AB15-AF15-AJ15-AN15-AR15-AV15-AZ15</f>
        <v>0</v>
      </c>
      <c r="BD15" s="12">
        <f t="shared" ref="BD15" si="6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hidden="1" customHeight="1" x14ac:dyDescent="0.2">
      <c r="A16" s="8"/>
      <c r="B16" s="53">
        <v>1635</v>
      </c>
      <c r="C16" s="65">
        <f>VLOOKUP(B16,' BONOS'!$B$8:$L$10240,2,0)</f>
        <v>43559</v>
      </c>
      <c r="D16" s="64" t="str">
        <f>VLOOKUP(B16,' BONOS'!$B$8:$L$10240,3,0)</f>
        <v>PAOLA ANDREA BERMUDEZ CARVAJAL</v>
      </c>
      <c r="E16" s="64" t="str">
        <f>VLOOKUP(B16,' BONOS'!$B$8:$J$10240,9,0)</f>
        <v>PAOLA ANDREA BERMUDEZ CARVAJAL</v>
      </c>
      <c r="F16" s="13">
        <f>IF(C16&gt;43607,130000,105000)</f>
        <v>105000</v>
      </c>
      <c r="G16" s="25">
        <v>43570</v>
      </c>
      <c r="H16" s="73">
        <v>55000</v>
      </c>
      <c r="I16" s="73" t="s">
        <v>70</v>
      </c>
      <c r="J16" s="78">
        <v>2154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>BD16-H16-L16-P16-T16-X16-AB16-AF16-AJ16-AN16-AR16-AV16-AZ16</f>
        <v>50000</v>
      </c>
      <c r="BD16" s="12">
        <f t="shared" ref="BD16" si="7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hidden="1" customHeight="1" x14ac:dyDescent="0.2">
      <c r="A17" s="8"/>
      <c r="B17" s="53">
        <v>1936</v>
      </c>
      <c r="C17" s="65">
        <f>VLOOKUP(B17,' BONOS'!$B$8:$L$10240,2,0)</f>
        <v>43556</v>
      </c>
      <c r="D17" s="64" t="str">
        <f>VLOOKUP(B17,' BONOS'!$B$8:$L$10240,3,0)</f>
        <v>MERY FRANCO</v>
      </c>
      <c r="E17" s="64" t="str">
        <f>VLOOKUP(B17,' BONOS'!$B$8:$J$10240,9,0)</f>
        <v>PAOLA ANDREA BERMUDEZ CARVAJAL</v>
      </c>
      <c r="F17" s="13">
        <f>IF(C17&gt;43607,130000,105000)</f>
        <v>105000</v>
      </c>
      <c r="G17" s="25">
        <v>43560</v>
      </c>
      <c r="H17" s="73">
        <v>42000</v>
      </c>
      <c r="I17" s="73" t="s">
        <v>70</v>
      </c>
      <c r="J17" s="78">
        <v>2155</v>
      </c>
      <c r="K17" s="25">
        <v>43570</v>
      </c>
      <c r="L17" s="73">
        <v>50000</v>
      </c>
      <c r="M17" s="73"/>
      <c r="N17" s="78">
        <v>2151</v>
      </c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>BD17-H17-L17-P17-T17-X17-AB17-AF17-AJ17-AN17-AR17-AV17-AZ17</f>
        <v>13000</v>
      </c>
      <c r="BD17" s="12">
        <f t="shared" ref="BD17" si="8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hidden="1" customHeight="1" x14ac:dyDescent="0.2">
      <c r="A18" s="8"/>
      <c r="B18" s="53">
        <v>1965</v>
      </c>
      <c r="C18" s="65">
        <f>VLOOKUP(B18,' BONOS'!$B$8:$L$10240,2,0)</f>
        <v>43561</v>
      </c>
      <c r="D18" s="64" t="str">
        <f>VLOOKUP(B18,' BONOS'!$B$8:$L$10240,3,0)</f>
        <v>ALBA LUCIA GUERRA</v>
      </c>
      <c r="E18" s="64" t="str">
        <f>VLOOKUP(B18,' BONOS'!$B$8:$J$10240,9,0)</f>
        <v>PAOLA ANDREA BERMUDEZ CARVAJAL</v>
      </c>
      <c r="F18" s="13">
        <f>IF(C18&gt;43607,130000,105000)</f>
        <v>105000</v>
      </c>
      <c r="G18" s="25">
        <v>43561</v>
      </c>
      <c r="H18" s="73">
        <v>30000</v>
      </c>
      <c r="I18" s="73" t="s">
        <v>70</v>
      </c>
      <c r="J18" s="78">
        <v>2153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>BD18-H18-L18-P18-T18-X18-AB18-AF18-AJ18-AN18-AR18-AV18-AZ18</f>
        <v>75000</v>
      </c>
      <c r="BD18" s="12">
        <f t="shared" ref="BD18" si="9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hidden="1" customHeight="1" x14ac:dyDescent="0.2">
      <c r="A19" s="8"/>
      <c r="B19" s="53">
        <v>2372</v>
      </c>
      <c r="C19" s="65">
        <f>VLOOKUP(B19,' BONOS'!$B$8:$L$10240,2,0)</f>
        <v>43571</v>
      </c>
      <c r="D19" s="64" t="str">
        <f>VLOOKUP(B19,' BONOS'!$B$8:$L$10240,3,0)</f>
        <v>ANA LUCUMI</v>
      </c>
      <c r="E19" s="64" t="str">
        <f>VLOOKUP(B19,' BONOS'!$B$8:$J$10240,9,0)</f>
        <v>WILSON RAMIREZ</v>
      </c>
      <c r="F19" s="13">
        <f>IF(C19&gt;43607,130000,105000)</f>
        <v>105000</v>
      </c>
      <c r="G19" s="25">
        <v>43571</v>
      </c>
      <c r="H19" s="73">
        <v>35000</v>
      </c>
      <c r="I19" s="73">
        <v>101</v>
      </c>
      <c r="J19" s="78">
        <v>5003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>BD19-H19-L19-P19-T19-X19-AB19-AF19-AJ19-AN19-AR19-AV19-AZ19</f>
        <v>70000</v>
      </c>
      <c r="BD19" s="12">
        <f t="shared" ref="BD19" si="10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hidden="1" customHeight="1" x14ac:dyDescent="0.2">
      <c r="A20" s="8"/>
      <c r="B20" s="53">
        <v>2707</v>
      </c>
      <c r="C20" s="65">
        <f>VLOOKUP(B20,' BONOS'!$B$8:$L$10240,2,0)</f>
        <v>43558</v>
      </c>
      <c r="D20" s="64" t="str">
        <f>VLOOKUP(B20,' BONOS'!$B$8:$L$10240,3,0)</f>
        <v>HUGO MURILLO</v>
      </c>
      <c r="E20" s="64" t="str">
        <f>VLOOKUP(B20,' BONOS'!$B$8:$J$10240,9,0)</f>
        <v>HUGO MURILLO</v>
      </c>
      <c r="F20" s="13">
        <f>IF(C20&gt;43607,130000,105000)</f>
        <v>105000</v>
      </c>
      <c r="G20" s="25">
        <v>43558</v>
      </c>
      <c r="H20" s="73">
        <v>105000</v>
      </c>
      <c r="I20" s="73">
        <v>35</v>
      </c>
      <c r="J20" s="78">
        <v>1707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>BD20-H20-L20-P20-T20-X20-AB20-AF20-AJ20-AN20-AR20-AV20-AZ20</f>
        <v>0</v>
      </c>
      <c r="BD20" s="12">
        <f t="shared" ref="BD20" si="11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hidden="1" customHeight="1" x14ac:dyDescent="0.2">
      <c r="A21" s="8"/>
      <c r="B21" s="53">
        <v>2719</v>
      </c>
      <c r="C21" s="65">
        <f>VLOOKUP(B21,' BONOS'!$B$8:$L$10240,2,0)</f>
        <v>43564</v>
      </c>
      <c r="D21" s="64" t="str">
        <f>VLOOKUP(B21,' BONOS'!$B$8:$L$10240,3,0)</f>
        <v>ANA BEATRIZ ESPINOSA GUEVARA</v>
      </c>
      <c r="E21" s="64" t="str">
        <f>VLOOKUP(B21,' BONOS'!$B$8:$J$10240,9,0)</f>
        <v>ANA MILENA RUIZ ESPINOSA</v>
      </c>
      <c r="F21" s="13">
        <f>IF(C21&gt;43607,130000,105000)</f>
        <v>105000</v>
      </c>
      <c r="G21" s="25">
        <v>43564</v>
      </c>
      <c r="H21" s="73">
        <v>50000</v>
      </c>
      <c r="I21" s="73">
        <v>12</v>
      </c>
      <c r="J21" s="78">
        <v>554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>BD21-H21-L21-P21-T21-X21-AB21-AF21-AJ21-AN21-AR21-AV21-AZ21</f>
        <v>55000</v>
      </c>
      <c r="BD21" s="12">
        <f t="shared" ref="BD21" si="12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hidden="1" customHeight="1" x14ac:dyDescent="0.2">
      <c r="A22" s="8"/>
      <c r="B22" s="53">
        <v>3118</v>
      </c>
      <c r="C22" s="65">
        <f>VLOOKUP(B22,' BONOS'!$B$8:$L$10240,2,0)</f>
        <v>43558</v>
      </c>
      <c r="D22" s="64" t="str">
        <f>VLOOKUP(B22,' BONOS'!$B$8:$L$10240,3,0)</f>
        <v>HUGO MURILLO</v>
      </c>
      <c r="E22" s="64" t="str">
        <f>VLOOKUP(B22,' BONOS'!$B$8:$J$10240,9,0)</f>
        <v>HUGO MURILLO</v>
      </c>
      <c r="F22" s="13">
        <f>IF(C22&gt;43607,130000,105000)</f>
        <v>105000</v>
      </c>
      <c r="G22" s="25">
        <v>43558</v>
      </c>
      <c r="H22" s="73">
        <v>105000</v>
      </c>
      <c r="I22" s="73">
        <v>35</v>
      </c>
      <c r="J22" s="78">
        <v>1702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>BD22-H22-L22-P22-T22-X22-AB22-AF22-AJ22-AN22-AR22-AV22-AZ22</f>
        <v>0</v>
      </c>
      <c r="BD22" s="12">
        <f t="shared" ref="BD22" si="13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hidden="1" customHeight="1" x14ac:dyDescent="0.2">
      <c r="A23" s="8"/>
      <c r="B23" s="53">
        <v>3136</v>
      </c>
      <c r="C23" s="65">
        <f>VLOOKUP(B23,' BONOS'!$B$8:$L$10240,2,0)</f>
        <v>43565</v>
      </c>
      <c r="D23" s="64" t="str">
        <f>VLOOKUP(B23,' BONOS'!$B$8:$L$10240,3,0)</f>
        <v>LUZ AYDA ECHEVERRY PARRA</v>
      </c>
      <c r="E23" s="64" t="str">
        <f>VLOOKUP(B23,' BONOS'!$B$8:$J$10240,9,0)</f>
        <v>ANA MILENA RUIZ ESPINOSA</v>
      </c>
      <c r="F23" s="13">
        <f>IF(C23&gt;43607,130000,105000)</f>
        <v>105000</v>
      </c>
      <c r="G23" s="25">
        <v>43565</v>
      </c>
      <c r="H23" s="73">
        <v>50000</v>
      </c>
      <c r="I23" s="73">
        <v>12</v>
      </c>
      <c r="J23" s="78">
        <v>555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>BD23-H23-L23-P23-T23-X23-AB23-AF23-AJ23-AN23-AR23-AV23-AZ23</f>
        <v>55000</v>
      </c>
      <c r="BD23" s="12">
        <f t="shared" ref="BD23" si="14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hidden="1" customHeight="1" x14ac:dyDescent="0.2">
      <c r="A24" s="8"/>
      <c r="B24" s="53">
        <v>3413</v>
      </c>
      <c r="C24" s="65">
        <f>VLOOKUP(B24,' BONOS'!$B$8:$L$10240,2,0)</f>
        <v>43558</v>
      </c>
      <c r="D24" s="64" t="str">
        <f>VLOOKUP(B24,' BONOS'!$B$8:$L$10240,3,0)</f>
        <v>HUGO MURILLO</v>
      </c>
      <c r="E24" s="64" t="str">
        <f>VLOOKUP(B24,' BONOS'!$B$8:$J$10240,9,0)</f>
        <v>HUGO MURILLO</v>
      </c>
      <c r="F24" s="13">
        <f>IF(C24&gt;43607,130000,105000)</f>
        <v>105000</v>
      </c>
      <c r="G24" s="25">
        <v>43558</v>
      </c>
      <c r="H24" s="73">
        <v>105000</v>
      </c>
      <c r="I24" s="73">
        <v>35</v>
      </c>
      <c r="J24" s="78">
        <v>1706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>BD24-H24-L24-P24-T24-X24-AB24-AF24-AJ24-AN24-AR24-AV24-AZ24</f>
        <v>0</v>
      </c>
      <c r="BD24" s="12">
        <f t="shared" ref="BD24" si="15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hidden="1" customHeight="1" x14ac:dyDescent="0.2">
      <c r="A25" s="8"/>
      <c r="B25" s="53">
        <v>3612</v>
      </c>
      <c r="C25" s="65">
        <f>VLOOKUP(B25,' BONOS'!$B$8:$L$10240,2,0)</f>
        <v>43558</v>
      </c>
      <c r="D25" s="64" t="str">
        <f>VLOOKUP(B25,' BONOS'!$B$8:$L$10240,3,0)</f>
        <v>HUGO MURILLO</v>
      </c>
      <c r="E25" s="64" t="str">
        <f>VLOOKUP(B25,' BONOS'!$B$8:$J$10240,9,0)</f>
        <v>HUGO MURILLO</v>
      </c>
      <c r="F25" s="13">
        <f>IF(C25&gt;43607,130000,105000)</f>
        <v>105000</v>
      </c>
      <c r="G25" s="25">
        <v>43558</v>
      </c>
      <c r="H25" s="73">
        <v>105000</v>
      </c>
      <c r="I25" s="73">
        <v>35</v>
      </c>
      <c r="J25" s="78">
        <v>1703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>BD25-H25-L25-P25-T25-X25-AB25-AF25-AJ25-AN25-AR25-AV25-AZ25</f>
        <v>0</v>
      </c>
      <c r="BD25" s="12">
        <f t="shared" ref="BD25" si="16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hidden="1" customHeight="1" x14ac:dyDescent="0.2">
      <c r="A26" s="8"/>
      <c r="B26" s="53">
        <v>3997</v>
      </c>
      <c r="C26" s="65">
        <f>VLOOKUP(B26,' BONOS'!$B$8:$L$10240,2,0)</f>
        <v>43558</v>
      </c>
      <c r="D26" s="64" t="str">
        <f>VLOOKUP(B26,' BONOS'!$B$8:$L$10240,3,0)</f>
        <v>HUGO MURILLO</v>
      </c>
      <c r="E26" s="64" t="str">
        <f>VLOOKUP(B26,' BONOS'!$B$8:$J$10240,9,0)</f>
        <v>HUGO MURILLO</v>
      </c>
      <c r="F26" s="13">
        <f>IF(C26&gt;43607,130000,105000)</f>
        <v>105000</v>
      </c>
      <c r="G26" s="25">
        <v>43558</v>
      </c>
      <c r="H26" s="73">
        <v>105000</v>
      </c>
      <c r="I26" s="73">
        <v>35</v>
      </c>
      <c r="J26" s="78">
        <v>1704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>BD26-H26-L26-P26-T26-X26-AB26-AF26-AJ26-AN26-AR26-AV26-AZ26</f>
        <v>0</v>
      </c>
      <c r="BD26" s="12">
        <f t="shared" ref="BD26" si="17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hidden="1" customHeight="1" x14ac:dyDescent="0.2">
      <c r="A27" s="8"/>
      <c r="B27" s="53">
        <v>4273</v>
      </c>
      <c r="C27" s="65">
        <f>VLOOKUP(B27,' BONOS'!$B$8:$L$10240,2,0)</f>
        <v>43571</v>
      </c>
      <c r="D27" s="64" t="str">
        <f>VLOOKUP(B27,' BONOS'!$B$8:$L$10240,3,0)</f>
        <v>NORYS LOPEZ</v>
      </c>
      <c r="E27" s="64" t="str">
        <f>VLOOKUP(B27,' BONOS'!$B$8:$J$10240,9,0)</f>
        <v>WILSON RAMIREZ</v>
      </c>
      <c r="F27" s="13">
        <f>IF(C27&gt;43607,130000,105000)</f>
        <v>105000</v>
      </c>
      <c r="G27" s="25">
        <v>43571</v>
      </c>
      <c r="H27" s="73">
        <v>35000</v>
      </c>
      <c r="I27" s="73">
        <v>101</v>
      </c>
      <c r="J27" s="78">
        <v>5002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>BD27-H27-L27-P27-T27-X27-AB27-AF27-AJ27-AN27-AR27-AV27-AZ27</f>
        <v>70000</v>
      </c>
      <c r="BD27" s="12">
        <f t="shared" ref="BD27" si="18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hidden="1" customHeight="1" x14ac:dyDescent="0.2">
      <c r="A28" s="8"/>
      <c r="B28" s="53">
        <v>4610</v>
      </c>
      <c r="C28" s="65">
        <f>VLOOKUP(B28,' BONOS'!$B$8:$L$10240,2,0)</f>
        <v>43557</v>
      </c>
      <c r="D28" s="64" t="str">
        <f>VLOOKUP(B28,' BONOS'!$B$8:$L$10240,3,0)</f>
        <v>CLAUDIA SOLANS LIBREROS MORALES</v>
      </c>
      <c r="E28" s="64" t="str">
        <f>VLOOKUP(B28,' BONOS'!$B$8:$J$10240,9,0)</f>
        <v>ZORAIDA SERRANO</v>
      </c>
      <c r="F28" s="13">
        <f>IF(C28&gt;43607,130000,105000)</f>
        <v>105000</v>
      </c>
      <c r="G28" s="25">
        <v>43557</v>
      </c>
      <c r="H28" s="73">
        <v>105000</v>
      </c>
      <c r="I28" s="73"/>
      <c r="J28" s="78">
        <v>2701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>BD28-H28-L28-P28-T28-X28-AB28-AF28-AJ28-AN28-AR28-AV28-AZ28</f>
        <v>0</v>
      </c>
      <c r="BD28" s="12">
        <f t="shared" ref="BD28" si="19">IF(G28&gt;43607,130000,IF(K28&gt;43607,130000,IF(O28&gt;43607,130000,IF(S28&gt;43607,130000,IF(W28&gt;43607,130000,IF(AA28&gt;43607,130000,IF(AE28&gt;43607,130000,IF(AI28&gt;43607,130000,IF(AM28&gt;43607,130000,IF(AQ28&gt;43607,130000,IF(AU28&gt;43607,130000,IF(AY28&gt;43607,130000,105000))))))))))))</f>
        <v>105000</v>
      </c>
      <c r="BE28" s="2"/>
    </row>
    <row r="29" spans="1:57" ht="12.75" hidden="1" customHeight="1" x14ac:dyDescent="0.2">
      <c r="A29" s="8"/>
      <c r="B29" s="53">
        <v>4852</v>
      </c>
      <c r="C29" s="65">
        <f>VLOOKUP(B29,' BONOS'!$B$8:$L$10240,2,0)</f>
        <v>43559</v>
      </c>
      <c r="D29" s="64" t="str">
        <f>VLOOKUP(B29,' BONOS'!$B$8:$L$10240,3,0)</f>
        <v>MARIELA GARZON</v>
      </c>
      <c r="E29" s="64" t="str">
        <f>VLOOKUP(B29,' BONOS'!$B$8:$J$10240,9,0)</f>
        <v>DORA INES RAMIREZ</v>
      </c>
      <c r="F29" s="13">
        <f>IF(C29&gt;43607,130000,105000)</f>
        <v>105000</v>
      </c>
      <c r="G29" s="25">
        <v>43565</v>
      </c>
      <c r="H29" s="73">
        <v>105000</v>
      </c>
      <c r="I29" s="73"/>
      <c r="J29" s="78">
        <v>804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>BD29-H29-L29-P29-T29-X29-AB29-AF29-AJ29-AN29-AR29-AV29-AZ29</f>
        <v>0</v>
      </c>
      <c r="BD29" s="12">
        <f t="shared" ref="BD29" si="20">IF(G29&gt;43607,130000,IF(K29&gt;43607,130000,IF(O29&gt;43607,130000,IF(S29&gt;43607,130000,IF(W29&gt;43607,130000,IF(AA29&gt;43607,130000,IF(AE29&gt;43607,130000,IF(AI29&gt;43607,130000,IF(AM29&gt;43607,130000,IF(AQ29&gt;43607,130000,IF(AU29&gt;43607,130000,IF(AY29&gt;43607,130000,105000))))))))))))</f>
        <v>105000</v>
      </c>
      <c r="BE29" s="2"/>
    </row>
    <row r="30" spans="1:57" ht="12.75" hidden="1" customHeight="1" x14ac:dyDescent="0.2">
      <c r="A30" s="8"/>
      <c r="B30" s="53">
        <v>6041</v>
      </c>
      <c r="C30" s="65">
        <f>VLOOKUP(B30,' BONOS'!$B$8:$L$10240,2,0)</f>
        <v>43566</v>
      </c>
      <c r="D30" s="64" t="str">
        <f>VLOOKUP(B30,' BONOS'!$B$8:$L$10240,3,0)</f>
        <v>GERMAN OSCAR</v>
      </c>
      <c r="E30" s="64" t="str">
        <f>VLOOKUP(B30,' BONOS'!$B$8:$J$10240,9,0)</f>
        <v>JULIAN VELASQUEZ</v>
      </c>
      <c r="F30" s="13">
        <f>IF(C30&gt;43607,130000,105000)</f>
        <v>105000</v>
      </c>
      <c r="G30" s="25">
        <v>43571</v>
      </c>
      <c r="H30" s="73">
        <v>105000</v>
      </c>
      <c r="I30" s="73" t="s">
        <v>70</v>
      </c>
      <c r="J30" s="78">
        <v>1452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>BD30-H30-L30-P30-T30-X30-AB30-AF30-AJ30-AN30-AR30-AV30-AZ30</f>
        <v>0</v>
      </c>
      <c r="BD30" s="12">
        <f t="shared" ref="BD30" si="21">IF(G30&gt;43607,130000,IF(K30&gt;43607,130000,IF(O30&gt;43607,130000,IF(S30&gt;43607,130000,IF(W30&gt;43607,130000,IF(AA30&gt;43607,130000,IF(AE30&gt;43607,130000,IF(AI30&gt;43607,130000,IF(AM30&gt;43607,130000,IF(AQ30&gt;43607,130000,IF(AU30&gt;43607,130000,IF(AY30&gt;43607,130000,105000))))))))))))</f>
        <v>105000</v>
      </c>
      <c r="BE30" s="2"/>
    </row>
    <row r="31" spans="1:57" ht="12.75" hidden="1" customHeight="1" x14ac:dyDescent="0.2">
      <c r="A31" s="8"/>
      <c r="B31" s="53">
        <v>6475</v>
      </c>
      <c r="C31" s="65">
        <f>VLOOKUP(B31,' BONOS'!$B$8:$L$10240,2,0)</f>
        <v>43563</v>
      </c>
      <c r="D31" s="64" t="str">
        <f>VLOOKUP(B31,' BONOS'!$B$8:$L$10240,3,0)</f>
        <v>MONICA ANDREA RUIZ MARTINEZ</v>
      </c>
      <c r="E31" s="64" t="str">
        <f>VLOOKUP(B31,' BONOS'!$B$8:$J$10240,9,0)</f>
        <v>ANA MILENA RUIZ ESPINOSA</v>
      </c>
      <c r="F31" s="13">
        <f>IF(C31&gt;43607,130000,105000)</f>
        <v>105000</v>
      </c>
      <c r="G31" s="25">
        <v>43563</v>
      </c>
      <c r="H31" s="73">
        <v>105000</v>
      </c>
      <c r="I31" s="73">
        <v>12</v>
      </c>
      <c r="J31" s="78">
        <v>553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>BD31-H31-L31-P31-T31-X31-AB31-AF31-AJ31-AN31-AR31-AV31-AZ31</f>
        <v>0</v>
      </c>
      <c r="BD31" s="12">
        <f t="shared" ref="BD31" si="22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hidden="1" customHeight="1" x14ac:dyDescent="0.2">
      <c r="A32" s="8"/>
      <c r="B32" s="53">
        <v>6942</v>
      </c>
      <c r="C32" s="65">
        <f>VLOOKUP(B32,' BONOS'!$B$8:$L$10240,2,0)</f>
        <v>43571</v>
      </c>
      <c r="D32" s="64" t="str">
        <f>VLOOKUP(B32,' BONOS'!$B$8:$L$10240,3,0)</f>
        <v>NIDIA RAMIREZ</v>
      </c>
      <c r="E32" s="64" t="str">
        <f>VLOOKUP(B32,' BONOS'!$B$8:$J$10240,9,0)</f>
        <v>WILSON RAMIREZ</v>
      </c>
      <c r="F32" s="13">
        <f>IF(C32&gt;43607,130000,105000)</f>
        <v>105000</v>
      </c>
      <c r="G32" s="25">
        <v>43571</v>
      </c>
      <c r="H32" s="73">
        <v>105000</v>
      </c>
      <c r="I32" s="73">
        <v>101</v>
      </c>
      <c r="J32" s="78">
        <v>5001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>BD32-H32-L32-P32-T32-X32-AB32-AF32-AJ32-AN32-AR32-AV32-AZ32</f>
        <v>0</v>
      </c>
      <c r="BD32" s="12">
        <f t="shared" ref="BD32" si="23">IF(G32&gt;43607,130000,IF(K32&gt;43607,130000,IF(O32&gt;43607,130000,IF(S32&gt;43607,130000,IF(W32&gt;43607,130000,IF(AA32&gt;43607,130000,IF(AE32&gt;43607,130000,IF(AI32&gt;43607,130000,IF(AM32&gt;43607,130000,IF(AQ32&gt;43607,130000,IF(AU32&gt;43607,130000,IF(AY32&gt;43607,130000,105000))))))))))))</f>
        <v>105000</v>
      </c>
      <c r="BE32" s="2"/>
    </row>
    <row r="33" spans="1:57" ht="12.75" hidden="1" customHeight="1" x14ac:dyDescent="0.2">
      <c r="A33" s="8"/>
      <c r="B33" s="53">
        <v>6994</v>
      </c>
      <c r="C33" s="65">
        <f>VLOOKUP(B33,' BONOS'!$B$8:$L$10240,2,0)</f>
        <v>43572</v>
      </c>
      <c r="D33" s="64" t="str">
        <f>VLOOKUP(B33,' BONOS'!$B$8:$L$10240,3,0)</f>
        <v>JHON JAIRO RESTREPO</v>
      </c>
      <c r="E33" s="64" t="str">
        <f>VLOOKUP(B33,' BONOS'!$B$8:$J$10240,9,0)</f>
        <v>JULIAN VELASQUEZ</v>
      </c>
      <c r="F33" s="13">
        <f>IF(C33&gt;43607,130000,105000)</f>
        <v>105000</v>
      </c>
      <c r="G33" s="25">
        <v>43572</v>
      </c>
      <c r="H33" s="73">
        <v>35000</v>
      </c>
      <c r="I33" s="73">
        <v>66</v>
      </c>
      <c r="J33" s="78">
        <v>3252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>BD33-H33-L33-P33-T33-X33-AB33-AF33-AJ33-AN33-AR33-AV33-AZ33</f>
        <v>70000</v>
      </c>
      <c r="BD33" s="12">
        <f t="shared" ref="BD33:BD41" si="24">IF(G33&gt;43607,130000,IF(K33&gt;43607,130000,IF(O33&gt;43607,130000,IF(S33&gt;43607,130000,IF(W33&gt;43607,130000,IF(AA33&gt;43607,130000,IF(AE33&gt;43607,130000,IF(AI33&gt;43607,130000,IF(AM33&gt;43607,130000,IF(AQ33&gt;43607,130000,IF(AU33&gt;43607,130000,IF(AY33&gt;43607,130000,105000))))))))))))</f>
        <v>105000</v>
      </c>
      <c r="BE33" s="2"/>
    </row>
    <row r="34" spans="1:57" ht="12.75" hidden="1" customHeight="1" x14ac:dyDescent="0.2">
      <c r="A34" s="8"/>
      <c r="B34" s="53">
        <v>7123</v>
      </c>
      <c r="C34" s="65">
        <f>VLOOKUP(B34,' BONOS'!$B$8:$L$10240,2,0)</f>
        <v>43558</v>
      </c>
      <c r="D34" s="64" t="str">
        <f>VLOOKUP(B34,' BONOS'!$B$8:$L$10240,3,0)</f>
        <v>HUGO MURILLO</v>
      </c>
      <c r="E34" s="64" t="str">
        <f>VLOOKUP(B34,' BONOS'!$B$8:$J$10240,9,0)</f>
        <v>HUGO MURILLO</v>
      </c>
      <c r="F34" s="13">
        <f>IF(C34&gt;43607,130000,105000)</f>
        <v>105000</v>
      </c>
      <c r="G34" s="25">
        <v>43558</v>
      </c>
      <c r="H34" s="73">
        <v>105000</v>
      </c>
      <c r="I34" s="73">
        <v>35</v>
      </c>
      <c r="J34" s="78">
        <v>1705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>BD34-H34-L34-P34-T34-X34-AB34-AF34-AJ34-AN34-AR34-AV34-AZ34</f>
        <v>0</v>
      </c>
      <c r="BD34" s="12">
        <f t="shared" si="24"/>
        <v>105000</v>
      </c>
      <c r="BE34" s="2"/>
    </row>
    <row r="35" spans="1:57" ht="12.75" hidden="1" customHeight="1" x14ac:dyDescent="0.2">
      <c r="A35" s="8"/>
      <c r="B35" s="53">
        <v>7535</v>
      </c>
      <c r="C35" s="65">
        <f>VLOOKUP(B35,' BONOS'!$B$8:$L$10240,2,0)</f>
        <v>43559</v>
      </c>
      <c r="D35" s="64" t="str">
        <f>VLOOKUP(B35,' BONOS'!$B$8:$L$10240,3,0)</f>
        <v>HUGO MURILLO</v>
      </c>
      <c r="E35" s="64" t="str">
        <f>VLOOKUP(B35,' BONOS'!$B$8:$J$10240,9,0)</f>
        <v>HUGO MURILLO</v>
      </c>
      <c r="F35" s="13">
        <f>IF(C35&gt;43607,130000,105000)</f>
        <v>105000</v>
      </c>
      <c r="G35" s="25">
        <v>43560</v>
      </c>
      <c r="H35" s="73">
        <v>105000</v>
      </c>
      <c r="I35" s="73">
        <v>105000</v>
      </c>
      <c r="J35" s="78">
        <v>1708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>BD35-H35-L35-P35-T35-X35-AB35-AF35-AJ35-AN35-AR35-AV35-AZ35</f>
        <v>0</v>
      </c>
      <c r="BD35" s="12">
        <f t="shared" si="24"/>
        <v>105000</v>
      </c>
      <c r="BE35" s="2"/>
    </row>
    <row r="36" spans="1:57" ht="12.75" hidden="1" customHeight="1" x14ac:dyDescent="0.2">
      <c r="A36" s="8"/>
      <c r="B36" s="53">
        <v>7712</v>
      </c>
      <c r="C36" s="65">
        <f>VLOOKUP(B36,' BONOS'!$B$8:$L$10240,2,0)</f>
        <v>43570</v>
      </c>
      <c r="D36" s="64" t="str">
        <f>VLOOKUP(B36,' BONOS'!$B$8:$L$10240,3,0)</f>
        <v>JULIA RAMIREZ APONTE</v>
      </c>
      <c r="E36" s="64" t="str">
        <f>VLOOKUP(B36,' BONOS'!$B$8:$J$10240,9,0)</f>
        <v>HELLEN RAMIREZ APONTE</v>
      </c>
      <c r="F36" s="13">
        <f>IF(C36&gt;43607,130000,105000)</f>
        <v>105000</v>
      </c>
      <c r="G36" s="25">
        <v>43570</v>
      </c>
      <c r="H36" s="73">
        <v>105000</v>
      </c>
      <c r="I36" s="73"/>
      <c r="J36" s="78">
        <v>1951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>BD36-H36-L36-P36-T36-X36-AB36-AF36-AJ36-AN36-AR36-AV36-AZ36</f>
        <v>0</v>
      </c>
      <c r="BD36" s="12">
        <f t="shared" si="24"/>
        <v>105000</v>
      </c>
      <c r="BE36" s="2"/>
    </row>
    <row r="37" spans="1:57" ht="12.75" hidden="1" customHeight="1" x14ac:dyDescent="0.2">
      <c r="A37" s="8"/>
      <c r="B37" s="53">
        <v>7715</v>
      </c>
      <c r="C37" s="65" t="e">
        <f>VLOOKUP(B37,' BONOS'!$B$8:$L$10240,2,0)</f>
        <v>#N/A</v>
      </c>
      <c r="D37" s="64" t="e">
        <f>VLOOKUP(B37,' BONOS'!$B$8:$L$10240,3,0)</f>
        <v>#N/A</v>
      </c>
      <c r="E37" s="64" t="e">
        <f>VLOOKUP(B37,' BONOS'!$B$8:$J$10240,9,0)</f>
        <v>#N/A</v>
      </c>
      <c r="F37" s="13" t="e">
        <f>IF(C37&gt;43607,130000,105000)</f>
        <v>#N/A</v>
      </c>
      <c r="G37" s="25">
        <v>43565</v>
      </c>
      <c r="H37" s="73">
        <v>105000</v>
      </c>
      <c r="I37" s="73"/>
      <c r="J37" s="78">
        <v>807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>BD37-H37-L37-P37-T37-X37-AB37-AF37-AJ37-AN37-AR37-AV37-AZ37</f>
        <v>0</v>
      </c>
      <c r="BD37" s="12">
        <f t="shared" si="24"/>
        <v>105000</v>
      </c>
      <c r="BE37" s="2"/>
    </row>
    <row r="38" spans="1:57" ht="12.75" hidden="1" customHeight="1" x14ac:dyDescent="0.2">
      <c r="A38" s="8"/>
      <c r="B38" s="53">
        <v>8499</v>
      </c>
      <c r="C38" s="65">
        <f>VLOOKUP(B38,' BONOS'!$B$8:$L$10240,2,0)</f>
        <v>43564</v>
      </c>
      <c r="D38" s="64" t="str">
        <f>VLOOKUP(B38,' BONOS'!$B$8:$L$10240,3,0)</f>
        <v>JHON JAMES ALZATE GUTIRRREZ</v>
      </c>
      <c r="E38" s="64" t="str">
        <f>VLOOKUP(B38,' BONOS'!$B$8:$J$10240,9,0)</f>
        <v>OFICINA</v>
      </c>
      <c r="F38" s="13">
        <f>IF(C38&gt;43607,130000,105000)</f>
        <v>105000</v>
      </c>
      <c r="G38" s="25">
        <v>43564</v>
      </c>
      <c r="H38" s="73">
        <v>35000</v>
      </c>
      <c r="I38" s="73">
        <v>66</v>
      </c>
      <c r="J38" s="78">
        <v>3251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>BD38-H38-L38-P38-T38-X38-AB38-AF38-AJ38-AN38-AR38-AV38-AZ38</f>
        <v>70000</v>
      </c>
      <c r="BD38" s="12">
        <f t="shared" si="24"/>
        <v>105000</v>
      </c>
      <c r="BE38" s="2"/>
    </row>
    <row r="39" spans="1:57" ht="12.75" hidden="1" customHeight="1" x14ac:dyDescent="0.2">
      <c r="A39" s="8"/>
      <c r="B39" s="53">
        <v>8711</v>
      </c>
      <c r="C39" s="65">
        <f>VLOOKUP(B39,' BONOS'!$B$8:$L$10240,2,0)</f>
        <v>43564</v>
      </c>
      <c r="D39" s="64" t="str">
        <f>VLOOKUP(B39,' BONOS'!$B$8:$L$10240,3,0)</f>
        <v>JHON FABER SEGURA</v>
      </c>
      <c r="E39" s="64" t="str">
        <f>VLOOKUP(B39,' BONOS'!$B$8:$J$10240,9,0)</f>
        <v>JHON FREDY ARANA</v>
      </c>
      <c r="F39" s="13">
        <f>IF(C39&gt;43607,130000,105000)</f>
        <v>105000</v>
      </c>
      <c r="G39" s="25">
        <v>43564</v>
      </c>
      <c r="H39" s="73">
        <v>105000</v>
      </c>
      <c r="I39" s="73" t="s">
        <v>70</v>
      </c>
      <c r="J39" s="78">
        <v>2951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>BD39-H39-L39-P39-T39-X39-AB39-AF39-AJ39-AN39-AR39-AV39-AZ39</f>
        <v>0</v>
      </c>
      <c r="BD39" s="12">
        <f t="shared" si="24"/>
        <v>105000</v>
      </c>
      <c r="BE39" s="2"/>
    </row>
    <row r="40" spans="1:57" ht="12.75" hidden="1" customHeight="1" x14ac:dyDescent="0.2">
      <c r="A40" s="8"/>
      <c r="B40" s="53">
        <v>8731</v>
      </c>
      <c r="C40" s="65">
        <f>VLOOKUP(B40,' BONOS'!$B$8:$L$10240,2,0)</f>
        <v>43563</v>
      </c>
      <c r="D40" s="64" t="str">
        <f>VLOOKUP(B40,' BONOS'!$B$8:$L$10240,3,0)</f>
        <v>LUIS ALFREDO SANCHEZ ZUÑIGA</v>
      </c>
      <c r="E40" s="64" t="str">
        <f>VLOOKUP(B40,' BONOS'!$B$8:$J$10240,9,0)</f>
        <v>ANA MILENA RUIZ ESPINOSA</v>
      </c>
      <c r="F40" s="13">
        <f>IF(C40&gt;43607,130000,105000)</f>
        <v>105000</v>
      </c>
      <c r="G40" s="25">
        <v>43563</v>
      </c>
      <c r="H40" s="73">
        <v>105000</v>
      </c>
      <c r="I40" s="73">
        <v>12</v>
      </c>
      <c r="J40" s="78">
        <v>552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>BD40-H40-L40-P40-T40-X40-AB40-AF40-AJ40-AN40-AR40-AV40-AZ40</f>
        <v>0</v>
      </c>
      <c r="BD40" s="12">
        <f t="shared" si="24"/>
        <v>105000</v>
      </c>
      <c r="BE40" s="2"/>
    </row>
    <row r="41" spans="1:57" ht="12.75" hidden="1" customHeight="1" x14ac:dyDescent="0.2">
      <c r="A41" s="8"/>
      <c r="B41" s="53"/>
      <c r="C41" s="65" t="e">
        <f>VLOOKUP(B41,' BONOS'!$B$8:$L$10240,2,0)</f>
        <v>#N/A</v>
      </c>
      <c r="D41" s="64" t="e">
        <f>VLOOKUP(B41,' BONOS'!$B$8:$L$10240,3,0)</f>
        <v>#N/A</v>
      </c>
      <c r="E41" s="64" t="e">
        <f>VLOOKUP(B41,' BONOS'!$B$8:$J$10240,9,0)</f>
        <v>#N/A</v>
      </c>
      <c r="F41" s="13" t="e">
        <f>IF(C41&gt;43607,130000,105000)</f>
        <v>#N/A</v>
      </c>
      <c r="G41" s="25">
        <v>43570</v>
      </c>
      <c r="H41" s="26">
        <v>42000</v>
      </c>
      <c r="I41" s="73" t="s">
        <v>70</v>
      </c>
      <c r="J41" s="78">
        <v>2155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>BD41-H41-L41-P41-T41-X41-AB41-AF41-AJ41-AN41-AR41-AV41-AZ41</f>
        <v>63000</v>
      </c>
      <c r="BD41" s="12">
        <f t="shared" si="24"/>
        <v>105000</v>
      </c>
      <c r="BE41" s="2"/>
    </row>
  </sheetData>
  <autoFilter ref="B8:BC41">
    <filterColumn colId="0">
      <filters>
        <filter val="9869"/>
      </filters>
    </filterColumn>
    <sortState ref="B22:BC22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95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733</v>
      </c>
      <c r="C10" s="81">
        <v>43571</v>
      </c>
      <c r="D10" s="9" t="s">
        <v>322</v>
      </c>
      <c r="E10" s="9" t="s">
        <v>530</v>
      </c>
      <c r="F10" s="9"/>
      <c r="G10" s="9"/>
      <c r="H10" s="9"/>
      <c r="I10" s="9"/>
      <c r="J10" s="9"/>
      <c r="K10" s="9"/>
      <c r="L10" s="38" t="s">
        <v>89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3201</v>
      </c>
      <c r="C11" s="81">
        <v>43571</v>
      </c>
      <c r="D11" s="9" t="s">
        <v>322</v>
      </c>
      <c r="E11" s="9" t="s">
        <v>528</v>
      </c>
      <c r="F11" s="9"/>
      <c r="G11" s="9"/>
      <c r="H11" s="9"/>
      <c r="I11" s="9"/>
      <c r="J11" s="9"/>
      <c r="K11" s="9"/>
      <c r="L11" s="38" t="s">
        <v>89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850</v>
      </c>
      <c r="C12" s="81">
        <v>43571</v>
      </c>
      <c r="D12" s="9" t="s">
        <v>322</v>
      </c>
      <c r="E12" s="9" t="s">
        <v>526</v>
      </c>
      <c r="F12" s="9"/>
      <c r="G12" s="9"/>
      <c r="H12" s="9"/>
      <c r="I12" s="9"/>
      <c r="J12" s="9"/>
      <c r="K12" s="9"/>
      <c r="L12" s="38" t="s">
        <v>89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2116</v>
      </c>
      <c r="C13" s="81">
        <v>43571</v>
      </c>
      <c r="D13" s="9" t="s">
        <v>322</v>
      </c>
      <c r="E13" s="9" t="s">
        <v>522</v>
      </c>
      <c r="F13" s="9"/>
      <c r="G13" s="9"/>
      <c r="H13" s="9"/>
      <c r="I13" s="9"/>
      <c r="J13" s="9"/>
      <c r="K13" s="9"/>
      <c r="L13" s="38" t="s">
        <v>89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2116</v>
      </c>
      <c r="C14" s="81">
        <v>43571</v>
      </c>
      <c r="D14" s="9" t="s">
        <v>524</v>
      </c>
      <c r="E14" s="9" t="s">
        <v>522</v>
      </c>
      <c r="F14" s="9" t="s">
        <v>525</v>
      </c>
      <c r="G14" s="9"/>
      <c r="H14" s="9">
        <v>66872382</v>
      </c>
      <c r="I14" s="9"/>
      <c r="J14" s="9"/>
      <c r="K14" s="9"/>
      <c r="L14" s="38" t="s">
        <v>89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6074</v>
      </c>
      <c r="C15" s="81">
        <v>43571</v>
      </c>
      <c r="D15" s="9" t="s">
        <v>322</v>
      </c>
      <c r="E15" s="9" t="s">
        <v>520</v>
      </c>
      <c r="F15" s="9"/>
      <c r="G15" s="9"/>
      <c r="H15" s="9"/>
      <c r="I15" s="9"/>
      <c r="J15" s="9"/>
      <c r="K15" s="9"/>
      <c r="L15" s="38" t="s">
        <v>89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customHeight="1" x14ac:dyDescent="0.2">
      <c r="A16" s="8"/>
      <c r="B16" s="57">
        <v>3155</v>
      </c>
      <c r="C16" s="81">
        <v>43571</v>
      </c>
      <c r="D16" s="9" t="s">
        <v>322</v>
      </c>
      <c r="E16" s="9" t="s">
        <v>519</v>
      </c>
      <c r="F16" s="9"/>
      <c r="G16" s="9"/>
      <c r="H16" s="9"/>
      <c r="I16" s="9"/>
      <c r="J16" s="9"/>
      <c r="K16" s="9"/>
      <c r="L16" s="38" t="s">
        <v>89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7619</v>
      </c>
      <c r="C17" s="81">
        <v>43571</v>
      </c>
      <c r="D17" s="9" t="s">
        <v>322</v>
      </c>
      <c r="E17" s="9" t="s">
        <v>517</v>
      </c>
      <c r="F17" s="9" t="s">
        <v>130</v>
      </c>
      <c r="G17" s="9" t="s">
        <v>130</v>
      </c>
      <c r="H17" s="9"/>
      <c r="I17" s="9"/>
      <c r="J17" s="9"/>
      <c r="K17" s="9"/>
      <c r="L17" s="38" t="s">
        <v>89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3144</v>
      </c>
      <c r="C18" s="81">
        <v>43571</v>
      </c>
      <c r="D18" s="9" t="s">
        <v>322</v>
      </c>
      <c r="E18" s="9" t="s">
        <v>515</v>
      </c>
      <c r="F18" s="9"/>
      <c r="G18" s="9"/>
      <c r="H18" s="9"/>
      <c r="I18" s="9"/>
      <c r="J18" s="9"/>
      <c r="K18" s="9"/>
      <c r="L18" s="38" t="s">
        <v>89</v>
      </c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328</v>
      </c>
      <c r="C19" s="81">
        <v>43571</v>
      </c>
      <c r="D19" s="9" t="s">
        <v>322</v>
      </c>
      <c r="E19" s="9" t="s">
        <v>513</v>
      </c>
      <c r="F19" s="9"/>
      <c r="G19" s="9"/>
      <c r="H19" s="9"/>
      <c r="I19" s="9"/>
      <c r="J19" s="9"/>
      <c r="K19" s="9"/>
      <c r="L19" s="38" t="s">
        <v>89</v>
      </c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7921</v>
      </c>
      <c r="C20" s="81">
        <v>43571</v>
      </c>
      <c r="D20" s="9" t="s">
        <v>322</v>
      </c>
      <c r="E20" s="9" t="s">
        <v>511</v>
      </c>
      <c r="F20" s="9"/>
      <c r="G20" s="9"/>
      <c r="H20" s="9"/>
      <c r="I20" s="9"/>
      <c r="J20" s="9"/>
      <c r="K20" s="9"/>
      <c r="L20" s="38" t="s">
        <v>89</v>
      </c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9243</v>
      </c>
      <c r="C21" s="81">
        <v>43571</v>
      </c>
      <c r="D21" s="9" t="s">
        <v>322</v>
      </c>
      <c r="E21" s="9" t="s">
        <v>509</v>
      </c>
      <c r="F21" s="9"/>
      <c r="G21" s="9"/>
      <c r="H21" s="9"/>
      <c r="I21" s="9"/>
      <c r="J21" s="9"/>
      <c r="K21" s="9"/>
      <c r="L21" s="38" t="s">
        <v>89</v>
      </c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1249</v>
      </c>
      <c r="C22" s="81">
        <v>43571</v>
      </c>
      <c r="D22" s="9" t="s">
        <v>322</v>
      </c>
      <c r="E22" s="9" t="s">
        <v>507</v>
      </c>
      <c r="F22" s="9"/>
      <c r="G22" s="9"/>
      <c r="H22" s="9"/>
      <c r="I22" s="9"/>
      <c r="J22" s="9"/>
      <c r="K22" s="9"/>
      <c r="L22" s="38" t="s">
        <v>89</v>
      </c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9647</v>
      </c>
      <c r="C23" s="81">
        <v>43571</v>
      </c>
      <c r="D23" s="9" t="s">
        <v>322</v>
      </c>
      <c r="E23" s="9" t="s">
        <v>505</v>
      </c>
      <c r="F23" s="9" t="s">
        <v>130</v>
      </c>
      <c r="G23" s="9"/>
      <c r="H23" s="9"/>
      <c r="I23" s="9"/>
      <c r="J23" s="9"/>
      <c r="K23" s="9"/>
      <c r="L23" s="38" t="s">
        <v>89</v>
      </c>
      <c r="M23" s="35">
        <f t="shared" ref="M23" si="14"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3530</v>
      </c>
      <c r="C24" s="81">
        <v>43571</v>
      </c>
      <c r="D24" s="9" t="s">
        <v>322</v>
      </c>
      <c r="E24" s="9" t="s">
        <v>503</v>
      </c>
      <c r="F24" s="9"/>
      <c r="G24" s="9"/>
      <c r="H24" s="9"/>
      <c r="I24" s="9"/>
      <c r="J24" s="9"/>
      <c r="K24" s="9"/>
      <c r="L24" s="38" t="s">
        <v>89</v>
      </c>
      <c r="M24" s="35">
        <f t="shared" ref="M24" si="15">IF(C24&gt;43607,130000,105000)</f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1234</v>
      </c>
      <c r="C25" s="81">
        <v>43571</v>
      </c>
      <c r="D25" s="9" t="s">
        <v>322</v>
      </c>
      <c r="E25" s="9" t="s">
        <v>431</v>
      </c>
      <c r="F25" s="9"/>
      <c r="G25" s="9"/>
      <c r="H25" s="9"/>
      <c r="I25" s="9"/>
      <c r="J25" s="9"/>
      <c r="K25" s="9"/>
      <c r="L25" s="38" t="s">
        <v>89</v>
      </c>
      <c r="M25" s="35">
        <f t="shared" ref="M25" si="16">IF(C25&gt;43607,130000,105000)</f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9869</v>
      </c>
      <c r="C26" s="81">
        <v>43565</v>
      </c>
      <c r="D26" s="9" t="s">
        <v>99</v>
      </c>
      <c r="E26" s="9" t="s">
        <v>500</v>
      </c>
      <c r="F26" s="9"/>
      <c r="G26" s="9"/>
      <c r="H26" s="9"/>
      <c r="I26" s="9"/>
      <c r="J26" s="9"/>
      <c r="K26" s="9"/>
      <c r="L26" s="38" t="s">
        <v>99</v>
      </c>
      <c r="M26" s="35">
        <f t="shared" ref="M26" si="17">IF(C26&gt;43607,130000,105000)</f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3136</v>
      </c>
      <c r="C27" s="81">
        <v>43565</v>
      </c>
      <c r="D27" s="9" t="s">
        <v>99</v>
      </c>
      <c r="E27" s="9" t="s">
        <v>498</v>
      </c>
      <c r="F27" s="9"/>
      <c r="G27" s="9"/>
      <c r="H27" s="9"/>
      <c r="I27" s="9"/>
      <c r="J27" s="9"/>
      <c r="K27" s="9"/>
      <c r="L27" s="38" t="s">
        <v>99</v>
      </c>
      <c r="M27" s="35">
        <f t="shared" ref="M27" si="18">IF(C27&gt;43607,130000,105000)</f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3806</v>
      </c>
      <c r="C28" s="81">
        <v>43576</v>
      </c>
      <c r="D28" s="9" t="s">
        <v>99</v>
      </c>
      <c r="E28" s="9" t="s">
        <v>496</v>
      </c>
      <c r="F28" s="9" t="s">
        <v>130</v>
      </c>
      <c r="G28" s="9" t="s">
        <v>130</v>
      </c>
      <c r="H28" s="9"/>
      <c r="I28" s="9"/>
      <c r="J28" s="9"/>
      <c r="K28" s="9"/>
      <c r="L28" s="38" t="s">
        <v>99</v>
      </c>
      <c r="M28" s="35">
        <f t="shared" ref="M28" si="19">IF(C28&gt;43607,130000,105000)</f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2346</v>
      </c>
      <c r="C29" s="81">
        <v>43571</v>
      </c>
      <c r="D29" s="9" t="s">
        <v>322</v>
      </c>
      <c r="E29" s="9" t="s">
        <v>494</v>
      </c>
      <c r="F29" s="9" t="s">
        <v>130</v>
      </c>
      <c r="G29" s="9" t="s">
        <v>130</v>
      </c>
      <c r="H29" s="9"/>
      <c r="I29" s="9"/>
      <c r="J29" s="9"/>
      <c r="K29" s="9"/>
      <c r="L29" s="38" t="s">
        <v>89</v>
      </c>
      <c r="M29" s="35">
        <f t="shared" ref="M29" si="20">IF(C29&gt;43607,130000,105000)</f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1216</v>
      </c>
      <c r="C30" s="81">
        <v>43571</v>
      </c>
      <c r="D30" s="9" t="s">
        <v>322</v>
      </c>
      <c r="E30" s="9" t="s">
        <v>491</v>
      </c>
      <c r="F30" s="9" t="s">
        <v>130</v>
      </c>
      <c r="G30" s="9"/>
      <c r="H30" s="9"/>
      <c r="I30" s="9"/>
      <c r="J30" s="9"/>
      <c r="K30" s="9"/>
      <c r="L30" s="38" t="s">
        <v>322</v>
      </c>
      <c r="M30" s="35">
        <f t="shared" ref="M30" si="21">IF(C30&gt;43607,130000,105000)</f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2113</v>
      </c>
      <c r="C31" s="81">
        <v>43571</v>
      </c>
      <c r="D31" s="9" t="s">
        <v>322</v>
      </c>
      <c r="E31" s="9" t="s">
        <v>489</v>
      </c>
      <c r="F31" s="9"/>
      <c r="G31" s="9"/>
      <c r="H31" s="9"/>
      <c r="I31" s="9"/>
      <c r="J31" s="9"/>
      <c r="K31" s="9"/>
      <c r="L31" s="38" t="s">
        <v>89</v>
      </c>
      <c r="M31" s="35">
        <f t="shared" ref="M31" si="22">IF(C31&gt;43607,130000,105000)</f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7952</v>
      </c>
      <c r="C32" s="81">
        <v>43571</v>
      </c>
      <c r="D32" s="9" t="s">
        <v>322</v>
      </c>
      <c r="E32" s="9" t="s">
        <v>487</v>
      </c>
      <c r="F32" s="9"/>
      <c r="G32" s="9"/>
      <c r="H32" s="9"/>
      <c r="I32" s="9"/>
      <c r="J32" s="9"/>
      <c r="K32" s="9"/>
      <c r="L32" s="38" t="s">
        <v>89</v>
      </c>
      <c r="M32" s="35">
        <f t="shared" ref="M32" si="23">IF(C32&gt;43607,130000,105000)</f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9450</v>
      </c>
      <c r="C33" s="81">
        <v>43571</v>
      </c>
      <c r="D33" s="9" t="s">
        <v>322</v>
      </c>
      <c r="E33" s="9" t="s">
        <v>487</v>
      </c>
      <c r="F33" s="9" t="s">
        <v>130</v>
      </c>
      <c r="G33" s="9" t="s">
        <v>130</v>
      </c>
      <c r="H33" s="9" t="s">
        <v>130</v>
      </c>
      <c r="I33" s="9"/>
      <c r="J33" s="9"/>
      <c r="K33" s="9"/>
      <c r="L33" s="38" t="s">
        <v>89</v>
      </c>
      <c r="M33" s="35">
        <f t="shared" ref="M33" si="24">IF(C33&gt;43607,130000,105000)</f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8310</v>
      </c>
      <c r="C34" s="81">
        <v>43571</v>
      </c>
      <c r="D34" s="9" t="s">
        <v>322</v>
      </c>
      <c r="E34" s="9" t="s">
        <v>487</v>
      </c>
      <c r="F34" s="9"/>
      <c r="G34" s="9"/>
      <c r="H34" s="9"/>
      <c r="I34" s="9"/>
      <c r="J34" s="9"/>
      <c r="K34" s="9"/>
      <c r="L34" s="38" t="s">
        <v>89</v>
      </c>
      <c r="M34" s="35">
        <f t="shared" ref="M34" si="25">IF(C34&gt;43607,130000,105000)</f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1738</v>
      </c>
      <c r="C35" s="81">
        <v>43571</v>
      </c>
      <c r="D35" s="9" t="s">
        <v>322</v>
      </c>
      <c r="E35" s="9" t="s">
        <v>485</v>
      </c>
      <c r="F35" s="9" t="s">
        <v>130</v>
      </c>
      <c r="G35" s="9" t="s">
        <v>130</v>
      </c>
      <c r="H35" s="9"/>
      <c r="I35" s="9"/>
      <c r="J35" s="9"/>
      <c r="K35" s="9"/>
      <c r="L35" s="38" t="s">
        <v>89</v>
      </c>
      <c r="M35" s="35">
        <f t="shared" ref="M35" si="26">IF(C35&gt;43607,130000,105000)</f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675</v>
      </c>
      <c r="C36" s="81">
        <v>43571</v>
      </c>
      <c r="D36" s="9" t="s">
        <v>322</v>
      </c>
      <c r="E36" s="9" t="s">
        <v>483</v>
      </c>
      <c r="F36" s="9"/>
      <c r="G36" s="9"/>
      <c r="H36" s="9"/>
      <c r="I36" s="9"/>
      <c r="J36" s="9"/>
      <c r="K36" s="9"/>
      <c r="L36" s="38" t="s">
        <v>89</v>
      </c>
      <c r="M36" s="35">
        <f t="shared" ref="M36" si="27"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1342</v>
      </c>
      <c r="C37" s="81">
        <v>43571</v>
      </c>
      <c r="D37" s="9" t="s">
        <v>322</v>
      </c>
      <c r="E37" s="9" t="s">
        <v>481</v>
      </c>
      <c r="F37" s="9" t="s">
        <v>130</v>
      </c>
      <c r="G37" s="9"/>
      <c r="H37" s="9"/>
      <c r="I37" s="9"/>
      <c r="J37" s="9"/>
      <c r="K37" s="9"/>
      <c r="L37" s="38" t="s">
        <v>89</v>
      </c>
      <c r="M37" s="35">
        <f t="shared" ref="M37" si="28">IF(C37&gt;43607,130000,105000)</f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918</v>
      </c>
      <c r="C38" s="81">
        <v>43571</v>
      </c>
      <c r="D38" s="9" t="s">
        <v>322</v>
      </c>
      <c r="E38" s="9" t="s">
        <v>480</v>
      </c>
      <c r="F38" s="9" t="s">
        <v>130</v>
      </c>
      <c r="G38" s="9" t="s">
        <v>130</v>
      </c>
      <c r="H38" s="9" t="s">
        <v>130</v>
      </c>
      <c r="I38" s="9" t="s">
        <v>130</v>
      </c>
      <c r="J38" s="9" t="s">
        <v>130</v>
      </c>
      <c r="K38" s="9"/>
      <c r="L38" s="38" t="s">
        <v>89</v>
      </c>
      <c r="M38" s="35">
        <f t="shared" ref="M38" si="29">IF(C38&gt;43607,130000,105000)</f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7214</v>
      </c>
      <c r="C39" s="81">
        <v>43571</v>
      </c>
      <c r="D39" s="9" t="s">
        <v>322</v>
      </c>
      <c r="E39" s="9" t="s">
        <v>478</v>
      </c>
      <c r="F39" s="9"/>
      <c r="G39" s="9"/>
      <c r="H39" s="9"/>
      <c r="I39" s="9"/>
      <c r="J39" s="9"/>
      <c r="K39" s="9"/>
      <c r="L39" s="38" t="s">
        <v>89</v>
      </c>
      <c r="M39" s="35">
        <f t="shared" ref="M39" si="30">IF(C39&gt;43607,130000,105000)</f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4374</v>
      </c>
      <c r="C40" s="81">
        <v>43572</v>
      </c>
      <c r="D40" s="9" t="s">
        <v>475</v>
      </c>
      <c r="E40" s="9" t="s">
        <v>475</v>
      </c>
      <c r="F40" s="9" t="s">
        <v>477</v>
      </c>
      <c r="G40" s="9">
        <v>3117448891</v>
      </c>
      <c r="H40" s="9">
        <v>31974368</v>
      </c>
      <c r="I40" s="9" t="s">
        <v>60</v>
      </c>
      <c r="J40" s="9" t="s">
        <v>61</v>
      </c>
      <c r="K40" s="9"/>
      <c r="L40" s="38" t="s">
        <v>89</v>
      </c>
      <c r="M40" s="35">
        <f t="shared" ref="M40" si="31">IF(C40&gt;43607,130000,105000)</f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146</v>
      </c>
      <c r="C41" s="81">
        <v>43571</v>
      </c>
      <c r="D41" s="9" t="s">
        <v>322</v>
      </c>
      <c r="E41" s="9" t="s">
        <v>472</v>
      </c>
      <c r="F41" s="9"/>
      <c r="G41" s="9"/>
      <c r="H41" s="9"/>
      <c r="I41" s="9"/>
      <c r="J41" s="9"/>
      <c r="K41" s="9"/>
      <c r="L41" s="38" t="s">
        <v>89</v>
      </c>
      <c r="M41" s="35">
        <f t="shared" ref="M41" si="32">IF(C41&gt;43607,130000,105000)</f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2330</v>
      </c>
      <c r="C42" s="81">
        <v>43571</v>
      </c>
      <c r="D42" s="9" t="s">
        <v>322</v>
      </c>
      <c r="E42" s="9" t="s">
        <v>470</v>
      </c>
      <c r="F42" s="9"/>
      <c r="G42" s="9"/>
      <c r="H42" s="9"/>
      <c r="I42" s="9"/>
      <c r="J42" s="9"/>
      <c r="K42" s="9"/>
      <c r="L42" s="38" t="s">
        <v>89</v>
      </c>
      <c r="M42" s="35">
        <f t="shared" ref="M42" si="33">IF(C42&gt;43607,130000,105000)</f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9535</v>
      </c>
      <c r="C43" s="81">
        <v>43571</v>
      </c>
      <c r="D43" s="9" t="s">
        <v>322</v>
      </c>
      <c r="E43" s="9" t="s">
        <v>467</v>
      </c>
      <c r="F43" s="9"/>
      <c r="G43" s="9"/>
      <c r="H43" s="9"/>
      <c r="I43" s="9"/>
      <c r="J43" s="9"/>
      <c r="K43" s="9"/>
      <c r="L43" s="38" t="s">
        <v>89</v>
      </c>
      <c r="M43" s="35">
        <f t="shared" ref="M43" si="34">IF(C43&gt;43607,130000,105000)</f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6936</v>
      </c>
      <c r="C44" s="81">
        <v>43571</v>
      </c>
      <c r="D44" s="9" t="s">
        <v>322</v>
      </c>
      <c r="E44" s="9" t="s">
        <v>465</v>
      </c>
      <c r="F44" s="9"/>
      <c r="G44" s="9"/>
      <c r="H44" s="9"/>
      <c r="I44" s="9"/>
      <c r="J44" s="9"/>
      <c r="K44" s="9"/>
      <c r="L44" s="38" t="s">
        <v>89</v>
      </c>
      <c r="M44" s="35">
        <f t="shared" ref="M44" si="35">IF(C44&gt;43607,130000,105000)</f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8588</v>
      </c>
      <c r="C45" s="81">
        <v>43571</v>
      </c>
      <c r="D45" s="9" t="s">
        <v>322</v>
      </c>
      <c r="E45" s="9" t="s">
        <v>463</v>
      </c>
      <c r="F45" s="9" t="s">
        <v>130</v>
      </c>
      <c r="G45" s="9" t="s">
        <v>130</v>
      </c>
      <c r="H45" s="9" t="s">
        <v>130</v>
      </c>
      <c r="I45" s="9" t="s">
        <v>130</v>
      </c>
      <c r="J45" s="9" t="s">
        <v>130</v>
      </c>
      <c r="K45" s="9"/>
      <c r="L45" s="38" t="s">
        <v>89</v>
      </c>
      <c r="M45" s="35">
        <f t="shared" ref="M45" si="36">IF(C45&gt;43607,130000,105000)</f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5937</v>
      </c>
      <c r="C46" s="81">
        <v>43572</v>
      </c>
      <c r="D46" s="9" t="s">
        <v>336</v>
      </c>
      <c r="E46" s="9" t="s">
        <v>457</v>
      </c>
      <c r="F46" s="9"/>
      <c r="G46" s="9"/>
      <c r="H46" s="9"/>
      <c r="I46" s="9"/>
      <c r="J46" s="9"/>
      <c r="K46" s="9"/>
      <c r="L46" s="38" t="s">
        <v>336</v>
      </c>
      <c r="M46" s="35">
        <f t="shared" ref="M46" si="37">IF(C46&gt;43607,130000,105000)</f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206</v>
      </c>
      <c r="C47" s="81">
        <v>43572</v>
      </c>
      <c r="D47" s="9" t="s">
        <v>455</v>
      </c>
      <c r="E47" s="9" t="s">
        <v>456</v>
      </c>
      <c r="F47" s="9"/>
      <c r="G47" s="9"/>
      <c r="H47" s="9"/>
      <c r="I47" s="9"/>
      <c r="J47" s="9"/>
      <c r="K47" s="9"/>
      <c r="L47" s="38" t="s">
        <v>336</v>
      </c>
      <c r="M47" s="35">
        <f t="shared" ref="M47" si="38">IF(C47&gt;43607,130000,105000)</f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8879</v>
      </c>
      <c r="C48" s="81">
        <v>43585</v>
      </c>
      <c r="D48" s="9" t="s">
        <v>336</v>
      </c>
      <c r="E48" s="9" t="s">
        <v>451</v>
      </c>
      <c r="F48" s="9"/>
      <c r="G48" s="9"/>
      <c r="H48" s="9"/>
      <c r="I48" s="9"/>
      <c r="J48" s="9"/>
      <c r="K48" s="9"/>
      <c r="L48" s="38" t="s">
        <v>451</v>
      </c>
      <c r="M48" s="35">
        <f t="shared" ref="M48" si="39">IF(C48&gt;43607,130000,105000)</f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1828</v>
      </c>
      <c r="C49" s="81">
        <v>43571</v>
      </c>
      <c r="D49" s="9" t="s">
        <v>336</v>
      </c>
      <c r="E49" s="9" t="s">
        <v>449</v>
      </c>
      <c r="F49" s="9"/>
      <c r="G49" s="9"/>
      <c r="H49" s="9"/>
      <c r="I49" s="9"/>
      <c r="J49" s="9"/>
      <c r="K49" s="9"/>
      <c r="L49" s="38" t="s">
        <v>336</v>
      </c>
      <c r="M49" s="35">
        <f t="shared" ref="M49:M79" si="4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529</v>
      </c>
      <c r="C50" s="81">
        <v>43571</v>
      </c>
      <c r="D50" s="9" t="s">
        <v>336</v>
      </c>
      <c r="E50" s="9" t="s">
        <v>447</v>
      </c>
      <c r="F50" s="9" t="s">
        <v>130</v>
      </c>
      <c r="G50" s="9"/>
      <c r="H50" s="9"/>
      <c r="I50" s="9"/>
      <c r="J50" s="9"/>
      <c r="K50" s="9"/>
      <c r="L50" s="38" t="s">
        <v>336</v>
      </c>
      <c r="M50" s="35">
        <f t="shared" si="40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7865</v>
      </c>
      <c r="C51" s="81">
        <v>43571</v>
      </c>
      <c r="D51" s="9" t="s">
        <v>336</v>
      </c>
      <c r="E51" s="9" t="s">
        <v>445</v>
      </c>
      <c r="F51" s="9" t="s">
        <v>446</v>
      </c>
      <c r="G51" s="9">
        <v>3122575948</v>
      </c>
      <c r="H51" s="9">
        <v>14884194</v>
      </c>
      <c r="I51" s="9" t="s">
        <v>60</v>
      </c>
      <c r="J51" s="9" t="s">
        <v>61</v>
      </c>
      <c r="K51" s="9"/>
      <c r="L51" s="38" t="s">
        <v>336</v>
      </c>
      <c r="M51" s="35">
        <f t="shared" si="40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6729</v>
      </c>
      <c r="C52" s="81">
        <v>43562</v>
      </c>
      <c r="D52" s="9" t="s">
        <v>411</v>
      </c>
      <c r="E52" s="9" t="s">
        <v>443</v>
      </c>
      <c r="F52" s="9"/>
      <c r="G52" s="9"/>
      <c r="H52" s="9"/>
      <c r="I52" s="9"/>
      <c r="J52" s="9"/>
      <c r="K52" s="9"/>
      <c r="L52" s="38" t="s">
        <v>336</v>
      </c>
      <c r="M52" s="35">
        <f t="shared" si="40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7500</v>
      </c>
      <c r="C53" s="81">
        <v>43562</v>
      </c>
      <c r="D53" s="9" t="s">
        <v>411</v>
      </c>
      <c r="E53" s="9" t="s">
        <v>442</v>
      </c>
      <c r="F53" s="9"/>
      <c r="G53" s="9"/>
      <c r="H53" s="9"/>
      <c r="I53" s="9"/>
      <c r="J53" s="9"/>
      <c r="K53" s="9"/>
      <c r="L53" s="38" t="s">
        <v>336</v>
      </c>
      <c r="M53" s="35">
        <f t="shared" si="40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7418</v>
      </c>
      <c r="C54" s="81">
        <v>43563</v>
      </c>
      <c r="D54" s="9" t="s">
        <v>411</v>
      </c>
      <c r="E54" s="9" t="s">
        <v>411</v>
      </c>
      <c r="F54" s="9"/>
      <c r="G54" s="9"/>
      <c r="H54" s="9"/>
      <c r="I54" s="9"/>
      <c r="J54" s="9"/>
      <c r="K54" s="9"/>
      <c r="L54" s="38" t="s">
        <v>336</v>
      </c>
      <c r="M54" s="35">
        <f t="shared" si="40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4122</v>
      </c>
      <c r="C55" s="81">
        <v>43563</v>
      </c>
      <c r="D55" s="9" t="s">
        <v>411</v>
      </c>
      <c r="E55" s="9" t="s">
        <v>441</v>
      </c>
      <c r="F55" s="9"/>
      <c r="G55" s="9"/>
      <c r="H55" s="9"/>
      <c r="I55" s="9"/>
      <c r="J55" s="9"/>
      <c r="K55" s="9"/>
      <c r="L55" s="38" t="s">
        <v>336</v>
      </c>
      <c r="M55" s="35">
        <f t="shared" si="40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8701</v>
      </c>
      <c r="C56" s="81">
        <v>43565</v>
      </c>
      <c r="D56" s="9" t="s">
        <v>411</v>
      </c>
      <c r="E56" s="9" t="s">
        <v>437</v>
      </c>
      <c r="F56" s="9"/>
      <c r="G56" s="9"/>
      <c r="H56" s="9"/>
      <c r="I56" s="9"/>
      <c r="J56" s="9"/>
      <c r="K56" s="9"/>
      <c r="L56" s="38" t="s">
        <v>336</v>
      </c>
      <c r="M56" s="35">
        <f t="shared" si="40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6901</v>
      </c>
      <c r="C57" s="81">
        <v>43562</v>
      </c>
      <c r="D57" s="9" t="s">
        <v>411</v>
      </c>
      <c r="E57" s="9" t="s">
        <v>435</v>
      </c>
      <c r="F57" s="9"/>
      <c r="G57" s="9"/>
      <c r="H57" s="9"/>
      <c r="I57" s="9"/>
      <c r="J57" s="9"/>
      <c r="K57" s="9"/>
      <c r="L57" s="38" t="s">
        <v>336</v>
      </c>
      <c r="M57" s="35">
        <f t="shared" si="40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7451</v>
      </c>
      <c r="C58" s="81">
        <v>43562</v>
      </c>
      <c r="D58" s="9" t="s">
        <v>411</v>
      </c>
      <c r="E58" s="9" t="s">
        <v>433</v>
      </c>
      <c r="F58" s="9"/>
      <c r="G58" s="9"/>
      <c r="H58" s="9"/>
      <c r="I58" s="9"/>
      <c r="J58" s="9"/>
      <c r="K58" s="9"/>
      <c r="L58" s="38" t="s">
        <v>336</v>
      </c>
      <c r="M58" s="35">
        <f t="shared" si="40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220</v>
      </c>
      <c r="C59" s="81">
        <v>43564</v>
      </c>
      <c r="D59" s="9" t="s">
        <v>229</v>
      </c>
      <c r="E59" s="9" t="s">
        <v>250</v>
      </c>
      <c r="F59" s="9"/>
      <c r="G59" s="9"/>
      <c r="H59" s="9"/>
      <c r="I59" s="9"/>
      <c r="J59" s="9"/>
      <c r="K59" s="9"/>
      <c r="L59" s="38" t="s">
        <v>173</v>
      </c>
      <c r="M59" s="35">
        <f t="shared" si="40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264</v>
      </c>
      <c r="C60" s="81">
        <v>43572</v>
      </c>
      <c r="D60" s="9" t="s">
        <v>403</v>
      </c>
      <c r="E60" s="9" t="s">
        <v>406</v>
      </c>
      <c r="F60" s="9"/>
      <c r="G60" s="9"/>
      <c r="H60" s="9"/>
      <c r="I60" s="9"/>
      <c r="J60" s="9"/>
      <c r="K60" s="9"/>
      <c r="L60" s="38" t="s">
        <v>389</v>
      </c>
      <c r="M60" s="35">
        <f t="shared" si="40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285</v>
      </c>
      <c r="C61" s="81">
        <v>43570</v>
      </c>
      <c r="D61" s="9" t="s">
        <v>355</v>
      </c>
      <c r="E61" s="9" t="s">
        <v>353</v>
      </c>
      <c r="F61" s="9"/>
      <c r="G61" s="9"/>
      <c r="H61" s="9"/>
      <c r="I61" s="9"/>
      <c r="J61" s="9"/>
      <c r="K61" s="9"/>
      <c r="L61" s="38" t="s">
        <v>173</v>
      </c>
      <c r="M61" s="35">
        <f t="shared" si="40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469</v>
      </c>
      <c r="C62" s="81">
        <v>43556</v>
      </c>
      <c r="D62" s="9" t="s">
        <v>107</v>
      </c>
      <c r="E62" s="9" t="s">
        <v>107</v>
      </c>
      <c r="F62" s="9" t="s">
        <v>111</v>
      </c>
      <c r="G62" s="9">
        <v>3502502164</v>
      </c>
      <c r="H62" s="9">
        <v>66676699</v>
      </c>
      <c r="I62" s="9" t="s">
        <v>60</v>
      </c>
      <c r="J62" s="9" t="s">
        <v>61</v>
      </c>
      <c r="K62" s="9"/>
      <c r="L62" s="38"/>
      <c r="M62" s="35">
        <f t="shared" si="40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615</v>
      </c>
      <c r="C63" s="81">
        <v>43563</v>
      </c>
      <c r="D63" s="9" t="s">
        <v>89</v>
      </c>
      <c r="E63" s="9" t="s">
        <v>94</v>
      </c>
      <c r="F63" s="9"/>
      <c r="G63" s="9"/>
      <c r="H63" s="9"/>
      <c r="I63" s="9"/>
      <c r="J63" s="9"/>
      <c r="K63" s="9"/>
      <c r="L63" s="38" t="s">
        <v>89</v>
      </c>
      <c r="M63" s="35">
        <f t="shared" si="40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658</v>
      </c>
      <c r="C64" s="81">
        <v>43562</v>
      </c>
      <c r="D64" s="9" t="s">
        <v>200</v>
      </c>
      <c r="E64" s="9" t="s">
        <v>207</v>
      </c>
      <c r="F64" s="9"/>
      <c r="G64" s="9"/>
      <c r="H64" s="9"/>
      <c r="I64" s="9"/>
      <c r="J64" s="9"/>
      <c r="K64" s="9"/>
      <c r="L64" s="38" t="s">
        <v>200</v>
      </c>
      <c r="M64" s="35">
        <f t="shared" si="40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710</v>
      </c>
      <c r="C65" s="81">
        <v>43564</v>
      </c>
      <c r="D65" s="9" t="s">
        <v>229</v>
      </c>
      <c r="E65" s="9" t="s">
        <v>256</v>
      </c>
      <c r="F65" s="9"/>
      <c r="G65" s="9"/>
      <c r="H65" s="9"/>
      <c r="I65" s="9"/>
      <c r="J65" s="9"/>
      <c r="K65" s="9"/>
      <c r="L65" s="38" t="s">
        <v>173</v>
      </c>
      <c r="M65" s="35">
        <f t="shared" si="40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715</v>
      </c>
      <c r="C66" s="81">
        <v>43559</v>
      </c>
      <c r="D66" s="9" t="s">
        <v>171</v>
      </c>
      <c r="E66" s="9" t="s">
        <v>191</v>
      </c>
      <c r="F66" s="9"/>
      <c r="G66" s="9"/>
      <c r="H66" s="9"/>
      <c r="I66" s="9"/>
      <c r="J66" s="9"/>
      <c r="K66" s="9"/>
      <c r="L66" s="38" t="s">
        <v>173</v>
      </c>
      <c r="M66" s="35">
        <f t="shared" si="40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743</v>
      </c>
      <c r="C67" s="81">
        <v>43565</v>
      </c>
      <c r="D67" s="9" t="s">
        <v>281</v>
      </c>
      <c r="E67" s="9" t="s">
        <v>292</v>
      </c>
      <c r="F67" s="9"/>
      <c r="G67" s="9"/>
      <c r="H67" s="9"/>
      <c r="I67" s="9"/>
      <c r="J67" s="9"/>
      <c r="K67" s="9"/>
      <c r="L67" s="38" t="s">
        <v>282</v>
      </c>
      <c r="M67" s="35">
        <f t="shared" si="40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814</v>
      </c>
      <c r="C68" s="81">
        <v>43559</v>
      </c>
      <c r="D68" s="9" t="s">
        <v>281</v>
      </c>
      <c r="E68" s="9" t="s">
        <v>286</v>
      </c>
      <c r="F68" s="9"/>
      <c r="G68" s="9"/>
      <c r="H68" s="9"/>
      <c r="I68" s="9"/>
      <c r="J68" s="9"/>
      <c r="K68" s="9"/>
      <c r="L68" s="38" t="s">
        <v>282</v>
      </c>
      <c r="M68" s="35">
        <f t="shared" si="40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837</v>
      </c>
      <c r="C69" s="81">
        <v>43564</v>
      </c>
      <c r="D69" s="9" t="s">
        <v>229</v>
      </c>
      <c r="E69" s="9" t="s">
        <v>262</v>
      </c>
      <c r="F69" s="9"/>
      <c r="G69" s="9"/>
      <c r="H69" s="9"/>
      <c r="I69" s="9"/>
      <c r="J69" s="9"/>
      <c r="K69" s="9"/>
      <c r="L69" s="38" t="s">
        <v>173</v>
      </c>
      <c r="M69" s="35">
        <f t="shared" si="40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859</v>
      </c>
      <c r="C70" s="81">
        <v>43565</v>
      </c>
      <c r="D70" s="9" t="s">
        <v>281</v>
      </c>
      <c r="E70" s="9" t="s">
        <v>289</v>
      </c>
      <c r="F70" s="9"/>
      <c r="G70" s="9"/>
      <c r="H70" s="9"/>
      <c r="I70" s="9"/>
      <c r="J70" s="9"/>
      <c r="K70" s="9"/>
      <c r="L70" s="38" t="s">
        <v>282</v>
      </c>
      <c r="M70" s="35">
        <f t="shared" si="40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1024</v>
      </c>
      <c r="C71" s="81">
        <v>43558</v>
      </c>
      <c r="D71" s="9" t="s">
        <v>145</v>
      </c>
      <c r="E71" s="9" t="s">
        <v>143</v>
      </c>
      <c r="F71" s="9"/>
      <c r="G71" s="9"/>
      <c r="H71" s="9"/>
      <c r="I71" s="9"/>
      <c r="J71" s="9"/>
      <c r="K71" s="9"/>
      <c r="L71" s="38" t="s">
        <v>119</v>
      </c>
      <c r="M71" s="35">
        <f t="shared" si="40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1111</v>
      </c>
      <c r="C72" s="81">
        <v>43567</v>
      </c>
      <c r="D72" s="9" t="s">
        <v>355</v>
      </c>
      <c r="E72" s="9" t="s">
        <v>362</v>
      </c>
      <c r="F72" s="9"/>
      <c r="G72" s="9"/>
      <c r="H72" s="9"/>
      <c r="I72" s="9"/>
      <c r="J72" s="9"/>
      <c r="K72" s="9"/>
      <c r="L72" s="38" t="s">
        <v>173</v>
      </c>
      <c r="M72" s="35">
        <f t="shared" si="40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1192</v>
      </c>
      <c r="C73" s="81">
        <v>43561</v>
      </c>
      <c r="D73" s="9" t="s">
        <v>65</v>
      </c>
      <c r="E73" s="9" t="s">
        <v>76</v>
      </c>
      <c r="F73" s="9" t="s">
        <v>77</v>
      </c>
      <c r="G73" s="9">
        <v>3117137134</v>
      </c>
      <c r="H73" s="9">
        <v>66682736</v>
      </c>
      <c r="I73" s="9" t="s">
        <v>60</v>
      </c>
      <c r="J73" s="9" t="s">
        <v>61</v>
      </c>
      <c r="K73" s="9" t="s">
        <v>70</v>
      </c>
      <c r="L73" s="38" t="s">
        <v>70</v>
      </c>
      <c r="M73" s="35">
        <f t="shared" si="40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1245</v>
      </c>
      <c r="C74" s="81">
        <v>43561</v>
      </c>
      <c r="D74" s="9" t="s">
        <v>65</v>
      </c>
      <c r="E74" s="9" t="s">
        <v>156</v>
      </c>
      <c r="F74" s="9"/>
      <c r="G74" s="9"/>
      <c r="H74" s="9"/>
      <c r="I74" s="9"/>
      <c r="J74" s="9"/>
      <c r="K74" s="9"/>
      <c r="L74" s="38" t="s">
        <v>119</v>
      </c>
      <c r="M74" s="35">
        <f t="shared" si="40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1282</v>
      </c>
      <c r="C75" s="81">
        <v>43558</v>
      </c>
      <c r="D75" s="9" t="s">
        <v>322</v>
      </c>
      <c r="E75" s="9" t="s">
        <v>322</v>
      </c>
      <c r="F75" s="9"/>
      <c r="G75" s="9"/>
      <c r="H75" s="9"/>
      <c r="I75" s="9" t="s">
        <v>140</v>
      </c>
      <c r="J75" s="9"/>
      <c r="K75" s="9"/>
      <c r="L75" s="38" t="s">
        <v>89</v>
      </c>
      <c r="M75" s="35">
        <f t="shared" si="40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1346</v>
      </c>
      <c r="C76" s="81">
        <v>43559</v>
      </c>
      <c r="D76" s="9" t="s">
        <v>211</v>
      </c>
      <c r="E76" s="9" t="s">
        <v>211</v>
      </c>
      <c r="F76" s="9"/>
      <c r="G76" s="9"/>
      <c r="H76" s="9"/>
      <c r="I76" s="9"/>
      <c r="J76" s="9"/>
      <c r="K76" s="9"/>
      <c r="L76" s="38" t="s">
        <v>173</v>
      </c>
      <c r="M76" s="35">
        <f t="shared" si="40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1347</v>
      </c>
      <c r="C77" s="81">
        <v>43557</v>
      </c>
      <c r="D77" s="9" t="s">
        <v>107</v>
      </c>
      <c r="E77" s="9" t="s">
        <v>114</v>
      </c>
      <c r="F77" s="9" t="s">
        <v>111</v>
      </c>
      <c r="G77" s="9">
        <v>3502502164</v>
      </c>
      <c r="H77" s="9">
        <v>66676699</v>
      </c>
      <c r="I77" s="9" t="s">
        <v>60</v>
      </c>
      <c r="J77" s="9" t="s">
        <v>61</v>
      </c>
      <c r="K77" s="9"/>
      <c r="L77" s="38"/>
      <c r="M77" s="35">
        <f t="shared" si="40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1383</v>
      </c>
      <c r="C78" s="81">
        <v>43561</v>
      </c>
      <c r="D78" s="9" t="s">
        <v>65</v>
      </c>
      <c r="E78" s="9" t="s">
        <v>141</v>
      </c>
      <c r="F78" s="9"/>
      <c r="G78" s="9"/>
      <c r="H78" s="9"/>
      <c r="I78" s="9"/>
      <c r="J78" s="9"/>
      <c r="K78" s="9"/>
      <c r="L78" s="38" t="s">
        <v>119</v>
      </c>
      <c r="M78" s="35">
        <f t="shared" si="40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1411</v>
      </c>
      <c r="C79" s="81">
        <v>43564</v>
      </c>
      <c r="D79" s="9" t="s">
        <v>229</v>
      </c>
      <c r="E79" s="9"/>
      <c r="F79" s="9"/>
      <c r="G79" s="9"/>
      <c r="H79" s="9"/>
      <c r="I79" s="9"/>
      <c r="J79" s="9"/>
      <c r="K79" s="9"/>
      <c r="L79" s="38" t="s">
        <v>173</v>
      </c>
      <c r="M79" s="35">
        <f t="shared" si="40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1574</v>
      </c>
      <c r="C80" s="81">
        <v>43558</v>
      </c>
      <c r="D80" s="9" t="s">
        <v>65</v>
      </c>
      <c r="E80" s="9" t="s">
        <v>131</v>
      </c>
      <c r="F80" s="9"/>
      <c r="G80" s="9"/>
      <c r="H80" s="9"/>
      <c r="I80" s="9"/>
      <c r="J80" s="9"/>
      <c r="K80" s="9"/>
      <c r="L80" s="38" t="s">
        <v>119</v>
      </c>
      <c r="M80" s="35">
        <f t="shared" ref="M80:M111" si="41">IF(C80&gt;43607,130000,105000)</f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1610</v>
      </c>
      <c r="C81" s="81">
        <v>43563</v>
      </c>
      <c r="D81" s="9" t="s">
        <v>89</v>
      </c>
      <c r="E81" s="9" t="s">
        <v>90</v>
      </c>
      <c r="F81" s="9"/>
      <c r="G81" s="9"/>
      <c r="H81" s="9"/>
      <c r="I81" s="9"/>
      <c r="J81" s="9"/>
      <c r="K81" s="9"/>
      <c r="L81" s="38" t="s">
        <v>89</v>
      </c>
      <c r="M81" s="35">
        <f t="shared" si="41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1610</v>
      </c>
      <c r="C82" s="81">
        <v>43563</v>
      </c>
      <c r="D82" s="9" t="s">
        <v>89</v>
      </c>
      <c r="E82" s="9" t="s">
        <v>90</v>
      </c>
      <c r="F82" s="9"/>
      <c r="G82" s="9"/>
      <c r="H82" s="9"/>
      <c r="I82" s="9"/>
      <c r="J82" s="9"/>
      <c r="K82" s="9"/>
      <c r="L82" s="38" t="s">
        <v>89</v>
      </c>
      <c r="M82" s="35">
        <f t="shared" si="41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1635</v>
      </c>
      <c r="C83" s="81">
        <v>43559</v>
      </c>
      <c r="D83" s="9" t="s">
        <v>65</v>
      </c>
      <c r="E83" s="9" t="s">
        <v>65</v>
      </c>
      <c r="F83" s="9" t="s">
        <v>125</v>
      </c>
      <c r="G83" s="9">
        <v>3117137134</v>
      </c>
      <c r="H83" s="9">
        <v>66682736</v>
      </c>
      <c r="I83" s="9" t="s">
        <v>60</v>
      </c>
      <c r="J83" s="9" t="s">
        <v>61</v>
      </c>
      <c r="K83" s="9"/>
      <c r="L83" s="38" t="s">
        <v>119</v>
      </c>
      <c r="M83" s="35">
        <f t="shared" si="41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1720</v>
      </c>
      <c r="C84" s="81">
        <v>43560</v>
      </c>
      <c r="D84" s="9" t="s">
        <v>211</v>
      </c>
      <c r="E84" s="9" t="s">
        <v>223</v>
      </c>
      <c r="F84" s="9"/>
      <c r="G84" s="9"/>
      <c r="H84" s="9"/>
      <c r="I84" s="9"/>
      <c r="J84" s="9"/>
      <c r="K84" s="9"/>
      <c r="L84" s="38" t="s">
        <v>173</v>
      </c>
      <c r="M84" s="35">
        <f t="shared" si="41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1867</v>
      </c>
      <c r="C85" s="81">
        <v>43567</v>
      </c>
      <c r="D85" s="9" t="s">
        <v>87</v>
      </c>
      <c r="E85" s="9" t="s">
        <v>318</v>
      </c>
      <c r="F85" s="9"/>
      <c r="G85" s="9"/>
      <c r="H85" s="9"/>
      <c r="I85" s="9"/>
      <c r="J85" s="9"/>
      <c r="K85" s="9"/>
      <c r="L85" s="38" t="s">
        <v>89</v>
      </c>
      <c r="M85" s="35">
        <f t="shared" si="41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1944</v>
      </c>
      <c r="C86" s="81">
        <v>43564</v>
      </c>
      <c r="D86" s="9" t="s">
        <v>87</v>
      </c>
      <c r="E86" s="9" t="s">
        <v>87</v>
      </c>
      <c r="F86" s="9" t="s">
        <v>88</v>
      </c>
      <c r="G86" s="9">
        <v>3148978584</v>
      </c>
      <c r="H86" s="9">
        <v>17118304</v>
      </c>
      <c r="I86" s="9" t="s">
        <v>60</v>
      </c>
      <c r="J86" s="9" t="s">
        <v>61</v>
      </c>
      <c r="K86" s="9"/>
      <c r="L86" s="38" t="s">
        <v>89</v>
      </c>
      <c r="M86" s="35">
        <f t="shared" si="41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1958</v>
      </c>
      <c r="C87" s="81">
        <v>43564</v>
      </c>
      <c r="D87" s="9" t="s">
        <v>229</v>
      </c>
      <c r="E87" s="9" t="s">
        <v>232</v>
      </c>
      <c r="F87" s="9"/>
      <c r="G87" s="9"/>
      <c r="H87" s="9"/>
      <c r="I87" s="9"/>
      <c r="J87" s="9"/>
      <c r="K87" s="9"/>
      <c r="L87" s="38" t="s">
        <v>173</v>
      </c>
      <c r="M87" s="35">
        <f t="shared" si="41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1965</v>
      </c>
      <c r="C88" s="81">
        <v>43561</v>
      </c>
      <c r="D88" s="9" t="s">
        <v>65</v>
      </c>
      <c r="E88" s="9" t="s">
        <v>68</v>
      </c>
      <c r="F88" s="9" t="s">
        <v>71</v>
      </c>
      <c r="G88" s="9">
        <v>3117137134</v>
      </c>
      <c r="H88" s="9">
        <v>66682736</v>
      </c>
      <c r="I88" s="9" t="s">
        <v>60</v>
      </c>
      <c r="J88" s="9" t="s">
        <v>61</v>
      </c>
      <c r="K88" s="9" t="s">
        <v>70</v>
      </c>
      <c r="L88" s="38" t="s">
        <v>70</v>
      </c>
      <c r="M88" s="35">
        <f t="shared" si="41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1981</v>
      </c>
      <c r="C89" s="81">
        <v>43556</v>
      </c>
      <c r="D89" s="9" t="s">
        <v>65</v>
      </c>
      <c r="E89" s="9" t="s">
        <v>148</v>
      </c>
      <c r="F89" s="9"/>
      <c r="G89" s="9"/>
      <c r="H89" s="9"/>
      <c r="I89" s="9"/>
      <c r="J89" s="9"/>
      <c r="K89" s="9"/>
      <c r="L89" s="38" t="s">
        <v>119</v>
      </c>
      <c r="M89" s="35">
        <f t="shared" si="41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1985</v>
      </c>
      <c r="C90" s="81">
        <v>43559</v>
      </c>
      <c r="D90" s="9" t="s">
        <v>65</v>
      </c>
      <c r="E90" s="9" t="s">
        <v>123</v>
      </c>
      <c r="F90" s="9"/>
      <c r="G90" s="9"/>
      <c r="H90" s="9"/>
      <c r="I90" s="9"/>
      <c r="J90" s="9"/>
      <c r="K90" s="9"/>
      <c r="L90" s="38" t="s">
        <v>119</v>
      </c>
      <c r="M90" s="35">
        <f t="shared" si="41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2308</v>
      </c>
      <c r="C91" s="81">
        <v>43564</v>
      </c>
      <c r="D91" s="9" t="s">
        <v>229</v>
      </c>
      <c r="E91" s="9" t="s">
        <v>246</v>
      </c>
      <c r="F91" s="9"/>
      <c r="G91" s="9"/>
      <c r="H91" s="9"/>
      <c r="I91" s="9"/>
      <c r="J91" s="9"/>
      <c r="K91" s="9"/>
      <c r="L91" s="38" t="s">
        <v>173</v>
      </c>
      <c r="M91" s="35">
        <f t="shared" si="41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2317</v>
      </c>
      <c r="C92" s="81">
        <v>43560</v>
      </c>
      <c r="D92" s="9" t="s">
        <v>211</v>
      </c>
      <c r="E92" s="9" t="s">
        <v>217</v>
      </c>
      <c r="F92" s="9"/>
      <c r="G92" s="9"/>
      <c r="H92" s="9"/>
      <c r="I92" s="9"/>
      <c r="J92" s="9"/>
      <c r="K92" s="9"/>
      <c r="L92" s="38" t="s">
        <v>173</v>
      </c>
      <c r="M92" s="35">
        <f t="shared" si="41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2318</v>
      </c>
      <c r="C93" s="81">
        <v>43564</v>
      </c>
      <c r="D93" s="9" t="s">
        <v>229</v>
      </c>
      <c r="E93" s="9" t="s">
        <v>266</v>
      </c>
      <c r="F93" s="9"/>
      <c r="G93" s="9"/>
      <c r="H93" s="9"/>
      <c r="I93" s="9"/>
      <c r="J93" s="9"/>
      <c r="K93" s="9"/>
      <c r="L93" s="38" t="s">
        <v>173</v>
      </c>
      <c r="M93" s="35">
        <f t="shared" si="41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2319</v>
      </c>
      <c r="C94" s="81">
        <v>43564</v>
      </c>
      <c r="D94" s="9" t="s">
        <v>229</v>
      </c>
      <c r="E94" s="9" t="s">
        <v>239</v>
      </c>
      <c r="F94" s="9"/>
      <c r="G94" s="9"/>
      <c r="H94" s="9"/>
      <c r="I94" s="9"/>
      <c r="J94" s="9"/>
      <c r="K94" s="9"/>
      <c r="L94" s="38" t="s">
        <v>173</v>
      </c>
      <c r="M94" s="35">
        <f t="shared" si="41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2341</v>
      </c>
      <c r="C95" s="81">
        <v>43564</v>
      </c>
      <c r="D95" s="9" t="s">
        <v>229</v>
      </c>
      <c r="E95" s="9" t="s">
        <v>273</v>
      </c>
      <c r="F95" s="9"/>
      <c r="G95" s="9"/>
      <c r="H95" s="9"/>
      <c r="I95" s="9"/>
      <c r="J95" s="9"/>
      <c r="K95" s="9"/>
      <c r="L95" s="38" t="s">
        <v>173</v>
      </c>
      <c r="M95" s="35">
        <f t="shared" si="41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2345</v>
      </c>
      <c r="C96" s="81">
        <v>43571</v>
      </c>
      <c r="D96" s="9" t="s">
        <v>338</v>
      </c>
      <c r="E96" s="9" t="s">
        <v>379</v>
      </c>
      <c r="F96" s="9"/>
      <c r="G96" s="9"/>
      <c r="H96" s="9"/>
      <c r="I96" s="9"/>
      <c r="J96" s="9"/>
      <c r="K96" s="9"/>
      <c r="L96" s="38" t="s">
        <v>336</v>
      </c>
      <c r="M96" s="35">
        <f t="shared" si="41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2352</v>
      </c>
      <c r="C97" s="81">
        <v>43565</v>
      </c>
      <c r="D97" s="9" t="s">
        <v>281</v>
      </c>
      <c r="E97" s="9" t="s">
        <v>281</v>
      </c>
      <c r="F97" s="9"/>
      <c r="G97" s="9"/>
      <c r="H97" s="9"/>
      <c r="I97" s="9"/>
      <c r="J97" s="9"/>
      <c r="K97" s="9"/>
      <c r="L97" s="38" t="s">
        <v>282</v>
      </c>
      <c r="M97" s="35">
        <f t="shared" si="41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2370</v>
      </c>
      <c r="C98" s="81">
        <v>43565</v>
      </c>
      <c r="D98" s="9" t="s">
        <v>281</v>
      </c>
      <c r="E98" s="9" t="s">
        <v>294</v>
      </c>
      <c r="F98" s="9"/>
      <c r="G98" s="9"/>
      <c r="H98" s="9"/>
      <c r="I98" s="9"/>
      <c r="J98" s="9"/>
      <c r="K98" s="9"/>
      <c r="L98" s="38" t="s">
        <v>296</v>
      </c>
      <c r="M98" s="35">
        <f t="shared" si="41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2372</v>
      </c>
      <c r="C99" s="81">
        <v>43571</v>
      </c>
      <c r="D99" s="9" t="s">
        <v>345</v>
      </c>
      <c r="E99" s="9" t="s">
        <v>361</v>
      </c>
      <c r="F99" s="9"/>
      <c r="G99" s="9"/>
      <c r="H99" s="9"/>
      <c r="I99" s="9"/>
      <c r="J99" s="9"/>
      <c r="K99" s="9"/>
      <c r="L99" s="38" t="s">
        <v>345</v>
      </c>
      <c r="M99" s="35">
        <f t="shared" si="41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2453</v>
      </c>
      <c r="C100" s="81">
        <v>43561</v>
      </c>
      <c r="D100" s="9" t="s">
        <v>65</v>
      </c>
      <c r="E100" s="9" t="s">
        <v>136</v>
      </c>
      <c r="F100" s="9"/>
      <c r="G100" s="9"/>
      <c r="H100" s="9"/>
      <c r="I100" s="9"/>
      <c r="J100" s="9"/>
      <c r="K100" s="9"/>
      <c r="L100" s="38" t="s">
        <v>119</v>
      </c>
      <c r="M100" s="35">
        <f t="shared" si="41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2475</v>
      </c>
      <c r="C101" s="81">
        <v>43564</v>
      </c>
      <c r="D101" s="9" t="s">
        <v>229</v>
      </c>
      <c r="E101" s="9" t="s">
        <v>261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41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2563</v>
      </c>
      <c r="C102" s="81">
        <v>43569</v>
      </c>
      <c r="D102" s="9" t="s">
        <v>355</v>
      </c>
      <c r="E102" s="9" t="s">
        <v>370</v>
      </c>
      <c r="F102" s="9"/>
      <c r="G102" s="9"/>
      <c r="H102" s="9"/>
      <c r="I102" s="9"/>
      <c r="J102" s="9"/>
      <c r="K102" s="9"/>
      <c r="L102" s="38" t="s">
        <v>173</v>
      </c>
      <c r="M102" s="35">
        <f t="shared" si="41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2613</v>
      </c>
      <c r="C103" s="81">
        <v>43560</v>
      </c>
      <c r="D103" s="9" t="s">
        <v>211</v>
      </c>
      <c r="E103" s="9" t="s">
        <v>220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41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2629</v>
      </c>
      <c r="C104" s="81">
        <v>43571</v>
      </c>
      <c r="D104" s="9" t="s">
        <v>87</v>
      </c>
      <c r="E104" s="9" t="s">
        <v>397</v>
      </c>
      <c r="F104" s="9"/>
      <c r="G104" s="9"/>
      <c r="H104" s="9"/>
      <c r="I104" s="9"/>
      <c r="J104" s="9"/>
      <c r="K104" s="9"/>
      <c r="L104" s="38" t="s">
        <v>89</v>
      </c>
      <c r="M104" s="35">
        <f t="shared" si="41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2707</v>
      </c>
      <c r="C105" s="81">
        <v>43558</v>
      </c>
      <c r="D105" s="9" t="s">
        <v>322</v>
      </c>
      <c r="E105" s="9" t="s">
        <v>322</v>
      </c>
      <c r="F105" s="9"/>
      <c r="G105" s="9"/>
      <c r="H105" s="9"/>
      <c r="I105" s="9"/>
      <c r="J105" s="9"/>
      <c r="K105" s="9"/>
      <c r="L105" s="38" t="s">
        <v>89</v>
      </c>
      <c r="M105" s="35">
        <f t="shared" si="41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2708</v>
      </c>
      <c r="C106" s="81">
        <v>43564</v>
      </c>
      <c r="D106" s="9" t="s">
        <v>229</v>
      </c>
      <c r="E106" s="9" t="s">
        <v>268</v>
      </c>
      <c r="F106" s="9"/>
      <c r="G106" s="9"/>
      <c r="H106" s="9"/>
      <c r="I106" s="9"/>
      <c r="J106" s="9"/>
      <c r="K106" s="9"/>
      <c r="L106" s="38" t="s">
        <v>173</v>
      </c>
      <c r="M106" s="35">
        <f t="shared" si="41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2719</v>
      </c>
      <c r="C107" s="81">
        <v>43564</v>
      </c>
      <c r="D107" s="9" t="s">
        <v>99</v>
      </c>
      <c r="E107" s="9" t="s">
        <v>104</v>
      </c>
      <c r="F107" s="9" t="s">
        <v>100</v>
      </c>
      <c r="G107" s="9">
        <v>3173706957</v>
      </c>
      <c r="H107" s="9">
        <v>66682297</v>
      </c>
      <c r="I107" s="9" t="s">
        <v>60</v>
      </c>
      <c r="J107" s="9" t="s">
        <v>61</v>
      </c>
      <c r="K107" s="9"/>
      <c r="L107" s="38" t="s">
        <v>99</v>
      </c>
      <c r="M107" s="35">
        <f t="shared" si="41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2751</v>
      </c>
      <c r="C108" s="81">
        <v>43565</v>
      </c>
      <c r="D108" s="9" t="s">
        <v>281</v>
      </c>
      <c r="E108" s="9" t="s">
        <v>302</v>
      </c>
      <c r="F108" s="9"/>
      <c r="G108" s="9"/>
      <c r="H108" s="9"/>
      <c r="I108" s="9"/>
      <c r="J108" s="9"/>
      <c r="K108" s="9"/>
      <c r="L108" s="38" t="s">
        <v>282</v>
      </c>
      <c r="M108" s="35">
        <f t="shared" si="41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2800</v>
      </c>
      <c r="C109" s="81">
        <v>43565</v>
      </c>
      <c r="D109" s="9" t="s">
        <v>281</v>
      </c>
      <c r="E109" s="9" t="s">
        <v>307</v>
      </c>
      <c r="F109" s="9"/>
      <c r="G109" s="9"/>
      <c r="H109" s="9"/>
      <c r="I109" s="9"/>
      <c r="J109" s="9"/>
      <c r="K109" s="9"/>
      <c r="L109" s="38" t="s">
        <v>282</v>
      </c>
      <c r="M109" s="35">
        <f t="shared" si="41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2967</v>
      </c>
      <c r="C110" s="81">
        <v>43562</v>
      </c>
      <c r="D110" s="9" t="s">
        <v>200</v>
      </c>
      <c r="E110" s="9" t="s">
        <v>165</v>
      </c>
      <c r="F110" s="9"/>
      <c r="G110" s="9"/>
      <c r="H110" s="9"/>
      <c r="I110" s="9"/>
      <c r="J110" s="9"/>
      <c r="K110" s="9"/>
      <c r="L110" s="38" t="s">
        <v>200</v>
      </c>
      <c r="M110" s="35">
        <f t="shared" si="41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3105</v>
      </c>
      <c r="C111" s="81">
        <v>43559</v>
      </c>
      <c r="D111" s="9" t="s">
        <v>171</v>
      </c>
      <c r="E111" s="9" t="s">
        <v>182</v>
      </c>
      <c r="F111" s="9" t="s">
        <v>185</v>
      </c>
      <c r="G111" s="9">
        <v>3148741297</v>
      </c>
      <c r="H111" s="9"/>
      <c r="I111" s="9" t="s">
        <v>60</v>
      </c>
      <c r="J111" s="9"/>
      <c r="K111" s="9"/>
      <c r="L111" s="38" t="s">
        <v>173</v>
      </c>
      <c r="M111" s="35">
        <f t="shared" si="41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3108</v>
      </c>
      <c r="C112" s="81">
        <v>43567</v>
      </c>
      <c r="D112" s="9" t="s">
        <v>99</v>
      </c>
      <c r="E112" s="9" t="s">
        <v>330</v>
      </c>
      <c r="F112" s="9" t="s">
        <v>130</v>
      </c>
      <c r="G112" s="9" t="s">
        <v>130</v>
      </c>
      <c r="H112" s="9"/>
      <c r="I112" s="9"/>
      <c r="J112" s="9"/>
      <c r="K112" s="9"/>
      <c r="L112" s="38" t="s">
        <v>99</v>
      </c>
      <c r="M112" s="35">
        <f t="shared" ref="M112:M143" si="42">IF(C112&gt;43607,130000,105000)</f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3118</v>
      </c>
      <c r="C113" s="81">
        <v>43558</v>
      </c>
      <c r="D113" s="9" t="s">
        <v>322</v>
      </c>
      <c r="E113" s="9" t="s">
        <v>322</v>
      </c>
      <c r="F113" s="9"/>
      <c r="G113" s="9"/>
      <c r="H113" s="9"/>
      <c r="I113" s="9"/>
      <c r="J113" s="9"/>
      <c r="K113" s="9"/>
      <c r="L113" s="38" t="s">
        <v>89</v>
      </c>
      <c r="M113" s="35">
        <f t="shared" si="42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3345</v>
      </c>
      <c r="C114" s="81">
        <v>43560</v>
      </c>
      <c r="D114" s="9" t="s">
        <v>211</v>
      </c>
      <c r="E114" s="9" t="s">
        <v>213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2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3371</v>
      </c>
      <c r="C115" s="81">
        <v>43567</v>
      </c>
      <c r="D115" s="9" t="s">
        <v>411</v>
      </c>
      <c r="E115" s="9" t="s">
        <v>421</v>
      </c>
      <c r="F115" s="9"/>
      <c r="G115" s="9"/>
      <c r="H115" s="9"/>
      <c r="I115" s="9"/>
      <c r="J115" s="9"/>
      <c r="K115" s="9"/>
      <c r="L115" s="38" t="s">
        <v>336</v>
      </c>
      <c r="M115" s="35">
        <f t="shared" si="42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3413</v>
      </c>
      <c r="C116" s="81">
        <v>43558</v>
      </c>
      <c r="D116" s="9" t="s">
        <v>322</v>
      </c>
      <c r="E116" s="9" t="s">
        <v>322</v>
      </c>
      <c r="F116" s="9"/>
      <c r="G116" s="9"/>
      <c r="H116" s="9"/>
      <c r="I116" s="9"/>
      <c r="J116" s="9"/>
      <c r="K116" s="9"/>
      <c r="L116" s="38" t="s">
        <v>89</v>
      </c>
      <c r="M116" s="35">
        <f t="shared" si="42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3423</v>
      </c>
      <c r="C117" s="81">
        <v>43563</v>
      </c>
      <c r="D117" s="9" t="s">
        <v>411</v>
      </c>
      <c r="E117" s="9" t="s">
        <v>431</v>
      </c>
      <c r="F117" s="9" t="s">
        <v>432</v>
      </c>
      <c r="G117" s="9">
        <v>3206764101</v>
      </c>
      <c r="H117" s="9">
        <v>94229960</v>
      </c>
      <c r="I117" s="9" t="s">
        <v>60</v>
      </c>
      <c r="J117" s="9" t="s">
        <v>61</v>
      </c>
      <c r="K117" s="9"/>
      <c r="L117" s="38" t="s">
        <v>336</v>
      </c>
      <c r="M117" s="35">
        <f t="shared" si="42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3612</v>
      </c>
      <c r="C118" s="81">
        <v>43558</v>
      </c>
      <c r="D118" s="9" t="s">
        <v>322</v>
      </c>
      <c r="E118" s="9" t="s">
        <v>322</v>
      </c>
      <c r="F118" s="9"/>
      <c r="G118" s="9"/>
      <c r="H118" s="9"/>
      <c r="I118" s="9"/>
      <c r="J118" s="9"/>
      <c r="K118" s="9"/>
      <c r="L118" s="38" t="s">
        <v>89</v>
      </c>
      <c r="M118" s="35">
        <f t="shared" si="42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3921</v>
      </c>
      <c r="C119" s="81">
        <v>43564</v>
      </c>
      <c r="D119" s="9" t="s">
        <v>229</v>
      </c>
      <c r="E119" s="9" t="s">
        <v>248</v>
      </c>
      <c r="F119" s="9"/>
      <c r="G119" s="9"/>
      <c r="H119" s="9"/>
      <c r="I119" s="9"/>
      <c r="J119" s="9"/>
      <c r="K119" s="9"/>
      <c r="L119" s="38" t="s">
        <v>173</v>
      </c>
      <c r="M119" s="35">
        <f t="shared" si="42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4273</v>
      </c>
      <c r="C120" s="81">
        <v>43571</v>
      </c>
      <c r="D120" s="9" t="s">
        <v>345</v>
      </c>
      <c r="E120" s="9" t="s">
        <v>358</v>
      </c>
      <c r="F120" s="9"/>
      <c r="G120" s="9"/>
      <c r="H120" s="9"/>
      <c r="I120" s="9"/>
      <c r="J120" s="9"/>
      <c r="K120" s="9"/>
      <c r="L120" s="38" t="s">
        <v>345</v>
      </c>
      <c r="M120" s="35">
        <f t="shared" si="42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4334</v>
      </c>
      <c r="C121" s="81">
        <v>43564</v>
      </c>
      <c r="D121" s="9" t="s">
        <v>229</v>
      </c>
      <c r="E121" s="9" t="s">
        <v>275</v>
      </c>
      <c r="F121" s="9"/>
      <c r="G121" s="9"/>
      <c r="H121" s="9"/>
      <c r="I121" s="9"/>
      <c r="J121" s="9"/>
      <c r="K121" s="9"/>
      <c r="L121" s="38" t="s">
        <v>173</v>
      </c>
      <c r="M121" s="35">
        <f t="shared" si="42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4418</v>
      </c>
      <c r="C122" s="81">
        <v>43557</v>
      </c>
      <c r="D122" s="9" t="s">
        <v>107</v>
      </c>
      <c r="E122" s="9" t="s">
        <v>112</v>
      </c>
      <c r="F122" s="9" t="s">
        <v>106</v>
      </c>
      <c r="G122" s="9">
        <v>3502502164</v>
      </c>
      <c r="H122" s="9">
        <v>66676699</v>
      </c>
      <c r="I122" s="9" t="s">
        <v>60</v>
      </c>
      <c r="J122" s="9" t="s">
        <v>61</v>
      </c>
      <c r="K122" s="9"/>
      <c r="L122" s="38"/>
      <c r="M122" s="35">
        <f t="shared" si="42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4527</v>
      </c>
      <c r="C123" s="81">
        <v>43569</v>
      </c>
      <c r="D123" s="9" t="s">
        <v>345</v>
      </c>
      <c r="E123" s="9" t="s">
        <v>350</v>
      </c>
      <c r="F123" s="9"/>
      <c r="G123" s="9"/>
      <c r="H123" s="9"/>
      <c r="I123" s="9"/>
      <c r="J123" s="9"/>
      <c r="K123" s="9"/>
      <c r="L123" s="38" t="s">
        <v>345</v>
      </c>
      <c r="M123" s="35">
        <f t="shared" si="42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4580</v>
      </c>
      <c r="C124" s="81">
        <v>43565</v>
      </c>
      <c r="D124" s="9" t="s">
        <v>87</v>
      </c>
      <c r="E124" s="9" t="s">
        <v>165</v>
      </c>
      <c r="F124" s="9" t="s">
        <v>162</v>
      </c>
      <c r="G124" s="9">
        <v>3148978584</v>
      </c>
      <c r="H124" s="9">
        <v>17118304</v>
      </c>
      <c r="I124" s="9" t="s">
        <v>60</v>
      </c>
      <c r="J124" s="9" t="s">
        <v>61</v>
      </c>
      <c r="K124" s="9"/>
      <c r="L124" s="38" t="s">
        <v>89</v>
      </c>
      <c r="M124" s="35">
        <f t="shared" si="42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4757</v>
      </c>
      <c r="C125" s="81">
        <v>43565</v>
      </c>
      <c r="D125" s="9" t="s">
        <v>281</v>
      </c>
      <c r="E125" s="9" t="s">
        <v>313</v>
      </c>
      <c r="F125" s="9"/>
      <c r="G125" s="9"/>
      <c r="H125" s="9"/>
      <c r="I125" s="9"/>
      <c r="J125" s="9"/>
      <c r="K125" s="9"/>
      <c r="L125" s="38" t="s">
        <v>282</v>
      </c>
      <c r="M125" s="35">
        <f t="shared" si="42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4817</v>
      </c>
      <c r="C126" s="81">
        <v>43553</v>
      </c>
      <c r="D126" s="9" t="s">
        <v>107</v>
      </c>
      <c r="E126" s="9" t="s">
        <v>109</v>
      </c>
      <c r="F126" s="9" t="s">
        <v>106</v>
      </c>
      <c r="G126" s="9">
        <v>3502502164</v>
      </c>
      <c r="H126" s="9">
        <v>66676699</v>
      </c>
      <c r="I126" s="9" t="s">
        <v>60</v>
      </c>
      <c r="J126" s="9" t="s">
        <v>61</v>
      </c>
      <c r="K126" s="9"/>
      <c r="L126" s="38"/>
      <c r="M126" s="35">
        <f t="shared" si="42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4852</v>
      </c>
      <c r="C127" s="81">
        <v>43559</v>
      </c>
      <c r="D127" s="9" t="s">
        <v>281</v>
      </c>
      <c r="E127" s="9" t="s">
        <v>283</v>
      </c>
      <c r="F127" s="9"/>
      <c r="G127" s="9"/>
      <c r="H127" s="9"/>
      <c r="I127" s="9"/>
      <c r="J127" s="9"/>
      <c r="K127" s="9"/>
      <c r="L127" s="38" t="s">
        <v>282</v>
      </c>
      <c r="M127" s="35">
        <f t="shared" si="42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4899</v>
      </c>
      <c r="C128" s="81">
        <v>43564</v>
      </c>
      <c r="D128" s="9" t="s">
        <v>82</v>
      </c>
      <c r="E128" s="9" t="s">
        <v>83</v>
      </c>
      <c r="F128" s="9" t="s">
        <v>84</v>
      </c>
      <c r="G128" s="9" t="s">
        <v>81</v>
      </c>
      <c r="H128" s="9">
        <v>10875555488</v>
      </c>
      <c r="I128" s="9" t="s">
        <v>60</v>
      </c>
      <c r="J128" s="9" t="s">
        <v>61</v>
      </c>
      <c r="K128" s="9"/>
      <c r="L128" s="38" t="s">
        <v>82</v>
      </c>
      <c r="M128" s="35">
        <f t="shared" si="42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4978</v>
      </c>
      <c r="C129" s="81">
        <v>43565</v>
      </c>
      <c r="D129" s="9" t="s">
        <v>200</v>
      </c>
      <c r="E129" s="9" t="s">
        <v>202</v>
      </c>
      <c r="F129" s="9" t="s">
        <v>203</v>
      </c>
      <c r="G129" s="9"/>
      <c r="H129" s="9"/>
      <c r="I129" s="9"/>
      <c r="J129" s="9"/>
      <c r="K129" s="9"/>
      <c r="L129" s="38" t="s">
        <v>200</v>
      </c>
      <c r="M129" s="35">
        <f t="shared" si="42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4988</v>
      </c>
      <c r="C130" s="81">
        <v>43560</v>
      </c>
      <c r="D130" s="9" t="s">
        <v>65</v>
      </c>
      <c r="E130" s="9" t="s">
        <v>152</v>
      </c>
      <c r="F130" s="9"/>
      <c r="G130" s="9"/>
      <c r="H130" s="9"/>
      <c r="I130" s="9"/>
      <c r="J130" s="9"/>
      <c r="K130" s="9"/>
      <c r="L130" s="38" t="s">
        <v>119</v>
      </c>
      <c r="M130" s="35">
        <f t="shared" si="42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5519</v>
      </c>
      <c r="C131" s="81">
        <v>43564</v>
      </c>
      <c r="D131" s="9" t="s">
        <v>229</v>
      </c>
      <c r="E131" s="9" t="s">
        <v>235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2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5550</v>
      </c>
      <c r="C132" s="81">
        <v>43564</v>
      </c>
      <c r="D132" s="9" t="s">
        <v>229</v>
      </c>
      <c r="E132" s="9" t="s">
        <v>242</v>
      </c>
      <c r="F132" s="9"/>
      <c r="G132" s="9"/>
      <c r="H132" s="9"/>
      <c r="I132" s="9"/>
      <c r="J132" s="9"/>
      <c r="K132" s="9"/>
      <c r="L132" s="38" t="s">
        <v>173</v>
      </c>
      <c r="M132" s="35">
        <f t="shared" si="42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5621</v>
      </c>
      <c r="C133" s="81">
        <v>43555</v>
      </c>
      <c r="D133" s="9" t="s">
        <v>403</v>
      </c>
      <c r="E133" s="9" t="s">
        <v>404</v>
      </c>
      <c r="F133" s="9"/>
      <c r="G133" s="9"/>
      <c r="H133" s="9"/>
      <c r="I133" s="9"/>
      <c r="J133" s="9"/>
      <c r="K133" s="9"/>
      <c r="L133" s="38" t="s">
        <v>389</v>
      </c>
      <c r="M133" s="35">
        <f t="shared" si="42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5647</v>
      </c>
      <c r="C134" s="81">
        <v>43564</v>
      </c>
      <c r="D134" s="9" t="s">
        <v>229</v>
      </c>
      <c r="E134" s="9" t="s">
        <v>244</v>
      </c>
      <c r="F134" s="9"/>
      <c r="G134" s="9"/>
      <c r="H134" s="9"/>
      <c r="I134" s="9"/>
      <c r="J134" s="9"/>
      <c r="K134" s="9"/>
      <c r="L134" s="38" t="s">
        <v>173</v>
      </c>
      <c r="M134" s="35">
        <f t="shared" si="42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5649</v>
      </c>
      <c r="C135" s="81">
        <v>43570</v>
      </c>
      <c r="D135" s="9" t="s">
        <v>411</v>
      </c>
      <c r="E135" s="9" t="s">
        <v>427</v>
      </c>
      <c r="F135" s="9"/>
      <c r="G135" s="9"/>
      <c r="H135" s="9"/>
      <c r="I135" s="9"/>
      <c r="J135" s="9"/>
      <c r="K135" s="9"/>
      <c r="L135" s="38" t="s">
        <v>336</v>
      </c>
      <c r="M135" s="35">
        <f t="shared" si="42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5714</v>
      </c>
      <c r="C136" s="81">
        <v>43572</v>
      </c>
      <c r="D136" s="9" t="s">
        <v>403</v>
      </c>
      <c r="E136" s="9" t="s">
        <v>405</v>
      </c>
      <c r="F136" s="9"/>
      <c r="G136" s="9"/>
      <c r="H136" s="9"/>
      <c r="I136" s="9"/>
      <c r="J136" s="9"/>
      <c r="K136" s="9"/>
      <c r="L136" s="38" t="s">
        <v>389</v>
      </c>
      <c r="M136" s="35">
        <f t="shared" si="42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5817</v>
      </c>
      <c r="C137" s="81">
        <v>43556</v>
      </c>
      <c r="D137" s="9" t="s">
        <v>107</v>
      </c>
      <c r="E137" s="9" t="s">
        <v>105</v>
      </c>
      <c r="F137" s="9" t="s">
        <v>108</v>
      </c>
      <c r="G137" s="9"/>
      <c r="H137" s="9">
        <v>66676699</v>
      </c>
      <c r="I137" s="9" t="s">
        <v>60</v>
      </c>
      <c r="J137" s="9" t="s">
        <v>61</v>
      </c>
      <c r="K137" s="9"/>
      <c r="L137" s="38"/>
      <c r="M137" s="35">
        <f t="shared" si="42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6041</v>
      </c>
      <c r="C138" s="81">
        <v>43566</v>
      </c>
      <c r="D138" s="9" t="s">
        <v>173</v>
      </c>
      <c r="E138" s="9" t="s">
        <v>398</v>
      </c>
      <c r="F138" s="9"/>
      <c r="G138" s="9"/>
      <c r="H138" s="9"/>
      <c r="I138" s="9"/>
      <c r="J138" s="9"/>
      <c r="K138" s="9"/>
      <c r="L138" s="38" t="s">
        <v>173</v>
      </c>
      <c r="M138" s="35">
        <f t="shared" si="42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6127</v>
      </c>
      <c r="C139" s="81">
        <v>43570</v>
      </c>
      <c r="D139" s="9" t="s">
        <v>355</v>
      </c>
      <c r="E139" s="9" t="s">
        <v>356</v>
      </c>
      <c r="F139" s="9"/>
      <c r="G139" s="9"/>
      <c r="H139" s="9"/>
      <c r="I139" s="9"/>
      <c r="J139" s="9"/>
      <c r="K139" s="9"/>
      <c r="L139" s="38" t="s">
        <v>173</v>
      </c>
      <c r="M139" s="35">
        <f t="shared" si="42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6249</v>
      </c>
      <c r="C140" s="81">
        <v>43570</v>
      </c>
      <c r="D140" s="9" t="s">
        <v>411</v>
      </c>
      <c r="E140" s="9" t="s">
        <v>429</v>
      </c>
      <c r="F140" s="9"/>
      <c r="G140" s="9"/>
      <c r="H140" s="9"/>
      <c r="I140" s="9"/>
      <c r="J140" s="9"/>
      <c r="K140" s="9"/>
      <c r="L140" s="38" t="s">
        <v>336</v>
      </c>
      <c r="M140" s="35">
        <f t="shared" si="42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6262</v>
      </c>
      <c r="C141" s="81">
        <v>43559</v>
      </c>
      <c r="D141" s="9" t="s">
        <v>65</v>
      </c>
      <c r="E141" s="9" t="s">
        <v>116</v>
      </c>
      <c r="F141" s="9" t="s">
        <v>77</v>
      </c>
      <c r="G141" s="9">
        <v>3117137134</v>
      </c>
      <c r="H141" s="9">
        <v>66682736</v>
      </c>
      <c r="I141" s="9" t="s">
        <v>60</v>
      </c>
      <c r="J141" s="9" t="s">
        <v>61</v>
      </c>
      <c r="K141" s="9"/>
      <c r="L141" s="38" t="s">
        <v>118</v>
      </c>
      <c r="M141" s="35">
        <f t="shared" si="42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6274</v>
      </c>
      <c r="C142" s="81">
        <v>43559</v>
      </c>
      <c r="D142" s="9" t="s">
        <v>65</v>
      </c>
      <c r="E142" s="9" t="s">
        <v>121</v>
      </c>
      <c r="F142" s="9"/>
      <c r="G142" s="9"/>
      <c r="H142" s="9"/>
      <c r="I142" s="9"/>
      <c r="J142" s="9"/>
      <c r="K142" s="9"/>
      <c r="L142" s="38" t="s">
        <v>119</v>
      </c>
      <c r="M142" s="35">
        <f t="shared" si="42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6475</v>
      </c>
      <c r="C143" s="81">
        <v>43563</v>
      </c>
      <c r="D143" s="9" t="s">
        <v>99</v>
      </c>
      <c r="E143" s="9" t="s">
        <v>97</v>
      </c>
      <c r="F143" s="9" t="s">
        <v>100</v>
      </c>
      <c r="G143" s="9">
        <v>3173706957</v>
      </c>
      <c r="H143" s="9">
        <v>66682297</v>
      </c>
      <c r="I143" s="9" t="s">
        <v>60</v>
      </c>
      <c r="J143" s="9" t="s">
        <v>61</v>
      </c>
      <c r="K143" s="9"/>
      <c r="L143" s="38" t="s">
        <v>99</v>
      </c>
      <c r="M143" s="35">
        <f t="shared" si="42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6714</v>
      </c>
      <c r="C144" s="81">
        <v>43559</v>
      </c>
      <c r="D144" s="9" t="s">
        <v>171</v>
      </c>
      <c r="E144" s="9" t="s">
        <v>186</v>
      </c>
      <c r="F144" s="9" t="s">
        <v>185</v>
      </c>
      <c r="G144" s="9">
        <v>3148741297</v>
      </c>
      <c r="H144" s="9">
        <v>1006439251</v>
      </c>
      <c r="I144" s="9" t="s">
        <v>60</v>
      </c>
      <c r="J144" s="9" t="s">
        <v>61</v>
      </c>
      <c r="K144" s="9"/>
      <c r="L144" s="38" t="s">
        <v>173</v>
      </c>
      <c r="M144" s="35">
        <f t="shared" ref="M144:M175" si="43">IF(C144&gt;43607,130000,105000)</f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6814</v>
      </c>
      <c r="C145" s="81">
        <v>43564</v>
      </c>
      <c r="D145" s="9" t="s">
        <v>229</v>
      </c>
      <c r="E145" s="9" t="s">
        <v>229</v>
      </c>
      <c r="F145" s="9"/>
      <c r="G145" s="9"/>
      <c r="H145" s="9"/>
      <c r="I145" s="9"/>
      <c r="J145" s="9"/>
      <c r="K145" s="9"/>
      <c r="L145" s="38" t="s">
        <v>173</v>
      </c>
      <c r="M145" s="35">
        <f t="shared" si="43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6814</v>
      </c>
      <c r="C146" s="81">
        <v>43564</v>
      </c>
      <c r="D146" s="9" t="s">
        <v>229</v>
      </c>
      <c r="E146" s="9" t="s">
        <v>229</v>
      </c>
      <c r="F146" s="9"/>
      <c r="G146" s="9"/>
      <c r="H146" s="9"/>
      <c r="I146" s="9"/>
      <c r="J146" s="9"/>
      <c r="K146" s="9"/>
      <c r="L146" s="38" t="s">
        <v>253</v>
      </c>
      <c r="M146" s="35">
        <f t="shared" si="43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6827</v>
      </c>
      <c r="C147" s="81">
        <v>43564</v>
      </c>
      <c r="D147" s="9" t="s">
        <v>229</v>
      </c>
      <c r="E147" s="9" t="s">
        <v>254</v>
      </c>
      <c r="F147" s="9"/>
      <c r="G147" s="9"/>
      <c r="H147" s="9"/>
      <c r="I147" s="9"/>
      <c r="J147" s="9"/>
      <c r="K147" s="9"/>
      <c r="L147" s="38" t="s">
        <v>173</v>
      </c>
      <c r="M147" s="35">
        <f t="shared" si="43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6902</v>
      </c>
      <c r="C148" s="81">
        <v>43559</v>
      </c>
      <c r="D148" s="9" t="s">
        <v>65</v>
      </c>
      <c r="E148" s="9" t="s">
        <v>126</v>
      </c>
      <c r="F148" s="9" t="s">
        <v>130</v>
      </c>
      <c r="G148" s="9" t="s">
        <v>130</v>
      </c>
      <c r="H148" s="9" t="s">
        <v>130</v>
      </c>
      <c r="I148" s="9" t="s">
        <v>130</v>
      </c>
      <c r="J148" s="9"/>
      <c r="K148" s="9"/>
      <c r="L148" s="38" t="s">
        <v>119</v>
      </c>
      <c r="M148" s="35">
        <f t="shared" si="43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6942</v>
      </c>
      <c r="C149" s="81">
        <v>43571</v>
      </c>
      <c r="D149" s="9" t="s">
        <v>345</v>
      </c>
      <c r="E149" s="9" t="s">
        <v>342</v>
      </c>
      <c r="F149" s="9"/>
      <c r="G149" s="9"/>
      <c r="H149" s="9"/>
      <c r="I149" s="9"/>
      <c r="J149" s="9"/>
      <c r="K149" s="9"/>
      <c r="L149" s="38" t="s">
        <v>345</v>
      </c>
      <c r="M149" s="35">
        <f t="shared" si="43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6948</v>
      </c>
      <c r="C150" s="81">
        <v>43567</v>
      </c>
      <c r="D150" s="9" t="s">
        <v>411</v>
      </c>
      <c r="E150" s="9" t="s">
        <v>415</v>
      </c>
      <c r="F150" s="9"/>
      <c r="G150" s="9"/>
      <c r="H150" s="9"/>
      <c r="I150" s="9"/>
      <c r="J150" s="9"/>
      <c r="K150" s="9"/>
      <c r="L150" s="38" t="s">
        <v>336</v>
      </c>
      <c r="M150" s="35">
        <f t="shared" si="43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6994</v>
      </c>
      <c r="C151" s="81">
        <v>43572</v>
      </c>
      <c r="D151" s="9" t="s">
        <v>82</v>
      </c>
      <c r="E151" s="9" t="s">
        <v>399</v>
      </c>
      <c r="F151" s="9"/>
      <c r="G151" s="9"/>
      <c r="H151" s="9"/>
      <c r="I151" s="9"/>
      <c r="J151" s="9"/>
      <c r="K151" s="9"/>
      <c r="L151" s="38" t="s">
        <v>82</v>
      </c>
      <c r="M151" s="35">
        <f t="shared" si="43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7048</v>
      </c>
      <c r="C152" s="81">
        <v>43567</v>
      </c>
      <c r="D152" s="9" t="s">
        <v>411</v>
      </c>
      <c r="E152" s="9" t="s">
        <v>417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43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7100</v>
      </c>
      <c r="C153" s="81">
        <v>43565</v>
      </c>
      <c r="D153" s="9" t="s">
        <v>281</v>
      </c>
      <c r="E153" s="9" t="s">
        <v>312</v>
      </c>
      <c r="F153" s="9"/>
      <c r="G153" s="9"/>
      <c r="H153" s="9"/>
      <c r="I153" s="9"/>
      <c r="J153" s="9"/>
      <c r="K153" s="9"/>
      <c r="L153" s="38" t="s">
        <v>282</v>
      </c>
      <c r="M153" s="35">
        <f t="shared" si="43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7123</v>
      </c>
      <c r="C154" s="81">
        <v>43558</v>
      </c>
      <c r="D154" s="9" t="s">
        <v>322</v>
      </c>
      <c r="E154" s="9" t="s">
        <v>322</v>
      </c>
      <c r="F154" s="9"/>
      <c r="G154" s="9"/>
      <c r="H154" s="9"/>
      <c r="I154" s="9"/>
      <c r="J154" s="9"/>
      <c r="K154" s="9"/>
      <c r="L154" s="38" t="s">
        <v>89</v>
      </c>
      <c r="M154" s="35">
        <f t="shared" si="43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7257</v>
      </c>
      <c r="C155" s="81">
        <v>43566</v>
      </c>
      <c r="D155" s="9" t="s">
        <v>383</v>
      </c>
      <c r="E155" s="9" t="s">
        <v>393</v>
      </c>
      <c r="F155" s="9"/>
      <c r="G155" s="9"/>
      <c r="H155" s="9"/>
      <c r="I155" s="9"/>
      <c r="J155" s="9"/>
      <c r="K155" s="9"/>
      <c r="L155" s="38" t="s">
        <v>389</v>
      </c>
      <c r="M155" s="35">
        <f t="shared" si="43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7315</v>
      </c>
      <c r="C156" s="81">
        <v>43562</v>
      </c>
      <c r="D156" s="9" t="s">
        <v>200</v>
      </c>
      <c r="E156" s="9" t="s">
        <v>210</v>
      </c>
      <c r="F156" s="9" t="s">
        <v>209</v>
      </c>
      <c r="G156" s="9">
        <v>31235769993</v>
      </c>
      <c r="H156" s="9">
        <v>1116443828</v>
      </c>
      <c r="I156" s="9" t="s">
        <v>60</v>
      </c>
      <c r="J156" s="9" t="s">
        <v>61</v>
      </c>
      <c r="K156" s="9"/>
      <c r="L156" s="38" t="s">
        <v>200</v>
      </c>
      <c r="M156" s="35">
        <f t="shared" si="43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7371</v>
      </c>
      <c r="C157" s="81">
        <v>43567</v>
      </c>
      <c r="D157" s="9" t="s">
        <v>411</v>
      </c>
      <c r="E157" s="9" t="s">
        <v>409</v>
      </c>
      <c r="F157" s="9"/>
      <c r="G157" s="9"/>
      <c r="H157" s="9"/>
      <c r="I157" s="9"/>
      <c r="J157" s="9"/>
      <c r="K157" s="9"/>
      <c r="L157" s="38" t="s">
        <v>336</v>
      </c>
      <c r="M157" s="35">
        <f t="shared" si="43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7388</v>
      </c>
      <c r="C158" s="81">
        <v>43567</v>
      </c>
      <c r="D158" s="9" t="s">
        <v>87</v>
      </c>
      <c r="E158" s="9" t="s">
        <v>315</v>
      </c>
      <c r="F158" s="9"/>
      <c r="G158" s="9"/>
      <c r="H158" s="9"/>
      <c r="I158" s="9"/>
      <c r="J158" s="9"/>
      <c r="K158" s="9"/>
      <c r="L158" s="38" t="s">
        <v>89</v>
      </c>
      <c r="M158" s="35">
        <f t="shared" si="43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7487</v>
      </c>
      <c r="C159" s="81">
        <v>43570</v>
      </c>
      <c r="D159" s="9" t="s">
        <v>411</v>
      </c>
      <c r="E159" s="9" t="s">
        <v>422</v>
      </c>
      <c r="F159" s="9"/>
      <c r="G159" s="9"/>
      <c r="H159" s="9"/>
      <c r="I159" s="9"/>
      <c r="J159" s="9"/>
      <c r="K159" s="9"/>
      <c r="L159" s="38" t="s">
        <v>336</v>
      </c>
      <c r="M159" s="35">
        <f t="shared" si="43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7510</v>
      </c>
      <c r="C160" s="81">
        <v>43570</v>
      </c>
      <c r="D160" s="9" t="s">
        <v>383</v>
      </c>
      <c r="E160" s="9" t="s">
        <v>391</v>
      </c>
      <c r="F160" s="9"/>
      <c r="G160" s="9"/>
      <c r="H160" s="9"/>
      <c r="I160" s="9"/>
      <c r="J160" s="9"/>
      <c r="K160" s="9"/>
      <c r="L160" s="38" t="s">
        <v>389</v>
      </c>
      <c r="M160" s="35">
        <f t="shared" si="43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7535</v>
      </c>
      <c r="C161" s="81">
        <v>43559</v>
      </c>
      <c r="D161" s="9" t="s">
        <v>322</v>
      </c>
      <c r="E161" s="9" t="s">
        <v>322</v>
      </c>
      <c r="F161" s="9"/>
      <c r="G161" s="9"/>
      <c r="H161" s="9"/>
      <c r="I161" s="9"/>
      <c r="J161" s="9"/>
      <c r="K161" s="9"/>
      <c r="L161" s="38" t="s">
        <v>89</v>
      </c>
      <c r="M161" s="35">
        <f t="shared" si="43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7627</v>
      </c>
      <c r="C162" s="81">
        <v>43569</v>
      </c>
      <c r="D162" s="9" t="s">
        <v>355</v>
      </c>
      <c r="E162" s="9" t="s">
        <v>368</v>
      </c>
      <c r="F162" s="9"/>
      <c r="G162" s="9"/>
      <c r="H162" s="9"/>
      <c r="I162" s="9"/>
      <c r="J162" s="9"/>
      <c r="K162" s="9"/>
      <c r="L162" s="38" t="s">
        <v>173</v>
      </c>
      <c r="M162" s="35">
        <f t="shared" si="43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7653</v>
      </c>
      <c r="C163" s="81">
        <v>43569</v>
      </c>
      <c r="D163" s="9" t="s">
        <v>345</v>
      </c>
      <c r="E163" s="9" t="s">
        <v>348</v>
      </c>
      <c r="F163" s="9"/>
      <c r="G163" s="9"/>
      <c r="H163" s="9"/>
      <c r="I163" s="9"/>
      <c r="J163" s="9"/>
      <c r="K163" s="9"/>
      <c r="L163" s="38" t="s">
        <v>345</v>
      </c>
      <c r="M163" s="35">
        <f t="shared" si="43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/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7712</v>
      </c>
      <c r="C164" s="81">
        <v>43570</v>
      </c>
      <c r="D164" s="9" t="s">
        <v>334</v>
      </c>
      <c r="E164" s="9" t="s">
        <v>335</v>
      </c>
      <c r="F164" s="9" t="s">
        <v>130</v>
      </c>
      <c r="G164" s="9" t="s">
        <v>130</v>
      </c>
      <c r="H164" s="9" t="s">
        <v>130</v>
      </c>
      <c r="I164" s="9" t="s">
        <v>60</v>
      </c>
      <c r="J164" s="9" t="s">
        <v>61</v>
      </c>
      <c r="K164" s="9"/>
      <c r="L164" s="38" t="s">
        <v>336</v>
      </c>
      <c r="M164" s="35">
        <f t="shared" si="43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/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7715</v>
      </c>
      <c r="C165" s="81">
        <v>43560</v>
      </c>
      <c r="D165" s="9" t="s">
        <v>281</v>
      </c>
      <c r="E165" s="9" t="s">
        <v>279</v>
      </c>
      <c r="F165" s="9"/>
      <c r="G165" s="9"/>
      <c r="H165" s="9"/>
      <c r="I165" s="9"/>
      <c r="J165" s="9"/>
      <c r="K165" s="9"/>
      <c r="L165" s="38" t="s">
        <v>282</v>
      </c>
      <c r="M165" s="35">
        <f t="shared" si="43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/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7849</v>
      </c>
      <c r="C166" s="81">
        <v>43565</v>
      </c>
      <c r="D166" s="9" t="s">
        <v>200</v>
      </c>
      <c r="E166" s="9" t="s">
        <v>198</v>
      </c>
      <c r="F166" s="9"/>
      <c r="G166" s="9"/>
      <c r="H166" s="9"/>
      <c r="I166" s="9"/>
      <c r="J166" s="9"/>
      <c r="K166" s="9"/>
      <c r="L166" s="38" t="s">
        <v>200</v>
      </c>
      <c r="M166" s="35">
        <f t="shared" si="43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/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7857</v>
      </c>
      <c r="C167" s="81">
        <v>43559</v>
      </c>
      <c r="D167" s="9" t="s">
        <v>89</v>
      </c>
      <c r="E167" s="9" t="s">
        <v>329</v>
      </c>
      <c r="F167" s="9"/>
      <c r="G167" s="9"/>
      <c r="H167" s="9"/>
      <c r="I167" s="9"/>
      <c r="J167" s="9"/>
      <c r="K167" s="9"/>
      <c r="L167" s="38" t="s">
        <v>89</v>
      </c>
      <c r="M167" s="35">
        <f t="shared" si="43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/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8038</v>
      </c>
      <c r="C168" s="81">
        <v>43559</v>
      </c>
      <c r="D168" s="9" t="s">
        <v>171</v>
      </c>
      <c r="E168" s="9" t="s">
        <v>189</v>
      </c>
      <c r="F168" s="9"/>
      <c r="G168" s="9"/>
      <c r="H168" s="9"/>
      <c r="I168" s="9"/>
      <c r="J168" s="9"/>
      <c r="K168" s="9"/>
      <c r="L168" s="38" t="s">
        <v>173</v>
      </c>
      <c r="M168" s="35">
        <f t="shared" si="43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/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8218</v>
      </c>
      <c r="C169" s="81">
        <v>43556</v>
      </c>
      <c r="D169" s="9" t="s">
        <v>65</v>
      </c>
      <c r="E169" s="9" t="s">
        <v>150</v>
      </c>
      <c r="F169" s="9"/>
      <c r="G169" s="9"/>
      <c r="H169" s="9"/>
      <c r="I169" s="9"/>
      <c r="J169" s="9"/>
      <c r="K169" s="9"/>
      <c r="L169" s="38" t="s">
        <v>119</v>
      </c>
      <c r="M169" s="35">
        <f t="shared" si="43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/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8218</v>
      </c>
      <c r="C170" s="81">
        <v>43556</v>
      </c>
      <c r="D170" s="9" t="s">
        <v>65</v>
      </c>
      <c r="E170" s="9" t="s">
        <v>150</v>
      </c>
      <c r="F170" s="9"/>
      <c r="G170" s="9"/>
      <c r="H170" s="9"/>
      <c r="I170" s="9"/>
      <c r="J170" s="9"/>
      <c r="K170" s="9"/>
      <c r="L170" s="38" t="s">
        <v>119</v>
      </c>
      <c r="M170" s="35">
        <f t="shared" si="43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/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8295</v>
      </c>
      <c r="C171" s="81">
        <v>43565</v>
      </c>
      <c r="D171" s="9" t="s">
        <v>281</v>
      </c>
      <c r="E171" s="9" t="s">
        <v>304</v>
      </c>
      <c r="F171" s="9"/>
      <c r="G171" s="9"/>
      <c r="H171" s="9"/>
      <c r="I171" s="9"/>
      <c r="J171" s="9"/>
      <c r="K171" s="9"/>
      <c r="L171" s="38" t="s">
        <v>282</v>
      </c>
      <c r="M171" s="35">
        <f t="shared" si="43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/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8319</v>
      </c>
      <c r="C172" s="81">
        <v>43560</v>
      </c>
      <c r="D172" s="9" t="s">
        <v>211</v>
      </c>
      <c r="E172" s="9" t="s">
        <v>225</v>
      </c>
      <c r="F172" s="9"/>
      <c r="G172" s="9"/>
      <c r="H172" s="9"/>
      <c r="I172" s="9"/>
      <c r="J172" s="9"/>
      <c r="K172" s="9"/>
      <c r="L172" s="38" t="s">
        <v>173</v>
      </c>
      <c r="M172" s="35">
        <f t="shared" si="43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/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8358</v>
      </c>
      <c r="C173" s="81">
        <v>43567</v>
      </c>
      <c r="D173" s="9" t="s">
        <v>355</v>
      </c>
      <c r="E173" s="9" t="s">
        <v>362</v>
      </c>
      <c r="F173" s="9"/>
      <c r="G173" s="9"/>
      <c r="H173" s="9"/>
      <c r="I173" s="9"/>
      <c r="J173" s="9"/>
      <c r="K173" s="9"/>
      <c r="L173" s="38" t="s">
        <v>173</v>
      </c>
      <c r="M173" s="35">
        <f t="shared" si="43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/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8427</v>
      </c>
      <c r="C174" s="81">
        <v>43557</v>
      </c>
      <c r="D174" s="9" t="s">
        <v>383</v>
      </c>
      <c r="E174" s="9" t="s">
        <v>381</v>
      </c>
      <c r="F174" s="9"/>
      <c r="G174" s="9"/>
      <c r="H174" s="9"/>
      <c r="I174" s="9"/>
      <c r="J174" s="9"/>
      <c r="K174" s="9"/>
      <c r="L174" s="38" t="s">
        <v>384</v>
      </c>
      <c r="M174" s="35">
        <f t="shared" si="43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/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8435</v>
      </c>
      <c r="C175" s="81">
        <v>43560</v>
      </c>
      <c r="D175" s="9" t="s">
        <v>281</v>
      </c>
      <c r="E175" s="9" t="s">
        <v>299</v>
      </c>
      <c r="F175" s="9"/>
      <c r="G175" s="9"/>
      <c r="H175" s="9"/>
      <c r="I175" s="9"/>
      <c r="J175" s="9"/>
      <c r="K175" s="9"/>
      <c r="L175" s="38" t="s">
        <v>282</v>
      </c>
      <c r="M175" s="35">
        <f t="shared" si="43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/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8520</v>
      </c>
      <c r="C176" s="81">
        <v>43559</v>
      </c>
      <c r="D176" s="9" t="s">
        <v>65</v>
      </c>
      <c r="E176" s="9" t="s">
        <v>146</v>
      </c>
      <c r="F176" s="9"/>
      <c r="G176" s="9"/>
      <c r="H176" s="9"/>
      <c r="I176" s="9"/>
      <c r="J176" s="9"/>
      <c r="K176" s="9"/>
      <c r="L176" s="38" t="s">
        <v>119</v>
      </c>
      <c r="M176" s="35">
        <f t="shared" ref="M176:M195" si="44">IF(C176&gt;43607,130000,105000)</f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/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8532</v>
      </c>
      <c r="C177" s="81">
        <v>43567</v>
      </c>
      <c r="D177" s="9" t="s">
        <v>200</v>
      </c>
      <c r="E177" s="9" t="s">
        <v>320</v>
      </c>
      <c r="F177" s="9"/>
      <c r="G177" s="9"/>
      <c r="H177" s="9"/>
      <c r="I177" s="9"/>
      <c r="J177" s="9"/>
      <c r="K177" s="9"/>
      <c r="L177" s="38" t="s">
        <v>200</v>
      </c>
      <c r="M177" s="35">
        <f t="shared" si="44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/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8545</v>
      </c>
      <c r="C178" s="81">
        <v>43559</v>
      </c>
      <c r="D178" s="9" t="s">
        <v>171</v>
      </c>
      <c r="E178" s="9" t="s">
        <v>168</v>
      </c>
      <c r="F178" s="9" t="s">
        <v>172</v>
      </c>
      <c r="G178" s="9">
        <v>3148741297</v>
      </c>
      <c r="H178" s="9">
        <v>1006439254</v>
      </c>
      <c r="I178" s="9" t="s">
        <v>60</v>
      </c>
      <c r="J178" s="9" t="s">
        <v>61</v>
      </c>
      <c r="K178" s="9"/>
      <c r="L178" s="38" t="s">
        <v>173</v>
      </c>
      <c r="M178" s="35">
        <f t="shared" si="44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/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8615</v>
      </c>
      <c r="C179" s="81">
        <v>43565</v>
      </c>
      <c r="D179" s="9" t="s">
        <v>281</v>
      </c>
      <c r="E179" s="9" t="s">
        <v>310</v>
      </c>
      <c r="F179" s="9"/>
      <c r="G179" s="9"/>
      <c r="H179" s="9"/>
      <c r="I179" s="9"/>
      <c r="J179" s="9"/>
      <c r="K179" s="9"/>
      <c r="L179" s="38" t="s">
        <v>282</v>
      </c>
      <c r="M179" s="35">
        <f t="shared" si="44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/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8649</v>
      </c>
      <c r="C180" s="81">
        <v>43565</v>
      </c>
      <c r="D180" s="9" t="s">
        <v>281</v>
      </c>
      <c r="E180" s="9" t="s">
        <v>290</v>
      </c>
      <c r="F180" s="9"/>
      <c r="G180" s="9"/>
      <c r="H180" s="9"/>
      <c r="I180" s="9"/>
      <c r="J180" s="9"/>
      <c r="K180" s="9"/>
      <c r="L180" s="38" t="s">
        <v>281</v>
      </c>
      <c r="M180" s="35">
        <f t="shared" si="44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/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8728</v>
      </c>
      <c r="C181" s="81">
        <v>43559</v>
      </c>
      <c r="D181" s="9" t="s">
        <v>171</v>
      </c>
      <c r="E181" s="9" t="s">
        <v>176</v>
      </c>
      <c r="F181" s="9"/>
      <c r="G181" s="9"/>
      <c r="H181" s="9"/>
      <c r="I181" s="9"/>
      <c r="J181" s="9"/>
      <c r="K181" s="9"/>
      <c r="L181" s="38" t="s">
        <v>173</v>
      </c>
      <c r="M181" s="35">
        <f t="shared" si="44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/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8731</v>
      </c>
      <c r="C182" s="81">
        <v>43563</v>
      </c>
      <c r="D182" s="9" t="s">
        <v>99</v>
      </c>
      <c r="E182" s="9" t="s">
        <v>101</v>
      </c>
      <c r="F182" s="9" t="s">
        <v>100</v>
      </c>
      <c r="G182" s="9">
        <v>3173706957</v>
      </c>
      <c r="H182" s="9">
        <v>66682297</v>
      </c>
      <c r="I182" s="9" t="s">
        <v>60</v>
      </c>
      <c r="J182" s="9" t="s">
        <v>61</v>
      </c>
      <c r="K182" s="9"/>
      <c r="L182" s="38" t="s">
        <v>99</v>
      </c>
      <c r="M182" s="35">
        <f t="shared" si="44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/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8790</v>
      </c>
      <c r="C183" s="81">
        <v>43571</v>
      </c>
      <c r="D183" s="9" t="s">
        <v>338</v>
      </c>
      <c r="E183" s="9" t="s">
        <v>377</v>
      </c>
      <c r="F183" s="9"/>
      <c r="G183" s="9"/>
      <c r="H183" s="9"/>
      <c r="I183" s="9"/>
      <c r="J183" s="9"/>
      <c r="K183" s="9"/>
      <c r="L183" s="38" t="s">
        <v>336</v>
      </c>
      <c r="M183" s="35">
        <f t="shared" si="44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/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8865</v>
      </c>
      <c r="C184" s="81">
        <v>43565</v>
      </c>
      <c r="D184" s="9" t="s">
        <v>355</v>
      </c>
      <c r="E184" s="9" t="s">
        <v>366</v>
      </c>
      <c r="F184" s="9"/>
      <c r="G184" s="9"/>
      <c r="H184" s="9"/>
      <c r="I184" s="9"/>
      <c r="J184" s="9"/>
      <c r="K184" s="9"/>
      <c r="L184" s="38" t="s">
        <v>173</v>
      </c>
      <c r="M184" s="35">
        <f t="shared" si="44"/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/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hidden="1" customHeight="1" x14ac:dyDescent="0.2">
      <c r="A185" s="8"/>
      <c r="B185" s="57">
        <v>9018</v>
      </c>
      <c r="C185" s="81">
        <v>43565</v>
      </c>
      <c r="D185" s="9" t="s">
        <v>281</v>
      </c>
      <c r="E185" s="9" t="s">
        <v>308</v>
      </c>
      <c r="F185" s="9"/>
      <c r="G185" s="9"/>
      <c r="H185" s="9"/>
      <c r="I185" s="9"/>
      <c r="J185" s="9"/>
      <c r="K185" s="9"/>
      <c r="L185" s="38" t="s">
        <v>282</v>
      </c>
      <c r="M185" s="35">
        <f t="shared" si="44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/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hidden="1" customHeight="1" x14ac:dyDescent="0.2">
      <c r="A186" s="8"/>
      <c r="B186" s="57">
        <v>9102</v>
      </c>
      <c r="C186" s="81">
        <v>43571</v>
      </c>
      <c r="D186" s="9" t="s">
        <v>338</v>
      </c>
      <c r="E186" s="9" t="s">
        <v>375</v>
      </c>
      <c r="F186" s="9"/>
      <c r="G186" s="9"/>
      <c r="H186" s="9"/>
      <c r="I186" s="9"/>
      <c r="J186" s="9"/>
      <c r="K186" s="9"/>
      <c r="L186" s="38" t="s">
        <v>336</v>
      </c>
      <c r="M186" s="35">
        <f t="shared" si="44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/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hidden="1" customHeight="1" x14ac:dyDescent="0.2">
      <c r="A187" s="8"/>
      <c r="B187" s="57">
        <v>9113</v>
      </c>
      <c r="C187" s="81">
        <v>43564</v>
      </c>
      <c r="D187" s="9" t="s">
        <v>229</v>
      </c>
      <c r="E187" s="9" t="s">
        <v>270</v>
      </c>
      <c r="F187" s="9"/>
      <c r="G187" s="9"/>
      <c r="H187" s="9"/>
      <c r="I187" s="9"/>
      <c r="J187" s="9"/>
      <c r="K187" s="9"/>
      <c r="L187" s="38" t="s">
        <v>173</v>
      </c>
      <c r="M187" s="35">
        <f t="shared" si="44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/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hidden="1" customHeight="1" x14ac:dyDescent="0.2">
      <c r="A188" s="8"/>
      <c r="B188" s="57">
        <v>9302</v>
      </c>
      <c r="C188" s="81">
        <v>43559</v>
      </c>
      <c r="D188" s="9" t="s">
        <v>171</v>
      </c>
      <c r="E188" s="9" t="s">
        <v>179</v>
      </c>
      <c r="F188" s="9" t="s">
        <v>180</v>
      </c>
      <c r="G188" s="9">
        <v>3148741297</v>
      </c>
      <c r="H188" s="9">
        <v>1006439254</v>
      </c>
      <c r="I188" s="9" t="s">
        <v>60</v>
      </c>
      <c r="J188" s="9" t="s">
        <v>61</v>
      </c>
      <c r="K188" s="9"/>
      <c r="L188" s="38" t="s">
        <v>173</v>
      </c>
      <c r="M188" s="35">
        <f t="shared" si="44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/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t="37.5" hidden="1" customHeight="1" x14ac:dyDescent="0.2">
      <c r="A189" s="8"/>
      <c r="B189" s="57">
        <v>9560</v>
      </c>
      <c r="C189" s="81">
        <v>43560</v>
      </c>
      <c r="D189" s="9" t="s">
        <v>211</v>
      </c>
      <c r="E189" s="9" t="s">
        <v>221</v>
      </c>
      <c r="F189" s="9"/>
      <c r="G189" s="9"/>
      <c r="H189" s="9"/>
      <c r="I189" s="9"/>
      <c r="J189" s="9"/>
      <c r="K189" s="9"/>
      <c r="L189" s="38" t="s">
        <v>173</v>
      </c>
      <c r="M189" s="35">
        <f t="shared" si="44"/>
        <v>105000</v>
      </c>
      <c r="N189" s="35">
        <f ca="1">Tabla1[[#This Row],[VALOR RESTANTE]:[TOTAL]]=VLOOKUP(B189,#REF!,30,0)</f>
        <v>0</v>
      </c>
      <c r="O189" s="35" t="e">
        <f ca="1">IF(Tabla1[VALOR RESTANTE]&gt;0,0,IF(C189&gt;43607,40000,35000))</f>
        <v>#N/A</v>
      </c>
      <c r="P189" s="35"/>
      <c r="Q1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5" t="e">
        <f ca="1">Tabla1[[#This Row],[COMISION BONO]]+Tabla1[[#This Row],[INSENTIVO VENTA]]</f>
        <v>#N/A</v>
      </c>
      <c r="S189" s="2"/>
    </row>
    <row r="190" spans="1:19" ht="37.5" hidden="1" customHeight="1" x14ac:dyDescent="0.2">
      <c r="A190" s="8"/>
      <c r="B190" s="57">
        <v>9570</v>
      </c>
      <c r="C190" s="81">
        <v>43559</v>
      </c>
      <c r="D190" s="9" t="s">
        <v>171</v>
      </c>
      <c r="E190" s="9" t="s">
        <v>193</v>
      </c>
      <c r="F190" s="9" t="s">
        <v>196</v>
      </c>
      <c r="G190" s="9">
        <v>3136762870</v>
      </c>
      <c r="H190" s="9">
        <v>1116445264</v>
      </c>
      <c r="I190" s="9" t="s">
        <v>60</v>
      </c>
      <c r="J190" s="9" t="s">
        <v>61</v>
      </c>
      <c r="K190" s="9"/>
      <c r="L190" s="38" t="s">
        <v>197</v>
      </c>
      <c r="M190" s="35">
        <f t="shared" si="44"/>
        <v>105000</v>
      </c>
      <c r="N190" s="35">
        <f ca="1">Tabla1[[#This Row],[VALOR RESTANTE]:[TOTAL]]=VLOOKUP(B190,#REF!,30,0)</f>
        <v>0</v>
      </c>
      <c r="O190" s="35" t="e">
        <f ca="1">IF(Tabla1[VALOR RESTANTE]&gt;0,0,IF(C190&gt;43607,40000,35000))</f>
        <v>#N/A</v>
      </c>
      <c r="P190" s="35"/>
      <c r="Q1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5" t="e">
        <f ca="1">Tabla1[[#This Row],[COMISION BONO]]+Tabla1[[#This Row],[INSENTIVO VENTA]]</f>
        <v>#N/A</v>
      </c>
      <c r="S190" s="2"/>
    </row>
    <row r="191" spans="1:19" ht="37.5" hidden="1" customHeight="1" x14ac:dyDescent="0.2">
      <c r="A191" s="8"/>
      <c r="B191" s="57">
        <v>9649</v>
      </c>
      <c r="C191" s="81">
        <v>43567</v>
      </c>
      <c r="D191" s="9" t="s">
        <v>200</v>
      </c>
      <c r="E191" s="9" t="s">
        <v>277</v>
      </c>
      <c r="F191" s="9"/>
      <c r="G191" s="9"/>
      <c r="H191" s="9"/>
      <c r="I191" s="9"/>
      <c r="J191" s="9"/>
      <c r="K191" s="9"/>
      <c r="L191" s="38" t="s">
        <v>200</v>
      </c>
      <c r="M191" s="35">
        <f t="shared" si="44"/>
        <v>105000</v>
      </c>
      <c r="N191" s="35">
        <f ca="1">Tabla1[[#This Row],[VALOR RESTANTE]:[TOTAL]]=VLOOKUP(B191,#REF!,30,0)</f>
        <v>0</v>
      </c>
      <c r="O191" s="35" t="e">
        <f ca="1">IF(Tabla1[VALOR RESTANTE]&gt;0,0,IF(C191&gt;43607,40000,35000))</f>
        <v>#N/A</v>
      </c>
      <c r="P191" s="35"/>
      <c r="Q1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5" t="e">
        <f ca="1">Tabla1[[#This Row],[COMISION BONO]]+Tabla1[[#This Row],[INSENTIVO VENTA]]</f>
        <v>#N/A</v>
      </c>
      <c r="S191" s="2"/>
    </row>
    <row r="192" spans="1:19" ht="37.5" hidden="1" customHeight="1" x14ac:dyDescent="0.2">
      <c r="A192" s="8"/>
      <c r="B192" s="57">
        <v>9826</v>
      </c>
      <c r="C192" s="81">
        <v>43561</v>
      </c>
      <c r="D192" s="9" t="s">
        <v>65</v>
      </c>
      <c r="E192" s="9" t="s">
        <v>138</v>
      </c>
      <c r="F192" s="9"/>
      <c r="G192" s="9"/>
      <c r="H192" s="9"/>
      <c r="I192" s="9"/>
      <c r="J192" s="9"/>
      <c r="K192" s="9"/>
      <c r="L192" s="38" t="s">
        <v>119</v>
      </c>
      <c r="M192" s="35">
        <f t="shared" si="44"/>
        <v>105000</v>
      </c>
      <c r="N192" s="35">
        <f ca="1">Tabla1[[#This Row],[VALOR RESTANTE]:[TOTAL]]=VLOOKUP(B192,#REF!,30,0)</f>
        <v>0</v>
      </c>
      <c r="O192" s="35" t="e">
        <f ca="1">IF(Tabla1[VALOR RESTANTE]&gt;0,0,IF(C192&gt;43607,40000,35000))</f>
        <v>#N/A</v>
      </c>
      <c r="P192" s="35"/>
      <c r="Q1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5" t="e">
        <f ca="1">Tabla1[[#This Row],[COMISION BONO]]+Tabla1[[#This Row],[INSENTIVO VENTA]]</f>
        <v>#N/A</v>
      </c>
      <c r="S192" s="2"/>
    </row>
    <row r="193" spans="1:19" ht="37.5" hidden="1" customHeight="1" x14ac:dyDescent="0.2">
      <c r="A193" s="8"/>
      <c r="B193" s="57">
        <v>9950</v>
      </c>
      <c r="C193" s="81">
        <v>43565</v>
      </c>
      <c r="D193" s="9" t="s">
        <v>383</v>
      </c>
      <c r="E193" s="9" t="s">
        <v>388</v>
      </c>
      <c r="F193" s="9"/>
      <c r="G193" s="9"/>
      <c r="H193" s="9"/>
      <c r="I193" s="9"/>
      <c r="J193" s="9"/>
      <c r="K193" s="9"/>
      <c r="L193" s="38" t="s">
        <v>389</v>
      </c>
      <c r="M193" s="35">
        <f t="shared" si="44"/>
        <v>105000</v>
      </c>
      <c r="N193" s="35">
        <f ca="1">Tabla1[[#This Row],[VALOR RESTANTE]:[TOTAL]]=VLOOKUP(B193,#REF!,30,0)</f>
        <v>0</v>
      </c>
      <c r="O193" s="35" t="e">
        <f ca="1">IF(Tabla1[VALOR RESTANTE]&gt;0,0,IF(C193&gt;43607,40000,35000))</f>
        <v>#N/A</v>
      </c>
      <c r="P193" s="35"/>
      <c r="Q1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5" t="e">
        <f ca="1">Tabla1[[#This Row],[COMISION BONO]]+Tabla1[[#This Row],[INSENTIVO VENTA]]</f>
        <v>#N/A</v>
      </c>
      <c r="S193" s="2"/>
    </row>
    <row r="194" spans="1:19" hidden="1" x14ac:dyDescent="0.2">
      <c r="B194" s="101" t="s">
        <v>87</v>
      </c>
      <c r="C194" s="102">
        <v>43565</v>
      </c>
      <c r="D194" s="89" t="s">
        <v>87</v>
      </c>
      <c r="E194" s="89" t="s">
        <v>161</v>
      </c>
      <c r="F194" s="89" t="s">
        <v>162</v>
      </c>
      <c r="G194" s="89">
        <v>3148978584</v>
      </c>
      <c r="H194" s="89">
        <v>17118304</v>
      </c>
      <c r="I194" s="89" t="s">
        <v>60</v>
      </c>
      <c r="J194" s="89" t="s">
        <v>163</v>
      </c>
      <c r="K194" s="89"/>
      <c r="L194" s="97" t="s">
        <v>89</v>
      </c>
      <c r="M194" s="103">
        <f t="shared" si="44"/>
        <v>105000</v>
      </c>
      <c r="N194" s="103">
        <f ca="1">Tabla1[[#This Row],[VALOR RESTANTE]:[TOTAL]]=VLOOKUP(B194,#REF!,30,0)</f>
        <v>0</v>
      </c>
      <c r="O194" s="103" t="e">
        <f ca="1">IF(Tabla1[VALOR RESTANTE]&gt;0,0,IF(C194&gt;43607,40000,35000))</f>
        <v>#N/A</v>
      </c>
      <c r="P194" s="103"/>
      <c r="Q194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104" t="e">
        <f ca="1">Tabla1[[#This Row],[COMISION BONO]]+Tabla1[[#This Row],[INSENTIVO VENTA]]</f>
        <v>#N/A</v>
      </c>
    </row>
    <row r="195" spans="1:19" hidden="1" x14ac:dyDescent="0.2">
      <c r="B195" s="86"/>
      <c r="C195" s="87"/>
      <c r="D195" s="88"/>
      <c r="E195" s="88"/>
      <c r="F195" s="88"/>
      <c r="G195" s="88"/>
      <c r="H195" s="88"/>
      <c r="I195" s="89"/>
      <c r="J195" s="89"/>
      <c r="K195" s="88"/>
      <c r="L195" s="90"/>
      <c r="M195" s="91">
        <f t="shared" si="44"/>
        <v>105000</v>
      </c>
      <c r="N195" s="91">
        <f ca="1">Tabla1[[#This Row],[VALOR RESTANTE]:[TOTAL]]=VLOOKUP(B195,#REF!,30,0)</f>
        <v>0</v>
      </c>
      <c r="O195" s="92">
        <f ca="1">IF(Tabla1[VALOR RESTANTE]&gt;0,0,IF(C195&gt;43607,40000,35000))</f>
        <v>0</v>
      </c>
      <c r="P195" s="92" t="e">
        <f>IF(Tabla1[NOMBRE VENDEDOR]=#REF!,COUNTIF(#REF!,(Tabla1[NOMBRE VENDEDOR]=#REF!)=0),0)</f>
        <v>#REF!</v>
      </c>
      <c r="Q195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95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86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ABONOS'!$B$8:$BC$10038,30,0)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733</v>
      </c>
      <c r="C10" s="105">
        <v>43571</v>
      </c>
      <c r="D10" s="32" t="s">
        <v>89</v>
      </c>
      <c r="E10" s="32" t="s">
        <v>530</v>
      </c>
      <c r="F10" s="32"/>
      <c r="G10" s="32"/>
      <c r="H10" s="32"/>
      <c r="I10" s="107"/>
      <c r="J10" s="32"/>
      <c r="K10" s="32"/>
      <c r="L10" s="32" t="s">
        <v>322</v>
      </c>
      <c r="M10" s="33">
        <f>IF(C10&gt;43607,130000,105000)</f>
        <v>105000</v>
      </c>
      <c r="N10" s="33" t="e">
        <f>VLOOKUP(B10,'REGISTRO ABONOS'!$B$8:$BC$10038,30,0)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3201</v>
      </c>
      <c r="C11" s="105">
        <v>43571</v>
      </c>
      <c r="D11" s="32" t="s">
        <v>89</v>
      </c>
      <c r="E11" s="32" t="s">
        <v>528</v>
      </c>
      <c r="F11" s="32"/>
      <c r="G11" s="32"/>
      <c r="H11" s="32"/>
      <c r="I11" s="107"/>
      <c r="J11" s="32"/>
      <c r="K11" s="32"/>
      <c r="L11" s="32" t="s">
        <v>322</v>
      </c>
      <c r="M11" s="33">
        <f>IF(C11&gt;43607,130000,105000)</f>
        <v>105000</v>
      </c>
      <c r="N11" s="33" t="e">
        <f>VLOOKUP(B11,'REGISTRO ABONOS'!$B$8:$BC$10038,30,0)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2116</v>
      </c>
      <c r="C12" s="105">
        <v>43571</v>
      </c>
      <c r="D12" s="32" t="s">
        <v>89</v>
      </c>
      <c r="E12" s="32" t="s">
        <v>522</v>
      </c>
      <c r="F12" s="32"/>
      <c r="G12" s="32"/>
      <c r="H12" s="32"/>
      <c r="I12" s="107"/>
      <c r="J12" s="32"/>
      <c r="K12" s="32"/>
      <c r="L12" s="32" t="s">
        <v>322</v>
      </c>
      <c r="M12" s="33">
        <f>IF(C12&gt;43607,130000,105000)</f>
        <v>105000</v>
      </c>
      <c r="N12" s="33" t="e">
        <f>VLOOKUP(B12,'REGISTRO ABONOS'!$B$8:$BC$10038,30,0)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6074</v>
      </c>
      <c r="C13" s="105">
        <v>43571</v>
      </c>
      <c r="D13" s="32" t="s">
        <v>89</v>
      </c>
      <c r="E13" s="32" t="s">
        <v>520</v>
      </c>
      <c r="F13" s="32"/>
      <c r="G13" s="32"/>
      <c r="H13" s="32"/>
      <c r="I13" s="107"/>
      <c r="J13" s="32"/>
      <c r="K13" s="32"/>
      <c r="L13" s="32" t="s">
        <v>322</v>
      </c>
      <c r="M13" s="33">
        <f>IF(C13&gt;43607,130000,105000)</f>
        <v>105000</v>
      </c>
      <c r="N13" s="33" t="e">
        <f>VLOOKUP(B13,'REGISTRO ABONOS'!$B$8:$BC$10038,30,0)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3155</v>
      </c>
      <c r="C14" s="105">
        <v>43571</v>
      </c>
      <c r="D14" s="32" t="s">
        <v>89</v>
      </c>
      <c r="E14" s="32" t="s">
        <v>519</v>
      </c>
      <c r="F14" s="32"/>
      <c r="G14" s="32"/>
      <c r="H14" s="32"/>
      <c r="I14" s="107"/>
      <c r="J14" s="32"/>
      <c r="K14" s="32"/>
      <c r="L14" s="32" t="s">
        <v>322</v>
      </c>
      <c r="M14" s="33">
        <f>IF(C14&gt;43607,130000,105000)</f>
        <v>105000</v>
      </c>
      <c r="N14" s="33" t="e">
        <f>VLOOKUP(B14,'REGISTRO ABONOS'!$B$8:$BC$10038,30,0)</f>
        <v>#N/A</v>
      </c>
      <c r="O14" s="33">
        <f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7619</v>
      </c>
      <c r="C15" s="105">
        <v>43571</v>
      </c>
      <c r="D15" s="32" t="s">
        <v>89</v>
      </c>
      <c r="E15" s="32" t="s">
        <v>517</v>
      </c>
      <c r="F15" s="32"/>
      <c r="G15" s="32"/>
      <c r="H15" s="32"/>
      <c r="I15" s="107"/>
      <c r="J15" s="32"/>
      <c r="K15" s="32"/>
      <c r="L15" s="32" t="s">
        <v>322</v>
      </c>
      <c r="M15" s="33">
        <f>IF(C15&gt;43607,130000,105000)</f>
        <v>105000</v>
      </c>
      <c r="N15" s="33" t="e">
        <f>VLOOKUP(B15,'REGISTRO ABONOS'!$B$8:$BC$10038,30,0)</f>
        <v>#N/A</v>
      </c>
      <c r="O15" s="33">
        <f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3144</v>
      </c>
      <c r="C16" s="105">
        <v>43571</v>
      </c>
      <c r="D16" s="32" t="s">
        <v>89</v>
      </c>
      <c r="E16" s="32" t="s">
        <v>515</v>
      </c>
      <c r="F16" s="32"/>
      <c r="G16" s="32"/>
      <c r="H16" s="32"/>
      <c r="I16" s="107"/>
      <c r="J16" s="32"/>
      <c r="K16" s="32"/>
      <c r="L16" s="32" t="s">
        <v>322</v>
      </c>
      <c r="M16" s="33">
        <f>IF(C16&gt;43607,130000,105000)</f>
        <v>105000</v>
      </c>
      <c r="N16" s="33" t="e">
        <f>VLOOKUP(B16,'REGISTRO ABONOS'!$B$8:$BC$10038,30,0)</f>
        <v>#N/A</v>
      </c>
      <c r="O16" s="33">
        <f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7921</v>
      </c>
      <c r="C17" s="105">
        <v>43571</v>
      </c>
      <c r="D17" s="32" t="s">
        <v>89</v>
      </c>
      <c r="E17" s="32" t="s">
        <v>511</v>
      </c>
      <c r="F17" s="32"/>
      <c r="G17" s="32"/>
      <c r="H17" s="32"/>
      <c r="I17" s="107"/>
      <c r="J17" s="32"/>
      <c r="K17" s="32"/>
      <c r="L17" s="32" t="s">
        <v>322</v>
      </c>
      <c r="M17" s="33">
        <f>IF(C17&gt;43607,130000,105000)</f>
        <v>105000</v>
      </c>
      <c r="N17" s="33" t="e">
        <f>VLOOKUP(B17,'REGISTRO ABONOS'!$B$8:$BC$10038,30,0)</f>
        <v>#N/A</v>
      </c>
      <c r="O17" s="33">
        <f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9243</v>
      </c>
      <c r="C18" s="105">
        <v>43571</v>
      </c>
      <c r="D18" s="32" t="s">
        <v>89</v>
      </c>
      <c r="E18" s="32" t="s">
        <v>509</v>
      </c>
      <c r="F18" s="32"/>
      <c r="G18" s="32"/>
      <c r="H18" s="32"/>
      <c r="I18" s="107"/>
      <c r="J18" s="32"/>
      <c r="K18" s="32"/>
      <c r="L18" s="32" t="s">
        <v>322</v>
      </c>
      <c r="M18" s="33">
        <f>IF(C18&gt;43607,130000,105000)</f>
        <v>105000</v>
      </c>
      <c r="N18" s="33" t="e">
        <f>VLOOKUP(B18,'REGISTRO ABONOS'!$B$8:$BC$10038,30,0)</f>
        <v>#N/A</v>
      </c>
      <c r="O18" s="33">
        <f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1249</v>
      </c>
      <c r="C19" s="105">
        <v>43571</v>
      </c>
      <c r="D19" s="32" t="s">
        <v>89</v>
      </c>
      <c r="E19" s="32" t="s">
        <v>507</v>
      </c>
      <c r="F19" s="32"/>
      <c r="G19" s="32"/>
      <c r="H19" s="32"/>
      <c r="I19" s="107"/>
      <c r="J19" s="32"/>
      <c r="K19" s="32"/>
      <c r="L19" s="32" t="s">
        <v>322</v>
      </c>
      <c r="M19" s="33">
        <f>IF(C19&gt;43607,130000,105000)</f>
        <v>105000</v>
      </c>
      <c r="N19" s="33" t="e">
        <f>VLOOKUP(B19,'REGISTRO ABONOS'!$B$8:$BC$10038,30,0)</f>
        <v>#N/A</v>
      </c>
      <c r="O19" s="33">
        <f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9647</v>
      </c>
      <c r="C20" s="105">
        <v>43571</v>
      </c>
      <c r="D20" s="32" t="s">
        <v>89</v>
      </c>
      <c r="E20" s="32" t="s">
        <v>505</v>
      </c>
      <c r="F20" s="32" t="s">
        <v>130</v>
      </c>
      <c r="G20" s="32"/>
      <c r="H20" s="32"/>
      <c r="I20" s="107"/>
      <c r="J20" s="32"/>
      <c r="K20" s="32"/>
      <c r="L20" s="32" t="s">
        <v>322</v>
      </c>
      <c r="M20" s="33">
        <f>IF(C20&gt;43607,130000,105000)</f>
        <v>105000</v>
      </c>
      <c r="N20" s="33" t="e">
        <f>VLOOKUP(B20,'REGISTRO ABONOS'!$B$8:$BC$10038,30,0)</f>
        <v>#N/A</v>
      </c>
      <c r="O20" s="33">
        <f>IF(C20&gt;43607,40000,35000)</f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3530</v>
      </c>
      <c r="C21" s="105">
        <v>43571</v>
      </c>
      <c r="D21" s="32" t="s">
        <v>89</v>
      </c>
      <c r="E21" s="32" t="s">
        <v>503</v>
      </c>
      <c r="F21" s="32"/>
      <c r="G21" s="32"/>
      <c r="H21" s="32"/>
      <c r="I21" s="107"/>
      <c r="J21" s="32"/>
      <c r="K21" s="32"/>
      <c r="L21" s="32" t="s">
        <v>322</v>
      </c>
      <c r="M21" s="33">
        <f>IF(C21&gt;43607,130000,105000)</f>
        <v>105000</v>
      </c>
      <c r="N21" s="33" t="e">
        <f>VLOOKUP(B21,'REGISTRO ABONOS'!$B$8:$BC$10038,30,0)</f>
        <v>#N/A</v>
      </c>
      <c r="O21" s="33">
        <f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1234</v>
      </c>
      <c r="C22" s="105">
        <v>43571</v>
      </c>
      <c r="D22" s="32" t="s">
        <v>89</v>
      </c>
      <c r="E22" s="32" t="s">
        <v>431</v>
      </c>
      <c r="F22" s="32" t="s">
        <v>130</v>
      </c>
      <c r="G22" s="32" t="s">
        <v>130</v>
      </c>
      <c r="H22" s="32"/>
      <c r="I22" s="107"/>
      <c r="J22" s="32"/>
      <c r="K22" s="32"/>
      <c r="L22" s="32" t="s">
        <v>322</v>
      </c>
      <c r="M22" s="33">
        <f>IF(C22&gt;43607,130000,105000)</f>
        <v>105000</v>
      </c>
      <c r="N22" s="33" t="e">
        <f>VLOOKUP(B22,'REGISTRO ABONOS'!$B$8:$BC$10038,30,0)</f>
        <v>#N/A</v>
      </c>
      <c r="O22" s="33">
        <f>IF(C22&gt;43607,40000,35000)</f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9869</v>
      </c>
      <c r="C23" s="105">
        <v>43565</v>
      </c>
      <c r="D23" s="32" t="s">
        <v>99</v>
      </c>
      <c r="E23" s="32" t="s">
        <v>500</v>
      </c>
      <c r="F23" s="32"/>
      <c r="G23" s="32"/>
      <c r="H23" s="32"/>
      <c r="I23" s="107"/>
      <c r="J23" s="32"/>
      <c r="K23" s="32"/>
      <c r="L23" s="32" t="s">
        <v>501</v>
      </c>
      <c r="M23" s="33">
        <f>IF(C23&gt;43607,130000,105000)</f>
        <v>105000</v>
      </c>
      <c r="N23" s="33">
        <f>VLOOKUP(B23,'REGISTRO ABONOS'!$B$8:$BC$10038,30,0)</f>
        <v>0</v>
      </c>
      <c r="O23" s="33">
        <f>IF(C23&gt;43607,40000,35000)</f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3136</v>
      </c>
      <c r="C24" s="105">
        <v>43565</v>
      </c>
      <c r="D24" s="32" t="s">
        <v>99</v>
      </c>
      <c r="E24" s="32" t="s">
        <v>498</v>
      </c>
      <c r="F24" s="32"/>
      <c r="G24" s="32"/>
      <c r="H24" s="32"/>
      <c r="I24" s="107"/>
      <c r="J24" s="32"/>
      <c r="K24" s="32"/>
      <c r="L24" s="32" t="s">
        <v>99</v>
      </c>
      <c r="M24" s="33">
        <f>IF(C24&gt;43607,130000,105000)</f>
        <v>105000</v>
      </c>
      <c r="N24" s="33">
        <f>VLOOKUP(B24,'REGISTRO ABONOS'!$B$8:$BC$10038,30,0)</f>
        <v>0</v>
      </c>
      <c r="O24" s="33">
        <f>IF(C24&gt;43607,40000,35000)</f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3806</v>
      </c>
      <c r="C25" s="105">
        <v>43576</v>
      </c>
      <c r="D25" s="32" t="s">
        <v>99</v>
      </c>
      <c r="E25" s="32" t="s">
        <v>496</v>
      </c>
      <c r="F25" s="32"/>
      <c r="G25" s="32"/>
      <c r="H25" s="32"/>
      <c r="I25" s="107"/>
      <c r="J25" s="32"/>
      <c r="K25" s="32"/>
      <c r="L25" s="32" t="s">
        <v>99</v>
      </c>
      <c r="M25" s="33">
        <f>IF(C25&gt;43607,130000,105000)</f>
        <v>105000</v>
      </c>
      <c r="N25" s="33" t="e">
        <f>VLOOKUP(B25,'REGISTRO ABONOS'!$B$8:$BC$10038,30,0)</f>
        <v>#N/A</v>
      </c>
      <c r="O25" s="33">
        <f>IF(C25&gt;43607,40000,35000)</f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2346</v>
      </c>
      <c r="C26" s="105">
        <v>43571</v>
      </c>
      <c r="D26" s="32" t="s">
        <v>89</v>
      </c>
      <c r="E26" s="32" t="s">
        <v>494</v>
      </c>
      <c r="F26" s="32"/>
      <c r="G26" s="32"/>
      <c r="H26" s="32"/>
      <c r="I26" s="107"/>
      <c r="J26" s="32"/>
      <c r="K26" s="32"/>
      <c r="L26" s="32" t="s">
        <v>322</v>
      </c>
      <c r="M26" s="33">
        <f>IF(C26&gt;43607,130000,105000)</f>
        <v>105000</v>
      </c>
      <c r="N26" s="33" t="e">
        <f>VLOOKUP(B26,'REGISTRO ABONOS'!$B$8:$BC$10038,30,0)</f>
        <v>#N/A</v>
      </c>
      <c r="O26" s="33">
        <f>IF(C26&gt;43607,40000,35000)</f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146</v>
      </c>
      <c r="C27" s="105">
        <v>43571</v>
      </c>
      <c r="D27" s="32" t="s">
        <v>89</v>
      </c>
      <c r="E27" s="32" t="s">
        <v>472</v>
      </c>
      <c r="F27" s="32"/>
      <c r="G27" s="32"/>
      <c r="H27" s="32"/>
      <c r="I27" s="107"/>
      <c r="J27" s="32"/>
      <c r="K27" s="32"/>
      <c r="L27" s="32" t="s">
        <v>322</v>
      </c>
      <c r="M27" s="33">
        <f>IF(C27&gt;43607,130000,105000)</f>
        <v>105000</v>
      </c>
      <c r="N27" s="33" t="e">
        <f>VLOOKUP(B27,'REGISTRO ABONOS'!$B$8:$BC$10038,30,0)</f>
        <v>#N/A</v>
      </c>
      <c r="O27" s="33">
        <f>IF(C27&gt;43607,40000,35000)</f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529</v>
      </c>
      <c r="C28" s="105">
        <v>43571</v>
      </c>
      <c r="D28" s="32" t="s">
        <v>336</v>
      </c>
      <c r="E28" s="32" t="s">
        <v>447</v>
      </c>
      <c r="F28" s="32"/>
      <c r="G28" s="32"/>
      <c r="H28" s="32"/>
      <c r="I28" s="107"/>
      <c r="J28" s="32"/>
      <c r="K28" s="32"/>
      <c r="L28" s="32" t="s">
        <v>336</v>
      </c>
      <c r="M28" s="33">
        <f>IF(C28&gt;43607,130000,105000)</f>
        <v>105000</v>
      </c>
      <c r="N28" s="33" t="e">
        <f>VLOOKUP(B28,'REGISTRO ABONOS'!$B$8:$BC$10038,30,0)</f>
        <v>#N/A</v>
      </c>
      <c r="O28" s="33">
        <f>IF(C28&gt;43607,40000,35000)</f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675</v>
      </c>
      <c r="C29" s="105">
        <v>43571</v>
      </c>
      <c r="D29" s="32" t="s">
        <v>89</v>
      </c>
      <c r="E29" s="32" t="s">
        <v>483</v>
      </c>
      <c r="F29" s="32" t="s">
        <v>130</v>
      </c>
      <c r="G29" s="32" t="s">
        <v>130</v>
      </c>
      <c r="H29" s="32" t="s">
        <v>130</v>
      </c>
      <c r="I29" s="107" t="s">
        <v>130</v>
      </c>
      <c r="J29" s="32" t="s">
        <v>130</v>
      </c>
      <c r="K29" s="32"/>
      <c r="L29" s="32" t="s">
        <v>322</v>
      </c>
      <c r="M29" s="33">
        <f>IF(C29&gt;43607,130000,105000)</f>
        <v>105000</v>
      </c>
      <c r="N29" s="33" t="e">
        <f>VLOOKUP(B29,'REGISTRO ABONOS'!$B$8:$BC$10038,30,0)</f>
        <v>#N/A</v>
      </c>
      <c r="O29" s="33">
        <f>IF(C29&gt;43607,40000,35000)</f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715</v>
      </c>
      <c r="C30" s="105">
        <v>43559</v>
      </c>
      <c r="D30" s="32" t="s">
        <v>173</v>
      </c>
      <c r="E30" s="32" t="s">
        <v>191</v>
      </c>
      <c r="F30" s="32"/>
      <c r="G30" s="32"/>
      <c r="H30" s="32"/>
      <c r="I30" s="107"/>
      <c r="J30" s="32"/>
      <c r="K30" s="32"/>
      <c r="L30" s="32" t="s">
        <v>171</v>
      </c>
      <c r="M30" s="33">
        <f>IF(C30&gt;43607,130000,105000)</f>
        <v>105000</v>
      </c>
      <c r="N30" s="33" t="e">
        <f>VLOOKUP(B30,'REGISTRO ABONOS'!$B$8:$BC$10038,30,0)</f>
        <v>#N/A</v>
      </c>
      <c r="O30" s="33">
        <f>IF(C30&gt;43607,40000,35000)</f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918</v>
      </c>
      <c r="C31" s="105">
        <v>43571</v>
      </c>
      <c r="D31" s="32" t="s">
        <v>89</v>
      </c>
      <c r="E31" s="32" t="s">
        <v>480</v>
      </c>
      <c r="F31" s="32"/>
      <c r="G31" s="32"/>
      <c r="H31" s="32"/>
      <c r="I31" s="107"/>
      <c r="J31" s="32"/>
      <c r="K31" s="32"/>
      <c r="L31" s="32" t="s">
        <v>322</v>
      </c>
      <c r="M31" s="33">
        <f>IF(C31&gt;43607,130000,105000)</f>
        <v>105000</v>
      </c>
      <c r="N31" s="33" t="e">
        <f>VLOOKUP(B31,'REGISTRO ABONOS'!$B$8:$BC$10038,30,0)</f>
        <v>#N/A</v>
      </c>
      <c r="O31" s="33">
        <f>IF(C31&gt;43607,40000,35000)</f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1024</v>
      </c>
      <c r="C32" s="105">
        <v>43558</v>
      </c>
      <c r="D32" s="32" t="s">
        <v>119</v>
      </c>
      <c r="E32" s="32" t="s">
        <v>143</v>
      </c>
      <c r="F32" s="32"/>
      <c r="G32" s="32"/>
      <c r="H32" s="32"/>
      <c r="I32" s="107"/>
      <c r="J32" s="32"/>
      <c r="K32" s="32"/>
      <c r="L32" s="32" t="s">
        <v>65</v>
      </c>
      <c r="M32" s="33">
        <f>IF(C32&gt;43607,130000,105000)</f>
        <v>105000</v>
      </c>
      <c r="N32" s="33" t="e">
        <f>VLOOKUP(B32,'REGISTRO ABONOS'!$B$8:$BC$10038,30,0)</f>
        <v>#N/A</v>
      </c>
      <c r="O32" s="33">
        <f>IF(C32&gt;43607,40000,35000)</f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1192</v>
      </c>
      <c r="C33" s="105">
        <v>43561</v>
      </c>
      <c r="D33" s="32" t="s">
        <v>119</v>
      </c>
      <c r="E33" s="32" t="s">
        <v>73</v>
      </c>
      <c r="F33" s="32"/>
      <c r="G33" s="32"/>
      <c r="H33" s="32"/>
      <c r="I33" s="107"/>
      <c r="J33" s="32"/>
      <c r="K33" s="32"/>
      <c r="L33" s="32"/>
      <c r="M33" s="33">
        <f>IF(C33&gt;43607,130000,105000)</f>
        <v>105000</v>
      </c>
      <c r="N33" s="33">
        <f>VLOOKUP(B33,'REGISTRO ABONOS'!$B$8:$BC$10038,30,0)</f>
        <v>0</v>
      </c>
      <c r="O33" s="33">
        <f>IF(C33&gt;43607,40000,35000)</f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1216</v>
      </c>
      <c r="C34" s="105">
        <v>43571</v>
      </c>
      <c r="D34" s="32" t="s">
        <v>89</v>
      </c>
      <c r="E34" s="32" t="s">
        <v>491</v>
      </c>
      <c r="F34" s="32"/>
      <c r="G34" s="32"/>
      <c r="H34" s="32"/>
      <c r="I34" s="107"/>
      <c r="J34" s="32"/>
      <c r="K34" s="32"/>
      <c r="L34" s="32" t="s">
        <v>322</v>
      </c>
      <c r="M34" s="33">
        <f>IF(C34&gt;43607,130000,105000)</f>
        <v>105000</v>
      </c>
      <c r="N34" s="33" t="e">
        <f>VLOOKUP(B34,'REGISTRO ABONOS'!$B$8:$BC$10038,30,0)</f>
        <v>#N/A</v>
      </c>
      <c r="O34" s="33">
        <f>IF(C34&gt;43607,40000,35000)</f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1245</v>
      </c>
      <c r="C35" s="105">
        <v>43561</v>
      </c>
      <c r="D35" s="32" t="s">
        <v>119</v>
      </c>
      <c r="E35" s="32" t="s">
        <v>156</v>
      </c>
      <c r="F35" s="32"/>
      <c r="G35" s="32"/>
      <c r="H35" s="32"/>
      <c r="I35" s="107"/>
      <c r="J35" s="32"/>
      <c r="K35" s="32"/>
      <c r="L35" s="32" t="s">
        <v>65</v>
      </c>
      <c r="M35" s="33">
        <f>IF(C35&gt;43607,130000,105000)</f>
        <v>105000</v>
      </c>
      <c r="N35" s="33" t="e">
        <f>VLOOKUP(B35,'REGISTRO ABONOS'!$B$8:$BC$10038,30,0)</f>
        <v>#N/A</v>
      </c>
      <c r="O35" s="33">
        <f>IF(C35&gt;43607,40000,35000)</f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1342</v>
      </c>
      <c r="C36" s="105">
        <v>43571</v>
      </c>
      <c r="D36" s="32" t="s">
        <v>89</v>
      </c>
      <c r="E36" s="32" t="s">
        <v>481</v>
      </c>
      <c r="F36" s="32"/>
      <c r="G36" s="32"/>
      <c r="H36" s="32"/>
      <c r="I36" s="107"/>
      <c r="J36" s="32"/>
      <c r="K36" s="32"/>
      <c r="L36" s="32" t="s">
        <v>322</v>
      </c>
      <c r="M36" s="33">
        <f>IF(C36&gt;43607,130000,105000)</f>
        <v>105000</v>
      </c>
      <c r="N36" s="33" t="e">
        <f>VLOOKUP(B36,'REGISTRO ABONOS'!$B$8:$BC$10038,30,0)</f>
        <v>#N/A</v>
      </c>
      <c r="O36" s="33">
        <f>IF(C36&gt;43607,40000,35000)</f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1383</v>
      </c>
      <c r="C37" s="105">
        <v>43561</v>
      </c>
      <c r="D37" s="32" t="s">
        <v>119</v>
      </c>
      <c r="E37" s="32" t="s">
        <v>141</v>
      </c>
      <c r="F37" s="32" t="s">
        <v>130</v>
      </c>
      <c r="G37" s="32"/>
      <c r="H37" s="32"/>
      <c r="I37" s="107"/>
      <c r="J37" s="32"/>
      <c r="K37" s="32"/>
      <c r="L37" s="32" t="s">
        <v>65</v>
      </c>
      <c r="M37" s="33">
        <f>IF(C37&gt;43607,130000,105000)</f>
        <v>105000</v>
      </c>
      <c r="N37" s="33" t="e">
        <f>VLOOKUP(B37,'REGISTRO ABONOS'!$B$8:$BC$10038,30,0)</f>
        <v>#N/A</v>
      </c>
      <c r="O37" s="33">
        <f>IF(C37&gt;43607,40000,35000)</f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1574</v>
      </c>
      <c r="C38" s="105">
        <v>43558</v>
      </c>
      <c r="D38" s="32" t="s">
        <v>119</v>
      </c>
      <c r="E38" s="32" t="s">
        <v>131</v>
      </c>
      <c r="F38" s="32"/>
      <c r="G38" s="32"/>
      <c r="H38" s="32"/>
      <c r="I38" s="107"/>
      <c r="J38" s="32"/>
      <c r="K38" s="32"/>
      <c r="L38" s="32" t="s">
        <v>65</v>
      </c>
      <c r="M38" s="33">
        <f>IF(C38&gt;43607,130000,105000)</f>
        <v>105000</v>
      </c>
      <c r="N38" s="33" t="e">
        <f>VLOOKUP(B38,'REGISTRO ABONOS'!$B$8:$BC$10038,30,0)</f>
        <v>#N/A</v>
      </c>
      <c r="O38" s="33">
        <f>IF(C38&gt;43607,40000,35000)</f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1635</v>
      </c>
      <c r="C39" s="105">
        <v>43559</v>
      </c>
      <c r="D39" s="32" t="s">
        <v>119</v>
      </c>
      <c r="E39" s="32" t="s">
        <v>65</v>
      </c>
      <c r="F39" s="32"/>
      <c r="G39" s="32"/>
      <c r="H39" s="32"/>
      <c r="I39" s="107"/>
      <c r="J39" s="32"/>
      <c r="K39" s="32"/>
      <c r="L39" s="32" t="s">
        <v>65</v>
      </c>
      <c r="M39" s="33">
        <f>IF(C39&gt;43607,130000,105000)</f>
        <v>105000</v>
      </c>
      <c r="N39" s="33">
        <f>VLOOKUP(B39,'REGISTRO ABONOS'!$B$8:$BC$10038,30,0)</f>
        <v>0</v>
      </c>
      <c r="O39" s="33">
        <f>IF(C39&gt;43607,40000,35000)</f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1738</v>
      </c>
      <c r="C40" s="105">
        <v>43571</v>
      </c>
      <c r="D40" s="32" t="s">
        <v>89</v>
      </c>
      <c r="E40" s="32" t="s">
        <v>485</v>
      </c>
      <c r="F40" s="32"/>
      <c r="G40" s="32"/>
      <c r="H40" s="32"/>
      <c r="I40" s="107"/>
      <c r="J40" s="32"/>
      <c r="K40" s="32"/>
      <c r="L40" s="32" t="s">
        <v>322</v>
      </c>
      <c r="M40" s="33">
        <f>IF(C40&gt;43607,130000,105000)</f>
        <v>105000</v>
      </c>
      <c r="N40" s="33" t="e">
        <f>VLOOKUP(B40,'REGISTRO ABONOS'!$B$8:$BC$10038,30,0)</f>
        <v>#N/A</v>
      </c>
      <c r="O40" s="33">
        <f>IF(C40&gt;43607,40000,35000)</f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1828</v>
      </c>
      <c r="C41" s="105">
        <v>43571</v>
      </c>
      <c r="D41" s="32" t="s">
        <v>336</v>
      </c>
      <c r="E41" s="32" t="s">
        <v>449</v>
      </c>
      <c r="F41" s="32" t="s">
        <v>130</v>
      </c>
      <c r="G41" s="32" t="s">
        <v>130</v>
      </c>
      <c r="H41" s="32" t="s">
        <v>130</v>
      </c>
      <c r="I41" s="107"/>
      <c r="J41" s="32"/>
      <c r="K41" s="32"/>
      <c r="L41" s="32" t="s">
        <v>336</v>
      </c>
      <c r="M41" s="33">
        <f>IF(C41&gt;43607,130000,105000)</f>
        <v>105000</v>
      </c>
      <c r="N41" s="33" t="e">
        <f>VLOOKUP(B41,'REGISTRO ABONOS'!$B$8:$BC$10038,30,0)</f>
        <v>#N/A</v>
      </c>
      <c r="O41" s="33">
        <f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1936</v>
      </c>
      <c r="C42" s="105">
        <v>43556</v>
      </c>
      <c r="D42" s="32" t="s">
        <v>119</v>
      </c>
      <c r="E42" s="32" t="s">
        <v>63</v>
      </c>
      <c r="F42" s="32"/>
      <c r="G42" s="32"/>
      <c r="H42" s="32"/>
      <c r="I42" s="107"/>
      <c r="J42" s="32"/>
      <c r="K42" s="32"/>
      <c r="L42" s="32" t="s">
        <v>65</v>
      </c>
      <c r="M42" s="33">
        <f>IF(C42&gt;43607,130000,105000)</f>
        <v>105000</v>
      </c>
      <c r="N42" s="33">
        <f>VLOOKUP(B42,'REGISTRO ABONOS'!$B$8:$BC$10038,30,0)</f>
        <v>0</v>
      </c>
      <c r="O42" s="33">
        <f>IF(C42&gt;43607,40000,35000)</f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1944</v>
      </c>
      <c r="C43" s="105">
        <v>43564</v>
      </c>
      <c r="D43" s="32" t="s">
        <v>89</v>
      </c>
      <c r="E43" s="32" t="s">
        <v>87</v>
      </c>
      <c r="F43" s="32" t="s">
        <v>158</v>
      </c>
      <c r="G43" s="32">
        <v>3156794837</v>
      </c>
      <c r="H43" s="32">
        <v>94233068</v>
      </c>
      <c r="I43" s="107" t="s">
        <v>140</v>
      </c>
      <c r="J43" s="32" t="s">
        <v>61</v>
      </c>
      <c r="K43" s="32"/>
      <c r="L43" s="32" t="s">
        <v>87</v>
      </c>
      <c r="M43" s="33">
        <f>IF(C43&gt;43607,130000,105000)</f>
        <v>105000</v>
      </c>
      <c r="N43" s="33" t="e">
        <f>VLOOKUP(B43,'REGISTRO ABONOS'!$B$8:$BC$10038,30,0)</f>
        <v>#N/A</v>
      </c>
      <c r="O43" s="33">
        <f>IF(C43&gt;43607,40000,35000)</f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1965</v>
      </c>
      <c r="C44" s="105">
        <v>43561</v>
      </c>
      <c r="D44" s="32" t="s">
        <v>119</v>
      </c>
      <c r="E44" s="32" t="s">
        <v>68</v>
      </c>
      <c r="F44" s="32"/>
      <c r="G44" s="32"/>
      <c r="H44" s="32"/>
      <c r="I44" s="107"/>
      <c r="J44" s="32"/>
      <c r="K44" s="32"/>
      <c r="L44" s="32"/>
      <c r="M44" s="33">
        <f>IF(C44&gt;43607,130000,105000)</f>
        <v>105000</v>
      </c>
      <c r="N44" s="33">
        <f>VLOOKUP(B44,'REGISTRO ABONOS'!$B$8:$BC$10038,30,0)</f>
        <v>0</v>
      </c>
      <c r="O44" s="33">
        <f>IF(C44&gt;43607,40000,35000)</f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1981</v>
      </c>
      <c r="C45" s="105">
        <v>43556</v>
      </c>
      <c r="D45" s="32" t="s">
        <v>119</v>
      </c>
      <c r="E45" s="32" t="s">
        <v>148</v>
      </c>
      <c r="F45" s="32"/>
      <c r="G45" s="32"/>
      <c r="H45" s="32"/>
      <c r="I45" s="107"/>
      <c r="J45" s="32"/>
      <c r="K45" s="32"/>
      <c r="L45" s="32" t="s">
        <v>65</v>
      </c>
      <c r="M45" s="33">
        <f>IF(C45&gt;43607,130000,105000)</f>
        <v>105000</v>
      </c>
      <c r="N45" s="33" t="e">
        <f>VLOOKUP(B45,'REGISTRO ABONOS'!$B$8:$BC$10038,30,0)</f>
        <v>#N/A</v>
      </c>
      <c r="O45" s="33">
        <f>IF(C45&gt;43607,40000,35000)</f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1985</v>
      </c>
      <c r="C46" s="105">
        <v>43559</v>
      </c>
      <c r="D46" s="32" t="s">
        <v>119</v>
      </c>
      <c r="E46" s="32" t="s">
        <v>123</v>
      </c>
      <c r="F46" s="32"/>
      <c r="G46" s="32"/>
      <c r="H46" s="32"/>
      <c r="I46" s="107"/>
      <c r="J46" s="32"/>
      <c r="K46" s="32"/>
      <c r="L46" s="32" t="s">
        <v>65</v>
      </c>
      <c r="M46" s="33">
        <f>IF(C46&gt;43607,130000,105000)</f>
        <v>105000</v>
      </c>
      <c r="N46" s="33" t="e">
        <f>VLOOKUP(B46,'REGISTRO ABONOS'!$B$8:$BC$10038,30,0)</f>
        <v>#N/A</v>
      </c>
      <c r="O46" s="33">
        <f>IF(C46&gt;43607,40000,35000)</f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2113</v>
      </c>
      <c r="C47" s="105">
        <v>43571</v>
      </c>
      <c r="D47" s="32" t="s">
        <v>89</v>
      </c>
      <c r="E47" s="32" t="s">
        <v>489</v>
      </c>
      <c r="F47" s="32"/>
      <c r="G47" s="32"/>
      <c r="H47" s="32"/>
      <c r="I47" s="107"/>
      <c r="J47" s="32"/>
      <c r="K47" s="32"/>
      <c r="L47" s="32" t="s">
        <v>322</v>
      </c>
      <c r="M47" s="33">
        <f>IF(C47&gt;43607,130000,105000)</f>
        <v>105000</v>
      </c>
      <c r="N47" s="33" t="e">
        <f>VLOOKUP(B47,'REGISTRO ABONOS'!$B$8:$BC$10038,30,0)</f>
        <v>#N/A</v>
      </c>
      <c r="O47" s="33">
        <f>IF(C47&gt;43607,40000,35000)</f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2330</v>
      </c>
      <c r="C48" s="105">
        <v>43571</v>
      </c>
      <c r="D48" s="32" t="s">
        <v>89</v>
      </c>
      <c r="E48" s="32" t="s">
        <v>470</v>
      </c>
      <c r="F48" s="32"/>
      <c r="G48" s="32"/>
      <c r="H48" s="32"/>
      <c r="I48" s="107"/>
      <c r="J48" s="32"/>
      <c r="K48" s="32"/>
      <c r="L48" s="32" t="s">
        <v>322</v>
      </c>
      <c r="M48" s="33">
        <f>IF(C48&gt;43607,130000,105000)</f>
        <v>105000</v>
      </c>
      <c r="N48" s="33" t="e">
        <f>VLOOKUP(B48,'REGISTRO ABONOS'!$B$8:$BC$10038,30,0)</f>
        <v>#N/A</v>
      </c>
      <c r="O48" s="33">
        <f>IF(C48&gt;43607,40000,35000)</f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2453</v>
      </c>
      <c r="C49" s="105">
        <v>43561</v>
      </c>
      <c r="D49" s="32" t="s">
        <v>119</v>
      </c>
      <c r="E49" s="32" t="s">
        <v>136</v>
      </c>
      <c r="F49" s="32"/>
      <c r="G49" s="32"/>
      <c r="H49" s="32"/>
      <c r="I49" s="107"/>
      <c r="J49" s="32"/>
      <c r="K49" s="32"/>
      <c r="L49" s="32" t="s">
        <v>65</v>
      </c>
      <c r="M49" s="33">
        <f>IF(C49&gt;43607,130000,105000)</f>
        <v>105000</v>
      </c>
      <c r="N49" s="33" t="e">
        <f>VLOOKUP(B49,'REGISTRO ABONOS'!$B$8:$BC$10038,30,0)</f>
        <v>#N/A</v>
      </c>
      <c r="O49" s="33">
        <f>IF(C49&gt;43607,40000,35000)</f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2719</v>
      </c>
      <c r="C50" s="105">
        <v>43564</v>
      </c>
      <c r="D50" s="32" t="s">
        <v>99</v>
      </c>
      <c r="E50" s="32" t="s">
        <v>104</v>
      </c>
      <c r="F50" s="32" t="s">
        <v>100</v>
      </c>
      <c r="G50" s="32">
        <v>3173706957</v>
      </c>
      <c r="H50" s="32">
        <v>66682297</v>
      </c>
      <c r="I50" s="107" t="s">
        <v>60</v>
      </c>
      <c r="J50" s="32" t="s">
        <v>61</v>
      </c>
      <c r="K50" s="32"/>
      <c r="L50" s="32" t="s">
        <v>99</v>
      </c>
      <c r="M50" s="33">
        <f>IF(C50&gt;43607,130000,105000)</f>
        <v>105000</v>
      </c>
      <c r="N50" s="33">
        <f>VLOOKUP(B50,'REGISTRO ABONOS'!$B$8:$BC$10038,30,0)</f>
        <v>0</v>
      </c>
      <c r="O50" s="33">
        <f>IF(C50&gt;43607,40000,35000)</f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3105</v>
      </c>
      <c r="C51" s="105">
        <v>43559</v>
      </c>
      <c r="D51" s="32" t="s">
        <v>173</v>
      </c>
      <c r="E51" s="32" t="s">
        <v>182</v>
      </c>
      <c r="F51" s="32"/>
      <c r="G51" s="32"/>
      <c r="H51" s="32"/>
      <c r="I51" s="107"/>
      <c r="J51" s="32"/>
      <c r="K51" s="32"/>
      <c r="L51" s="98" t="s">
        <v>171</v>
      </c>
      <c r="M51" s="99">
        <f>IF(C51&gt;43607,130000,105000)</f>
        <v>105000</v>
      </c>
      <c r="N51" s="33" t="e">
        <f>VLOOKUP(B51,'REGISTRO ABONOS'!$B$8:$BC$10038,30,0)</f>
        <v>#N/A</v>
      </c>
      <c r="O51" s="99">
        <f>IF(C51&gt;43607,40000,35000)</f>
        <v>35000</v>
      </c>
      <c r="P51" s="99">
        <f>IF(Tabla14[[#This Row],[VALOR BONO]]=105000,5000,5000)</f>
        <v>5000</v>
      </c>
      <c r="Q51" s="33"/>
      <c r="R51" s="33"/>
      <c r="S51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3108</v>
      </c>
      <c r="C52" s="105">
        <v>43567</v>
      </c>
      <c r="D52" s="32" t="s">
        <v>99</v>
      </c>
      <c r="E52" s="32" t="s">
        <v>330</v>
      </c>
      <c r="F52" s="32"/>
      <c r="G52" s="32"/>
      <c r="H52" s="32"/>
      <c r="I52" s="107"/>
      <c r="J52" s="32"/>
      <c r="K52" s="32"/>
      <c r="L52" s="32" t="s">
        <v>99</v>
      </c>
      <c r="M52" s="33">
        <f>IF(C52&gt;43607,130000,105000)</f>
        <v>105000</v>
      </c>
      <c r="N52" s="33" t="e">
        <f>VLOOKUP(B52,'REGISTRO ABONOS'!$B$8:$BC$10038,30,0)</f>
        <v>#N/A</v>
      </c>
      <c r="O52" s="33">
        <f>IF(C52&gt;43607,40000,35000)</f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3423</v>
      </c>
      <c r="C53" s="105">
        <v>43563</v>
      </c>
      <c r="D53" s="32" t="s">
        <v>336</v>
      </c>
      <c r="E53" s="32" t="s">
        <v>431</v>
      </c>
      <c r="F53" s="32"/>
      <c r="G53" s="32"/>
      <c r="H53" s="32"/>
      <c r="I53" s="107"/>
      <c r="J53" s="32"/>
      <c r="K53" s="32"/>
      <c r="L53" s="32" t="s">
        <v>411</v>
      </c>
      <c r="M53" s="33">
        <f>IF(C53&gt;43607,130000,105000)</f>
        <v>105000</v>
      </c>
      <c r="N53" s="33" t="e">
        <f>VLOOKUP(B53,'REGISTRO ABONOS'!$B$8:$BC$10038,30,0)</f>
        <v>#N/A</v>
      </c>
      <c r="O53" s="33">
        <f>IF(C53&gt;43607,40000,35000)</f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4122</v>
      </c>
      <c r="C54" s="105">
        <v>43563</v>
      </c>
      <c r="D54" s="32" t="s">
        <v>336</v>
      </c>
      <c r="E54" s="32" t="s">
        <v>441</v>
      </c>
      <c r="F54" s="32"/>
      <c r="G54" s="32"/>
      <c r="H54" s="32"/>
      <c r="I54" s="107"/>
      <c r="J54" s="32"/>
      <c r="K54" s="32"/>
      <c r="L54" s="32" t="s">
        <v>411</v>
      </c>
      <c r="M54" s="33">
        <f>IF(C54&gt;43607,130000,105000)</f>
        <v>105000</v>
      </c>
      <c r="N54" s="33" t="e">
        <f>VLOOKUP(B54,'REGISTRO ABONOS'!$B$8:$BC$10038,30,0)</f>
        <v>#N/A</v>
      </c>
      <c r="O54" s="33">
        <f>IF(C54&gt;43607,40000,35000)</f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4374</v>
      </c>
      <c r="C55" s="105">
        <v>43572</v>
      </c>
      <c r="D55" s="32" t="s">
        <v>89</v>
      </c>
      <c r="E55" s="32" t="s">
        <v>475</v>
      </c>
      <c r="F55" s="32"/>
      <c r="G55" s="32"/>
      <c r="H55" s="32"/>
      <c r="I55" s="107"/>
      <c r="J55" s="32"/>
      <c r="K55" s="32"/>
      <c r="L55" s="32" t="s">
        <v>475</v>
      </c>
      <c r="M55" s="33">
        <f>IF(C55&gt;43607,130000,105000)</f>
        <v>105000</v>
      </c>
      <c r="N55" s="33" t="e">
        <f>VLOOKUP(B55,'REGISTRO ABONOS'!$B$8:$BC$10038,30,0)</f>
        <v>#N/A</v>
      </c>
      <c r="O55" s="33">
        <f>IF(C55&gt;43607,40000,35000)</f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4988</v>
      </c>
      <c r="C56" s="105">
        <v>43560</v>
      </c>
      <c r="D56" s="32" t="s">
        <v>119</v>
      </c>
      <c r="E56" s="32" t="s">
        <v>152</v>
      </c>
      <c r="F56" s="32"/>
      <c r="G56" s="32"/>
      <c r="H56" s="32"/>
      <c r="I56" s="107"/>
      <c r="J56" s="32"/>
      <c r="K56" s="32"/>
      <c r="L56" s="32" t="s">
        <v>65</v>
      </c>
      <c r="M56" s="33">
        <f>IF(C56&gt;43607,130000,105000)</f>
        <v>105000</v>
      </c>
      <c r="N56" s="33" t="e">
        <f>VLOOKUP(B56,'REGISTRO ABONOS'!$B$8:$BC$10038,30,0)</f>
        <v>#N/A</v>
      </c>
      <c r="O56" s="33">
        <f>IF(C56&gt;43607,40000,35000)</f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6262</v>
      </c>
      <c r="C57" s="105">
        <v>43559</v>
      </c>
      <c r="D57" s="32" t="s">
        <v>119</v>
      </c>
      <c r="E57" s="32" t="s">
        <v>116</v>
      </c>
      <c r="F57" s="32" t="s">
        <v>120</v>
      </c>
      <c r="G57" s="32">
        <v>3155044659</v>
      </c>
      <c r="H57" s="32">
        <v>94229998</v>
      </c>
      <c r="I57" s="107" t="s">
        <v>60</v>
      </c>
      <c r="J57" s="32" t="s">
        <v>61</v>
      </c>
      <c r="K57" s="32"/>
      <c r="L57" s="32" t="s">
        <v>65</v>
      </c>
      <c r="M57" s="33">
        <f>IF(C57&gt;43607,130000,105000)</f>
        <v>105000</v>
      </c>
      <c r="N57" s="33" t="e">
        <f>VLOOKUP(B57,'REGISTRO ABONOS'!$B$8:$BC$10038,30,0)</f>
        <v>#N/A</v>
      </c>
      <c r="O57" s="33">
        <f>IF(C57&gt;43607,40000,35000)</f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6274</v>
      </c>
      <c r="C58" s="105">
        <v>43559</v>
      </c>
      <c r="D58" s="32" t="s">
        <v>119</v>
      </c>
      <c r="E58" s="32" t="s">
        <v>121</v>
      </c>
      <c r="F58" s="32"/>
      <c r="G58" s="32"/>
      <c r="H58" s="32"/>
      <c r="I58" s="107"/>
      <c r="J58" s="32"/>
      <c r="K58" s="32"/>
      <c r="L58" s="32" t="s">
        <v>65</v>
      </c>
      <c r="M58" s="33">
        <f>IF(C58&gt;43607,130000,105000)</f>
        <v>105000</v>
      </c>
      <c r="N58" s="33" t="e">
        <f>VLOOKUP(B58,'REGISTRO ABONOS'!$B$8:$BC$10038,30,0)</f>
        <v>#N/A</v>
      </c>
      <c r="O58" s="33">
        <f>IF(C58&gt;43607,40000,35000)</f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6475</v>
      </c>
      <c r="C59" s="105">
        <v>43563</v>
      </c>
      <c r="D59" s="32" t="s">
        <v>99</v>
      </c>
      <c r="E59" s="32" t="s">
        <v>97</v>
      </c>
      <c r="F59" s="32" t="s">
        <v>100</v>
      </c>
      <c r="G59" s="32">
        <v>3173706957</v>
      </c>
      <c r="H59" s="32">
        <v>66682297</v>
      </c>
      <c r="I59" s="107" t="s">
        <v>60</v>
      </c>
      <c r="J59" s="32" t="s">
        <v>61</v>
      </c>
      <c r="K59" s="32"/>
      <c r="L59" s="32" t="s">
        <v>99</v>
      </c>
      <c r="M59" s="33">
        <f>IF(C59&gt;43607,130000,105000)</f>
        <v>105000</v>
      </c>
      <c r="N59" s="33">
        <f>VLOOKUP(B59,'REGISTRO ABONOS'!$B$8:$BC$10038,30,0)</f>
        <v>0</v>
      </c>
      <c r="O59" s="33">
        <f>IF(C59&gt;43607,40000,35000)</f>
        <v>35000</v>
      </c>
      <c r="P59" s="33">
        <f>IF(Tabla14[[#This Row],[VALOR BONO]]=105000,5000,5000)</f>
        <v>5000</v>
      </c>
      <c r="Q59" s="33">
        <v>0</v>
      </c>
      <c r="R59" s="33">
        <v>0</v>
      </c>
      <c r="S5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6714</v>
      </c>
      <c r="C60" s="105">
        <v>43559</v>
      </c>
      <c r="D60" s="32" t="s">
        <v>173</v>
      </c>
      <c r="E60" s="32" t="s">
        <v>186</v>
      </c>
      <c r="F60" s="32"/>
      <c r="G60" s="32"/>
      <c r="H60" s="32"/>
      <c r="I60" s="107"/>
      <c r="J60" s="32"/>
      <c r="K60" s="32"/>
      <c r="L60" s="98" t="s">
        <v>171</v>
      </c>
      <c r="M60" s="99">
        <f>IF(C60&gt;43607,130000,105000)</f>
        <v>105000</v>
      </c>
      <c r="N60" s="33" t="e">
        <f>VLOOKUP(B60,'REGISTRO ABONOS'!$B$8:$BC$10038,30,0)</f>
        <v>#N/A</v>
      </c>
      <c r="O60" s="99">
        <f>IF(C60&gt;43607,40000,35000)</f>
        <v>35000</v>
      </c>
      <c r="P60" s="99">
        <f>IF(Tabla14[[#This Row],[VALOR BONO]]=105000,5000,5000)</f>
        <v>5000</v>
      </c>
      <c r="Q60" s="33"/>
      <c r="R60" s="33"/>
      <c r="S6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6729</v>
      </c>
      <c r="C61" s="105">
        <v>43562</v>
      </c>
      <c r="D61" s="32" t="s">
        <v>336</v>
      </c>
      <c r="E61" s="32" t="s">
        <v>443</v>
      </c>
      <c r="F61" s="32"/>
      <c r="G61" s="32"/>
      <c r="H61" s="32"/>
      <c r="I61" s="107"/>
      <c r="J61" s="32"/>
      <c r="K61" s="32"/>
      <c r="L61" s="32" t="s">
        <v>411</v>
      </c>
      <c r="M61" s="33">
        <f>IF(C61&gt;43607,130000,105000)</f>
        <v>105000</v>
      </c>
      <c r="N61" s="33" t="e">
        <f>VLOOKUP(B61,'REGISTRO ABONOS'!$B$8:$BC$10038,30,0)</f>
        <v>#N/A</v>
      </c>
      <c r="O61" s="33">
        <f>IF(C61&gt;43607,40000,35000)</f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6901</v>
      </c>
      <c r="C62" s="105">
        <v>43562</v>
      </c>
      <c r="D62" s="32" t="s">
        <v>336</v>
      </c>
      <c r="E62" s="32" t="s">
        <v>435</v>
      </c>
      <c r="F62" s="32"/>
      <c r="G62" s="32"/>
      <c r="H62" s="32"/>
      <c r="I62" s="107"/>
      <c r="J62" s="32"/>
      <c r="K62" s="32"/>
      <c r="L62" s="32" t="s">
        <v>411</v>
      </c>
      <c r="M62" s="33">
        <f>IF(C62&gt;43607,130000,105000)</f>
        <v>105000</v>
      </c>
      <c r="N62" s="33" t="e">
        <f>VLOOKUP(B62,'REGISTRO ABONOS'!$B$8:$BC$10038,30,0)</f>
        <v>#N/A</v>
      </c>
      <c r="O62" s="33">
        <f>IF(C62&gt;43607,40000,35000)</f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6902</v>
      </c>
      <c r="C63" s="105">
        <v>43559</v>
      </c>
      <c r="D63" s="32" t="s">
        <v>119</v>
      </c>
      <c r="E63" s="32" t="s">
        <v>126</v>
      </c>
      <c r="F63" s="32"/>
      <c r="G63" s="32"/>
      <c r="H63" s="32"/>
      <c r="I63" s="107"/>
      <c r="J63" s="32"/>
      <c r="K63" s="32"/>
      <c r="L63" s="32" t="s">
        <v>65</v>
      </c>
      <c r="M63" s="33">
        <f>IF(C63&gt;43607,130000,105000)</f>
        <v>105000</v>
      </c>
      <c r="N63" s="33" t="e">
        <f>VLOOKUP(B63,'REGISTRO ABONOS'!$B$8:$BC$10038,30,0)</f>
        <v>#N/A</v>
      </c>
      <c r="O63" s="33">
        <f>IF(C63&gt;43607,40000,35000)</f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6936</v>
      </c>
      <c r="C64" s="105">
        <v>43571</v>
      </c>
      <c r="D64" s="32" t="s">
        <v>89</v>
      </c>
      <c r="E64" s="32" t="s">
        <v>465</v>
      </c>
      <c r="F64" s="32"/>
      <c r="G64" s="32"/>
      <c r="H64" s="32"/>
      <c r="I64" s="107"/>
      <c r="J64" s="32"/>
      <c r="K64" s="32"/>
      <c r="L64" s="32" t="s">
        <v>322</v>
      </c>
      <c r="M64" s="33">
        <f>IF(C64&gt;43607,130000,105000)</f>
        <v>105000</v>
      </c>
      <c r="N64" s="33" t="e">
        <f>VLOOKUP(B64,'REGISTRO ABONOS'!$B$8:$BC$10038,30,0)</f>
        <v>#N/A</v>
      </c>
      <c r="O64" s="33">
        <f>IF(C64&gt;43607,40000,35000)</f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7214</v>
      </c>
      <c r="C65" s="105">
        <v>43571</v>
      </c>
      <c r="D65" s="32" t="s">
        <v>89</v>
      </c>
      <c r="E65" s="32" t="s">
        <v>478</v>
      </c>
      <c r="F65" s="32"/>
      <c r="G65" s="32"/>
      <c r="H65" s="32"/>
      <c r="I65" s="107"/>
      <c r="J65" s="32"/>
      <c r="K65" s="32"/>
      <c r="L65" s="32" t="s">
        <v>322</v>
      </c>
      <c r="M65" s="33">
        <f>IF(C65&gt;43607,130000,105000)</f>
        <v>105000</v>
      </c>
      <c r="N65" s="33" t="e">
        <f>VLOOKUP(B65,'REGISTRO ABONOS'!$B$8:$BC$10038,30,0)</f>
        <v>#N/A</v>
      </c>
      <c r="O65" s="33">
        <f>IF(C65&gt;43607,40000,35000)</f>
        <v>35000</v>
      </c>
      <c r="P65" s="33">
        <f>IF(Tabla14[[#This Row],[VALOR BONO]]=105000,5000,5000)</f>
        <v>5000</v>
      </c>
      <c r="Q65" s="33">
        <v>0</v>
      </c>
      <c r="R65" s="33">
        <v>0</v>
      </c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7418</v>
      </c>
      <c r="C66" s="105">
        <v>43563</v>
      </c>
      <c r="D66" s="32" t="s">
        <v>336</v>
      </c>
      <c r="E66" s="32" t="s">
        <v>411</v>
      </c>
      <c r="F66" s="32"/>
      <c r="G66" s="32"/>
      <c r="H66" s="32"/>
      <c r="I66" s="107"/>
      <c r="J66" s="32"/>
      <c r="K66" s="32"/>
      <c r="L66" s="32" t="s">
        <v>411</v>
      </c>
      <c r="M66" s="33">
        <f>IF(C66&gt;43607,130000,105000)</f>
        <v>105000</v>
      </c>
      <c r="N66" s="33" t="e">
        <f>VLOOKUP(B66,'REGISTRO ABONOS'!$B$8:$BC$10038,30,0)</f>
        <v>#N/A</v>
      </c>
      <c r="O66" s="33">
        <f>IF(C66&gt;43607,40000,35000)</f>
        <v>35000</v>
      </c>
      <c r="P66" s="33">
        <f>IF(Tabla14[[#This Row],[VALOR BONO]]=105000,5000,5000)</f>
        <v>5000</v>
      </c>
      <c r="Q66" s="33">
        <v>0</v>
      </c>
      <c r="R66" s="33">
        <v>0</v>
      </c>
      <c r="S6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8">
        <v>7418</v>
      </c>
      <c r="C67" s="105">
        <v>43563</v>
      </c>
      <c r="D67" s="32" t="s">
        <v>336</v>
      </c>
      <c r="E67" s="32" t="s">
        <v>411</v>
      </c>
      <c r="F67" s="32"/>
      <c r="G67" s="32"/>
      <c r="H67" s="32"/>
      <c r="I67" s="107"/>
      <c r="J67" s="32"/>
      <c r="K67" s="32"/>
      <c r="L67" s="32" t="s">
        <v>411</v>
      </c>
      <c r="M67" s="33">
        <f>IF(C67&gt;43607,130000,105000)</f>
        <v>105000</v>
      </c>
      <c r="N67" s="33" t="e">
        <f>VLOOKUP(B67,'REGISTRO ABONOS'!$B$8:$BC$10038,30,0)</f>
        <v>#N/A</v>
      </c>
      <c r="O67" s="33">
        <f>IF(C67&gt;43607,40000,35000)</f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8">
        <v>7451</v>
      </c>
      <c r="C68" s="105">
        <v>43562</v>
      </c>
      <c r="D68" s="32" t="s">
        <v>336</v>
      </c>
      <c r="E68" s="32" t="s">
        <v>433</v>
      </c>
      <c r="F68" s="32"/>
      <c r="G68" s="32"/>
      <c r="H68" s="32"/>
      <c r="I68" s="107"/>
      <c r="J68" s="32"/>
      <c r="K68" s="32"/>
      <c r="L68" s="32" t="s">
        <v>411</v>
      </c>
      <c r="M68" s="33">
        <f>IF(C68&gt;43607,130000,105000)</f>
        <v>105000</v>
      </c>
      <c r="N68" s="33" t="e">
        <f>VLOOKUP(B68,'REGISTRO ABONOS'!$B$8:$BC$10038,30,0)</f>
        <v>#N/A</v>
      </c>
      <c r="O68" s="33">
        <f>IF(C68&gt;43607,40000,35000)</f>
        <v>35000</v>
      </c>
      <c r="P68" s="33">
        <f>IF(Tabla14[[#This Row],[VALOR BONO]]=105000,5000,5000)</f>
        <v>5000</v>
      </c>
      <c r="Q68" s="33">
        <v>0</v>
      </c>
      <c r="R68" s="33">
        <v>0</v>
      </c>
      <c r="S6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A69" s="8"/>
      <c r="B69" s="58">
        <v>7500</v>
      </c>
      <c r="C69" s="105">
        <v>43562</v>
      </c>
      <c r="D69" s="32" t="s">
        <v>336</v>
      </c>
      <c r="E69" s="32" t="s">
        <v>442</v>
      </c>
      <c r="F69" s="32"/>
      <c r="G69" s="32"/>
      <c r="H69" s="32"/>
      <c r="I69" s="107"/>
      <c r="J69" s="32"/>
      <c r="K69" s="32"/>
      <c r="L69" s="32" t="s">
        <v>411</v>
      </c>
      <c r="M69" s="33">
        <f>IF(C69&gt;43607,130000,105000)</f>
        <v>105000</v>
      </c>
      <c r="N69" s="33" t="e">
        <f>VLOOKUP(B69,'REGISTRO ABONOS'!$B$8:$BC$10038,30,0)</f>
        <v>#N/A</v>
      </c>
      <c r="O69" s="33">
        <f>IF(C69&gt;43607,40000,35000)</f>
        <v>35000</v>
      </c>
      <c r="P69" s="33">
        <f>IF(Tabla14[[#This Row],[VALOR BONO]]=105000,5000,5000)</f>
        <v>5000</v>
      </c>
      <c r="Q69" s="33">
        <v>0</v>
      </c>
      <c r="R69" s="33">
        <v>0</v>
      </c>
      <c r="S6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hidden="1" x14ac:dyDescent="0.2">
      <c r="A70" s="8"/>
      <c r="B70" s="58">
        <v>7712</v>
      </c>
      <c r="C70" s="105">
        <v>43570</v>
      </c>
      <c r="D70" s="32" t="s">
        <v>336</v>
      </c>
      <c r="E70" s="32" t="s">
        <v>337</v>
      </c>
      <c r="F70" s="32"/>
      <c r="G70" s="32"/>
      <c r="H70" s="32"/>
      <c r="I70" s="107"/>
      <c r="J70" s="32"/>
      <c r="K70" s="32"/>
      <c r="L70" s="32" t="s">
        <v>338</v>
      </c>
      <c r="M70" s="33">
        <f>IF(C70&gt;43607,130000,105000)</f>
        <v>105000</v>
      </c>
      <c r="N70" s="33">
        <f>VLOOKUP(B70,'REGISTRO ABONOS'!$B$8:$BC$10038,30,0)</f>
        <v>0</v>
      </c>
      <c r="O70" s="33">
        <f>IF(C70&gt;43607,40000,35000)</f>
        <v>35000</v>
      </c>
      <c r="P70" s="33">
        <f>IF(Tabla14[[#This Row],[VALOR BONO]]=105000,5000,5000)</f>
        <v>5000</v>
      </c>
      <c r="Q70" s="33">
        <v>0</v>
      </c>
      <c r="R70" s="33">
        <v>0</v>
      </c>
      <c r="S7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0" s="2"/>
    </row>
    <row r="71" spans="1:21" hidden="1" x14ac:dyDescent="0.2">
      <c r="A71" s="8"/>
      <c r="B71" s="58">
        <v>7865</v>
      </c>
      <c r="C71" s="105">
        <v>43571</v>
      </c>
      <c r="D71" s="32" t="s">
        <v>336</v>
      </c>
      <c r="E71" s="32" t="s">
        <v>445</v>
      </c>
      <c r="F71" s="32"/>
      <c r="G71" s="32"/>
      <c r="H71" s="32"/>
      <c r="I71" s="107"/>
      <c r="J71" s="32"/>
      <c r="K71" s="32"/>
      <c r="L71" s="32" t="s">
        <v>336</v>
      </c>
      <c r="M71" s="33">
        <f>IF(C71&gt;43607,130000,105000)</f>
        <v>105000</v>
      </c>
      <c r="N71" s="33" t="e">
        <f>VLOOKUP(B71,'REGISTRO ABONOS'!$B$8:$BC$10038,30,0)</f>
        <v>#N/A</v>
      </c>
      <c r="O71" s="33">
        <f>IF(C71&gt;43607,40000,35000)</f>
        <v>35000</v>
      </c>
      <c r="P71" s="33">
        <f>IF(Tabla14[[#This Row],[VALOR BONO]]=105000,5000,5000)</f>
        <v>5000</v>
      </c>
      <c r="Q71" s="33">
        <v>0</v>
      </c>
      <c r="R71" s="33">
        <v>0</v>
      </c>
      <c r="S7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1" s="2"/>
    </row>
    <row r="72" spans="1:21" hidden="1" x14ac:dyDescent="0.2">
      <c r="A72" s="8"/>
      <c r="B72" s="58">
        <v>7952</v>
      </c>
      <c r="C72" s="105">
        <v>43571</v>
      </c>
      <c r="D72" s="32" t="s">
        <v>89</v>
      </c>
      <c r="E72" s="32" t="s">
        <v>487</v>
      </c>
      <c r="F72" s="32"/>
      <c r="G72" s="32"/>
      <c r="H72" s="32"/>
      <c r="I72" s="107"/>
      <c r="J72" s="32"/>
      <c r="K72" s="32"/>
      <c r="L72" s="32" t="s">
        <v>322</v>
      </c>
      <c r="M72" s="33">
        <f>IF(C72&gt;43607,130000,105000)</f>
        <v>105000</v>
      </c>
      <c r="N72" s="33" t="e">
        <f>VLOOKUP(B72,'REGISTRO ABONOS'!$B$8:$BC$10038,30,0)</f>
        <v>#N/A</v>
      </c>
      <c r="O72" s="33">
        <f>IF(C72&gt;43607,40000,35000)</f>
        <v>35000</v>
      </c>
      <c r="P72" s="33">
        <f>IF(Tabla14[[#This Row],[VALOR BONO]]=105000,5000,5000)</f>
        <v>5000</v>
      </c>
      <c r="Q72" s="33">
        <v>0</v>
      </c>
      <c r="R72" s="33">
        <v>0</v>
      </c>
      <c r="S7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2" s="2"/>
    </row>
    <row r="73" spans="1:21" hidden="1" x14ac:dyDescent="0.2">
      <c r="A73" s="8"/>
      <c r="B73" s="58">
        <v>8038</v>
      </c>
      <c r="C73" s="105">
        <v>43559</v>
      </c>
      <c r="D73" s="32" t="s">
        <v>173</v>
      </c>
      <c r="E73" s="32" t="s">
        <v>189</v>
      </c>
      <c r="F73" s="32"/>
      <c r="G73" s="32"/>
      <c r="H73" s="32"/>
      <c r="I73" s="107"/>
      <c r="J73" s="32"/>
      <c r="K73" s="32"/>
      <c r="L73" s="32" t="s">
        <v>171</v>
      </c>
      <c r="M73" s="33">
        <f>IF(C73&gt;43607,130000,105000)</f>
        <v>105000</v>
      </c>
      <c r="N73" s="33" t="e">
        <f>VLOOKUP(B73,'REGISTRO ABONOS'!$B$8:$BC$10038,30,0)</f>
        <v>#N/A</v>
      </c>
      <c r="O73" s="33">
        <f>IF(C73&gt;43607,40000,35000)</f>
        <v>35000</v>
      </c>
      <c r="P73" s="33">
        <f>IF(Tabla14[[#This Row],[VALOR BONO]]=105000,5000,5000)</f>
        <v>5000</v>
      </c>
      <c r="Q73" s="33">
        <v>0</v>
      </c>
      <c r="R73" s="33">
        <v>0</v>
      </c>
      <c r="S7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3" s="2"/>
    </row>
    <row r="74" spans="1:21" hidden="1" x14ac:dyDescent="0.2">
      <c r="A74" s="8"/>
      <c r="B74" s="58">
        <v>8218</v>
      </c>
      <c r="C74" s="105">
        <v>43556</v>
      </c>
      <c r="D74" s="32" t="s">
        <v>119</v>
      </c>
      <c r="E74" s="32" t="s">
        <v>150</v>
      </c>
      <c r="F74" s="32"/>
      <c r="G74" s="32"/>
      <c r="H74" s="32"/>
      <c r="I74" s="107"/>
      <c r="J74" s="32"/>
      <c r="K74" s="32"/>
      <c r="L74" s="32" t="s">
        <v>65</v>
      </c>
      <c r="M74" s="33">
        <f>IF(C74&gt;43607,130000,105000)</f>
        <v>105000</v>
      </c>
      <c r="N74" s="33" t="e">
        <f>VLOOKUP(B74,'REGISTRO ABONOS'!$B$8:$BC$10038,30,0)</f>
        <v>#N/A</v>
      </c>
      <c r="O74" s="33">
        <f>IF(C74&gt;43607,40000,35000)</f>
        <v>35000</v>
      </c>
      <c r="P74" s="33">
        <f>IF(Tabla14[[#This Row],[VALOR BONO]]=105000,5000,5000)</f>
        <v>5000</v>
      </c>
      <c r="Q74" s="33">
        <v>0</v>
      </c>
      <c r="R74" s="33">
        <v>0</v>
      </c>
      <c r="S7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4" s="2"/>
    </row>
    <row r="75" spans="1:21" hidden="1" x14ac:dyDescent="0.2">
      <c r="A75" s="8"/>
      <c r="B75" s="58">
        <v>8310</v>
      </c>
      <c r="C75" s="105">
        <v>43571</v>
      </c>
      <c r="D75" s="32" t="s">
        <v>89</v>
      </c>
      <c r="E75" s="32" t="s">
        <v>487</v>
      </c>
      <c r="F75" s="32"/>
      <c r="G75" s="32"/>
      <c r="H75" s="32"/>
      <c r="I75" s="107"/>
      <c r="J75" s="32"/>
      <c r="K75" s="32"/>
      <c r="L75" s="32" t="s">
        <v>322</v>
      </c>
      <c r="M75" s="33">
        <f>IF(C75&gt;43607,130000,105000)</f>
        <v>105000</v>
      </c>
      <c r="N75" s="33" t="e">
        <f>VLOOKUP(B75,'REGISTRO ABONOS'!$B$8:$BC$10038,30,0)</f>
        <v>#N/A</v>
      </c>
      <c r="O75" s="33">
        <f>IF(C75&gt;43607,40000,35000)</f>
        <v>35000</v>
      </c>
      <c r="P75" s="33">
        <f>IF(Tabla14[[#This Row],[VALOR BONO]]=105000,5000,5000)</f>
        <v>5000</v>
      </c>
      <c r="Q75" s="33">
        <v>0</v>
      </c>
      <c r="R75" s="33">
        <v>0</v>
      </c>
      <c r="S7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5" s="2"/>
    </row>
    <row r="76" spans="1:21" hidden="1" x14ac:dyDescent="0.2">
      <c r="A76" s="8"/>
      <c r="B76" s="58">
        <v>8520</v>
      </c>
      <c r="C76" s="105">
        <v>43559</v>
      </c>
      <c r="D76" s="32" t="s">
        <v>119</v>
      </c>
      <c r="E76" s="32" t="s">
        <v>146</v>
      </c>
      <c r="F76" s="32"/>
      <c r="G76" s="32"/>
      <c r="H76" s="32"/>
      <c r="I76" s="107"/>
      <c r="J76" s="32"/>
      <c r="K76" s="32"/>
      <c r="L76" s="32" t="s">
        <v>65</v>
      </c>
      <c r="M76" s="33">
        <f>IF(C76&gt;43607,130000,105000)</f>
        <v>105000</v>
      </c>
      <c r="N76" s="33" t="e">
        <f>VLOOKUP(B76,'REGISTRO ABONOS'!$B$8:$BC$10038,30,0)</f>
        <v>#N/A</v>
      </c>
      <c r="O76" s="33">
        <f>IF(C76&gt;43607,40000,35000)</f>
        <v>35000</v>
      </c>
      <c r="P76" s="33">
        <f>IF(Tabla14[[#This Row],[VALOR BONO]]=105000,5000,5000)</f>
        <v>5000</v>
      </c>
      <c r="Q76" s="33">
        <v>0</v>
      </c>
      <c r="R76" s="33">
        <v>0</v>
      </c>
      <c r="S7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6" s="2"/>
    </row>
    <row r="77" spans="1:21" hidden="1" x14ac:dyDescent="0.2">
      <c r="A77" s="8"/>
      <c r="B77" s="58">
        <v>8520</v>
      </c>
      <c r="C77" s="105">
        <v>43559</v>
      </c>
      <c r="D77" s="32" t="s">
        <v>119</v>
      </c>
      <c r="E77" s="32" t="s">
        <v>146</v>
      </c>
      <c r="F77" s="32"/>
      <c r="G77" s="32"/>
      <c r="H77" s="32"/>
      <c r="I77" s="107"/>
      <c r="J77" s="32"/>
      <c r="K77" s="32"/>
      <c r="L77" s="32" t="s">
        <v>65</v>
      </c>
      <c r="M77" s="33">
        <f>IF(C77&gt;43607,130000,105000)</f>
        <v>105000</v>
      </c>
      <c r="N77" s="33" t="e">
        <f>VLOOKUP(B77,'REGISTRO ABONOS'!$B$8:$BC$10038,30,0)</f>
        <v>#N/A</v>
      </c>
      <c r="O77" s="33">
        <f>IF(C77&gt;43607,40000,35000)</f>
        <v>35000</v>
      </c>
      <c r="P77" s="33">
        <f>IF(Tabla14[[#This Row],[VALOR BONO]]=105000,5000,5000)</f>
        <v>5000</v>
      </c>
      <c r="Q77" s="33">
        <v>0</v>
      </c>
      <c r="R77" s="33">
        <v>0</v>
      </c>
      <c r="S7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7" s="2"/>
    </row>
    <row r="78" spans="1:21" hidden="1" x14ac:dyDescent="0.2">
      <c r="A78" s="8"/>
      <c r="B78" s="58">
        <v>8545</v>
      </c>
      <c r="C78" s="105">
        <v>43559</v>
      </c>
      <c r="D78" s="32" t="s">
        <v>173</v>
      </c>
      <c r="E78" s="32" t="s">
        <v>168</v>
      </c>
      <c r="F78" s="32"/>
      <c r="G78" s="32"/>
      <c r="H78" s="32"/>
      <c r="I78" s="107"/>
      <c r="J78" s="32"/>
      <c r="K78" s="32"/>
      <c r="L78" s="98" t="s">
        <v>171</v>
      </c>
      <c r="M78" s="99">
        <f>IF(C78&gt;43607,130000,105000)</f>
        <v>105000</v>
      </c>
      <c r="N78" s="33" t="e">
        <f>VLOOKUP(B78,'REGISTRO ABONOS'!$B$8:$BC$10038,30,0)</f>
        <v>#N/A</v>
      </c>
      <c r="O78" s="99">
        <f>IF(C78&gt;43607,40000,35000)</f>
        <v>35000</v>
      </c>
      <c r="P78" s="99">
        <f>IF(Tabla14[[#This Row],[VALOR BONO]]=105000,5000,5000)</f>
        <v>5000</v>
      </c>
      <c r="Q78" s="33"/>
      <c r="R78" s="33"/>
      <c r="S7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8" s="2"/>
    </row>
    <row r="79" spans="1:21" hidden="1" x14ac:dyDescent="0.2">
      <c r="A79" s="8"/>
      <c r="B79" s="58">
        <v>8588</v>
      </c>
      <c r="C79" s="105">
        <v>43571</v>
      </c>
      <c r="D79" s="32" t="s">
        <v>89</v>
      </c>
      <c r="E79" s="32" t="s">
        <v>463</v>
      </c>
      <c r="F79" s="32"/>
      <c r="G79" s="32"/>
      <c r="H79" s="32"/>
      <c r="I79" s="107"/>
      <c r="J79" s="32"/>
      <c r="K79" s="32"/>
      <c r="L79" s="32" t="s">
        <v>322</v>
      </c>
      <c r="M79" s="33">
        <f>IF(C79&gt;43607,130000,105000)</f>
        <v>105000</v>
      </c>
      <c r="N79" s="33" t="e">
        <f>VLOOKUP(B79,'REGISTRO ABONOS'!$B$8:$BC$10038,30,0)</f>
        <v>#N/A</v>
      </c>
      <c r="O79" s="33">
        <f>IF(C79&gt;43607,40000,35000)</f>
        <v>35000</v>
      </c>
      <c r="P79" s="33">
        <f>IF(Tabla14[[#This Row],[VALOR BONO]]=105000,5000,5000)</f>
        <v>5000</v>
      </c>
      <c r="Q79" s="33">
        <v>0</v>
      </c>
      <c r="R79" s="33">
        <v>0</v>
      </c>
      <c r="S7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9" s="2"/>
    </row>
    <row r="80" spans="1:21" hidden="1" x14ac:dyDescent="0.2">
      <c r="A80" s="8"/>
      <c r="B80" s="58">
        <v>8701</v>
      </c>
      <c r="C80" s="105">
        <v>43565</v>
      </c>
      <c r="D80" s="32" t="s">
        <v>336</v>
      </c>
      <c r="E80" s="32" t="s">
        <v>437</v>
      </c>
      <c r="F80" s="32"/>
      <c r="G80" s="32"/>
      <c r="H80" s="32"/>
      <c r="I80" s="107"/>
      <c r="J80" s="32"/>
      <c r="K80" s="32"/>
      <c r="L80" s="32" t="s">
        <v>411</v>
      </c>
      <c r="M80" s="33">
        <f>IF(C80&gt;43607,130000,105000)</f>
        <v>105000</v>
      </c>
      <c r="N80" s="33" t="e">
        <f>VLOOKUP(B80,'REGISTRO ABONOS'!$B$8:$BC$10038,30,0)</f>
        <v>#N/A</v>
      </c>
      <c r="O80" s="33">
        <f>IF(C80&gt;43607,40000,35000)</f>
        <v>35000</v>
      </c>
      <c r="P80" s="33">
        <f>IF(Tabla14[[#This Row],[VALOR BONO]]=105000,5000,5000)</f>
        <v>5000</v>
      </c>
      <c r="Q80" s="33">
        <v>0</v>
      </c>
      <c r="R80" s="33">
        <v>0</v>
      </c>
      <c r="S8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0" s="2"/>
    </row>
    <row r="81" spans="1:21" hidden="1" x14ac:dyDescent="0.2">
      <c r="A81" s="8"/>
      <c r="B81" s="58">
        <v>8728</v>
      </c>
      <c r="C81" s="105">
        <v>43559</v>
      </c>
      <c r="D81" s="32" t="s">
        <v>173</v>
      </c>
      <c r="E81" s="32" t="s">
        <v>187</v>
      </c>
      <c r="F81" s="32"/>
      <c r="G81" s="32"/>
      <c r="H81" s="32"/>
      <c r="I81" s="107"/>
      <c r="J81" s="32"/>
      <c r="K81" s="32"/>
      <c r="L81" s="98" t="s">
        <v>171</v>
      </c>
      <c r="M81" s="99">
        <f>IF(C81&gt;43607,130000,105000)</f>
        <v>105000</v>
      </c>
      <c r="N81" s="33" t="e">
        <f>VLOOKUP(B81,'REGISTRO ABONOS'!$B$8:$BC$10038,30,0)</f>
        <v>#N/A</v>
      </c>
      <c r="O81" s="99">
        <f>IF(C81&gt;43607,40000,35000)</f>
        <v>35000</v>
      </c>
      <c r="P81" s="99">
        <f>IF(Tabla14[[#This Row],[VALOR BONO]]=105000,5000,5000)</f>
        <v>5000</v>
      </c>
      <c r="Q81" s="33"/>
      <c r="R81" s="33"/>
      <c r="S81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1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81" s="2"/>
    </row>
    <row r="82" spans="1:21" hidden="1" x14ac:dyDescent="0.2">
      <c r="B82" s="86">
        <v>8731</v>
      </c>
      <c r="C82" s="87">
        <v>43563</v>
      </c>
      <c r="D82" s="88" t="s">
        <v>99</v>
      </c>
      <c r="E82" s="88" t="s">
        <v>101</v>
      </c>
      <c r="F82" s="88" t="s">
        <v>100</v>
      </c>
      <c r="G82" s="88">
        <v>3173706957</v>
      </c>
      <c r="H82" s="32">
        <v>66682297</v>
      </c>
      <c r="I82" s="107" t="s">
        <v>60</v>
      </c>
      <c r="J82" s="88" t="s">
        <v>61</v>
      </c>
      <c r="K82" s="88"/>
      <c r="L82" s="88" t="s">
        <v>99</v>
      </c>
      <c r="M82" s="92">
        <f>IF(C82&gt;43607,130000,105000)</f>
        <v>105000</v>
      </c>
      <c r="N82" s="92">
        <f>VLOOKUP(B82,'REGISTRO ABONOS'!$B$8:$BC$10038,30,0)</f>
        <v>0</v>
      </c>
      <c r="O82" s="92">
        <f>IF(C82&gt;43607,40000,35000)</f>
        <v>35000</v>
      </c>
      <c r="P82" s="92">
        <f>IF(Tabla14[[#This Row],[VALOR BONO]]=105000,5000,5000)</f>
        <v>5000</v>
      </c>
      <c r="Q82" s="92">
        <v>0</v>
      </c>
      <c r="R82" s="92">
        <v>0</v>
      </c>
      <c r="S8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3" spans="1:21" hidden="1" x14ac:dyDescent="0.2">
      <c r="B83" s="86">
        <v>9302</v>
      </c>
      <c r="C83" s="87">
        <v>43559</v>
      </c>
      <c r="D83" s="88" t="s">
        <v>173</v>
      </c>
      <c r="E83" s="88" t="s">
        <v>177</v>
      </c>
      <c r="F83" s="88"/>
      <c r="G83" s="88"/>
      <c r="H83" s="32"/>
      <c r="I83" s="107"/>
      <c r="J83" s="88"/>
      <c r="K83" s="88"/>
      <c r="L83" s="90" t="s">
        <v>171</v>
      </c>
      <c r="M83" s="91">
        <f>IF(C83&gt;43607,130000,105000)</f>
        <v>105000</v>
      </c>
      <c r="N83" s="92" t="e">
        <f>VLOOKUP(B83,'REGISTRO ABONOS'!$B$8:$BC$10038,30,0)</f>
        <v>#N/A</v>
      </c>
      <c r="O83" s="91">
        <f>IF(C83&gt;43607,40000,35000)</f>
        <v>35000</v>
      </c>
      <c r="P83" s="91">
        <f>IF(Tabla14[[#This Row],[VALOR BONO]]=105000,5000,5000)</f>
        <v>5000</v>
      </c>
      <c r="Q83" s="92"/>
      <c r="R83" s="92"/>
      <c r="S8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4" spans="1:21" hidden="1" x14ac:dyDescent="0.2">
      <c r="B84" s="86">
        <v>9450</v>
      </c>
      <c r="C84" s="87">
        <v>43571</v>
      </c>
      <c r="D84" s="88" t="s">
        <v>89</v>
      </c>
      <c r="E84" s="88" t="s">
        <v>487</v>
      </c>
      <c r="F84" s="88"/>
      <c r="G84" s="88"/>
      <c r="H84" s="32"/>
      <c r="I84" s="107"/>
      <c r="J84" s="88"/>
      <c r="K84" s="88"/>
      <c r="L84" s="88" t="s">
        <v>322</v>
      </c>
      <c r="M84" s="92">
        <f>IF(C84&gt;43607,130000,105000)</f>
        <v>105000</v>
      </c>
      <c r="N84" s="92" t="e">
        <f>VLOOKUP(B84,'REGISTRO ABONOS'!$B$8:$BC$10038,30,0)</f>
        <v>#N/A</v>
      </c>
      <c r="O84" s="92">
        <f>IF(C84&gt;43607,40000,35000)</f>
        <v>35000</v>
      </c>
      <c r="P84" s="92">
        <f>IF(Tabla14[[#This Row],[VALOR BONO]]=105000,5000,5000)</f>
        <v>5000</v>
      </c>
      <c r="Q84" s="92">
        <v>0</v>
      </c>
      <c r="R84" s="92">
        <v>0</v>
      </c>
      <c r="S84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4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5" spans="1:21" hidden="1" x14ac:dyDescent="0.2">
      <c r="B85" s="86">
        <v>9535</v>
      </c>
      <c r="C85" s="87">
        <v>43571</v>
      </c>
      <c r="D85" s="88" t="s">
        <v>89</v>
      </c>
      <c r="E85" s="88" t="s">
        <v>467</v>
      </c>
      <c r="F85" s="88"/>
      <c r="G85" s="88"/>
      <c r="H85" s="32"/>
      <c r="I85" s="107"/>
      <c r="J85" s="88"/>
      <c r="K85" s="88"/>
      <c r="L85" s="88" t="s">
        <v>322</v>
      </c>
      <c r="M85" s="92">
        <f>IF(C85&gt;43607,130000,105000)</f>
        <v>105000</v>
      </c>
      <c r="N85" s="92" t="e">
        <f>VLOOKUP(B85,'REGISTRO ABONOS'!$B$8:$BC$10038,30,0)</f>
        <v>#N/A</v>
      </c>
      <c r="O85" s="92">
        <f>IF(C85&gt;43607,40000,35000)</f>
        <v>35000</v>
      </c>
      <c r="P85" s="92">
        <f>IF(Tabla14[[#This Row],[VALOR BONO]]=105000,5000,5000)</f>
        <v>5000</v>
      </c>
      <c r="Q85" s="92">
        <v>0</v>
      </c>
      <c r="R85" s="92">
        <v>0</v>
      </c>
      <c r="S8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6" spans="1:21" hidden="1" x14ac:dyDescent="0.2">
      <c r="B86" s="86">
        <v>9826</v>
      </c>
      <c r="C86" s="87">
        <v>43561</v>
      </c>
      <c r="D86" s="88" t="s">
        <v>119</v>
      </c>
      <c r="E86" s="88" t="s">
        <v>138</v>
      </c>
      <c r="F86" s="88"/>
      <c r="G86" s="88"/>
      <c r="H86" s="32"/>
      <c r="I86" s="107"/>
      <c r="J86" s="88"/>
      <c r="K86" s="88"/>
      <c r="L86" s="88" t="s">
        <v>65</v>
      </c>
      <c r="M86" s="92">
        <f>IF(C86&gt;43607,130000,105000)</f>
        <v>105000</v>
      </c>
      <c r="N86" s="92" t="e">
        <f>VLOOKUP(B86,'REGISTRO ABONOS'!$B$8:$BC$10038,30,0)</f>
        <v>#N/A</v>
      </c>
      <c r="O86" s="92">
        <f>IF(C86&gt;43607,40000,35000)</f>
        <v>35000</v>
      </c>
      <c r="P86" s="92">
        <f>IF(Tabla14[[#This Row],[VALOR BONO]]=105000,5000,5000)</f>
        <v>5000</v>
      </c>
      <c r="Q86" s="92">
        <v>0</v>
      </c>
      <c r="R86" s="92">
        <v>0</v>
      </c>
      <c r="S86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6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83:N10333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10"/>
  <sheetViews>
    <sheetView workbookViewId="0">
      <selection activeCell="B9" sqref="B9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ABONOS'!$B$8:$BC$10038,30,0)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  <row r="10" spans="1:20" x14ac:dyDescent="0.2">
      <c r="A10" s="8"/>
      <c r="B10" s="58">
        <v>328</v>
      </c>
      <c r="C10" s="34">
        <v>43571</v>
      </c>
      <c r="D10" s="32" t="s">
        <v>89</v>
      </c>
      <c r="E10" s="32" t="s">
        <v>513</v>
      </c>
      <c r="F10" s="32"/>
      <c r="G10" s="32"/>
      <c r="H10" s="32"/>
      <c r="I10" s="32"/>
      <c r="J10" s="32"/>
      <c r="K10" s="32"/>
      <c r="L10" s="32" t="s">
        <v>322</v>
      </c>
      <c r="M10" s="33">
        <f t="shared" ref="M10" si="2">IF(C10&gt;43607,130000,105000)</f>
        <v>105000</v>
      </c>
      <c r="N10" s="33" t="e">
        <f>VLOOKUP(B10,'REGISTRO ABONOS'!$B$8:$BC$10038,30,0)</f>
        <v>#N/A</v>
      </c>
      <c r="O10" s="33">
        <f t="shared" ref="O10" si="3">IF(C10&gt;43607,40000,35000)</f>
        <v>35000</v>
      </c>
      <c r="P10" s="33">
        <v>5003</v>
      </c>
      <c r="Q10" s="33"/>
      <c r="R10" s="33"/>
      <c r="S10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10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2:N10262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zoomScaleNormal="100" workbookViewId="0">
      <selection activeCell="A10017" sqref="A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ABONOS'!$B$8:$BC$10041,54,0)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ABONOS'!$B$8:$BC$10041,54,0)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ABONOS'!$B$8:$BC$10041,54,0)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hidden="1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ABONOS'!$B$8:$BC$10041,54,0)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hidden="1" x14ac:dyDescent="0.2">
      <c r="B13" s="31">
        <v>4</v>
      </c>
      <c r="J13">
        <f t="shared" si="1"/>
        <v>105000</v>
      </c>
      <c r="K13" t="e">
        <f>VLOOKUP(B13,'REGISTRO ABONOS'!$B$8:$BC$10041,54,0)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hidden="1" x14ac:dyDescent="0.2">
      <c r="B14" s="31">
        <v>5</v>
      </c>
      <c r="J14">
        <f t="shared" si="1"/>
        <v>105000</v>
      </c>
      <c r="K14" t="e">
        <f>VLOOKUP(B14,'REGISTRO ABONOS'!$B$8:$BC$10041,54,0)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hidden="1" x14ac:dyDescent="0.2">
      <c r="B15" s="31">
        <v>6</v>
      </c>
      <c r="J15">
        <f t="shared" si="1"/>
        <v>105000</v>
      </c>
      <c r="K15" t="e">
        <f>VLOOKUP(B15,'REGISTRO ABONOS'!$B$8:$BC$10041,54,0)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hidden="1" x14ac:dyDescent="0.2">
      <c r="B16" s="31">
        <v>7</v>
      </c>
      <c r="J16">
        <f t="shared" si="1"/>
        <v>105000</v>
      </c>
      <c r="K16" t="e">
        <f>VLOOKUP(B16,'REGISTRO ABONOS'!$B$8:$BC$10041,54,0)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hidden="1" x14ac:dyDescent="0.2">
      <c r="B17" s="31">
        <v>8</v>
      </c>
      <c r="J17">
        <f t="shared" si="1"/>
        <v>105000</v>
      </c>
      <c r="K17" t="e">
        <f>VLOOKUP(B17,'REGISTRO ABONOS'!$B$8:$BC$10041,54,0)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hidden="1" x14ac:dyDescent="0.2">
      <c r="B18" s="31">
        <v>9</v>
      </c>
      <c r="J18">
        <f t="shared" si="1"/>
        <v>105000</v>
      </c>
      <c r="K18" t="e">
        <f>VLOOKUP(B18,'REGISTRO ABONOS'!$B$8:$BC$10041,54,0)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hidden="1" x14ac:dyDescent="0.2">
      <c r="B19" s="31">
        <v>10</v>
      </c>
      <c r="J19">
        <f t="shared" si="1"/>
        <v>105000</v>
      </c>
      <c r="K19" t="e">
        <f>VLOOKUP(B19,'REGISTRO ABONOS'!$B$8:$BC$10041,54,0)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hidden="1" x14ac:dyDescent="0.2">
      <c r="B20" s="31">
        <v>11</v>
      </c>
      <c r="J20">
        <f t="shared" si="1"/>
        <v>105000</v>
      </c>
      <c r="K20" t="e">
        <f>VLOOKUP(B20,'REGISTRO ABONOS'!$B$8:$BC$10041,54,0)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hidden="1" x14ac:dyDescent="0.2">
      <c r="B21" s="31">
        <v>12</v>
      </c>
      <c r="J21">
        <f t="shared" si="1"/>
        <v>105000</v>
      </c>
      <c r="K21" t="e">
        <f>VLOOKUP(B21,'REGISTRO ABONOS'!$B$8:$BC$10041,54,0)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hidden="1" x14ac:dyDescent="0.2">
      <c r="B22" s="31">
        <v>13</v>
      </c>
      <c r="J22">
        <f t="shared" si="1"/>
        <v>105000</v>
      </c>
      <c r="K22" t="e">
        <f>VLOOKUP(B22,'REGISTRO ABONOS'!$B$8:$BC$10041,54,0)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hidden="1" x14ac:dyDescent="0.2">
      <c r="B23" s="31">
        <v>14</v>
      </c>
      <c r="J23">
        <f t="shared" si="1"/>
        <v>105000</v>
      </c>
      <c r="K23" t="e">
        <f>VLOOKUP(B23,'REGISTRO ABONOS'!$B$8:$BC$10041,54,0)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hidden="1" x14ac:dyDescent="0.2">
      <c r="B24" s="31">
        <v>15</v>
      </c>
      <c r="J24">
        <f t="shared" si="1"/>
        <v>105000</v>
      </c>
      <c r="K24" t="e">
        <f>VLOOKUP(B24,'REGISTRO ABONOS'!$B$8:$BC$10041,54,0)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hidden="1" x14ac:dyDescent="0.2">
      <c r="B25" s="31">
        <v>16</v>
      </c>
      <c r="J25">
        <f t="shared" si="1"/>
        <v>105000</v>
      </c>
      <c r="K25" t="e">
        <f>VLOOKUP(B25,'REGISTRO ABONOS'!$B$8:$BC$10041,54,0)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hidden="1" x14ac:dyDescent="0.2">
      <c r="B26" s="31">
        <v>17</v>
      </c>
      <c r="J26">
        <f t="shared" si="1"/>
        <v>105000</v>
      </c>
      <c r="K26" t="e">
        <f>VLOOKUP(B26,'REGISTRO ABONOS'!$B$8:$BC$10041,54,0)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hidden="1" x14ac:dyDescent="0.2">
      <c r="B27" s="31">
        <v>18</v>
      </c>
      <c r="J27">
        <f t="shared" si="1"/>
        <v>105000</v>
      </c>
      <c r="K27" t="e">
        <f>VLOOKUP(B27,'REGISTRO ABONOS'!$B$8:$BC$10041,54,0)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hidden="1" x14ac:dyDescent="0.2">
      <c r="B28" s="31">
        <v>19</v>
      </c>
      <c r="J28">
        <f t="shared" si="1"/>
        <v>105000</v>
      </c>
      <c r="K28" t="e">
        <f>VLOOKUP(B28,'REGISTRO ABONOS'!$B$8:$BC$10041,54,0)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hidden="1" x14ac:dyDescent="0.2">
      <c r="B29" s="31">
        <v>20</v>
      </c>
      <c r="J29">
        <f t="shared" si="1"/>
        <v>105000</v>
      </c>
      <c r="K29" t="e">
        <f>VLOOKUP(B29,'REGISTRO ABONOS'!$B$8:$BC$10041,54,0)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hidden="1" x14ac:dyDescent="0.2">
      <c r="B30" s="31">
        <v>21</v>
      </c>
      <c r="J30">
        <f t="shared" si="1"/>
        <v>105000</v>
      </c>
      <c r="K30" t="e">
        <f>VLOOKUP(B30,'REGISTRO ABONOS'!$B$8:$BC$10041,54,0)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hidden="1" x14ac:dyDescent="0.2">
      <c r="B31" s="31">
        <v>22</v>
      </c>
      <c r="J31">
        <f t="shared" si="1"/>
        <v>105000</v>
      </c>
      <c r="K31" t="e">
        <f>VLOOKUP(B31,'REGISTRO ABONOS'!$B$8:$BC$10041,54,0)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hidden="1" x14ac:dyDescent="0.2">
      <c r="B32" s="31">
        <v>23</v>
      </c>
      <c r="J32">
        <f t="shared" si="1"/>
        <v>105000</v>
      </c>
      <c r="K32" t="e">
        <f>VLOOKUP(B32,'REGISTRO ABONOS'!$B$8:$BC$10041,54,0)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hidden="1" x14ac:dyDescent="0.2">
      <c r="B33" s="31">
        <v>24</v>
      </c>
      <c r="J33">
        <f t="shared" si="1"/>
        <v>105000</v>
      </c>
      <c r="K33" t="e">
        <f>VLOOKUP(B33,'REGISTRO ABONOS'!$B$8:$BC$10041,54,0)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hidden="1" x14ac:dyDescent="0.2">
      <c r="B34" s="31">
        <v>25</v>
      </c>
      <c r="J34">
        <f t="shared" si="1"/>
        <v>105000</v>
      </c>
      <c r="K34" t="e">
        <f>VLOOKUP(B34,'REGISTRO ABONOS'!$B$8:$BC$10041,54,0)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hidden="1" x14ac:dyDescent="0.2">
      <c r="B35" s="31">
        <v>26</v>
      </c>
      <c r="J35">
        <f t="shared" si="1"/>
        <v>105000</v>
      </c>
      <c r="K35" t="e">
        <f>VLOOKUP(B35,'REGISTRO ABONOS'!$B$8:$BC$10041,54,0)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hidden="1" x14ac:dyDescent="0.2">
      <c r="B36" s="31">
        <v>27</v>
      </c>
      <c r="J36">
        <f t="shared" si="1"/>
        <v>105000</v>
      </c>
      <c r="K36" t="e">
        <f>VLOOKUP(B36,'REGISTRO ABONOS'!$B$8:$BC$10041,54,0)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hidden="1" x14ac:dyDescent="0.2">
      <c r="B37" s="31">
        <v>28</v>
      </c>
      <c r="J37">
        <f t="shared" si="1"/>
        <v>105000</v>
      </c>
      <c r="K37" t="e">
        <f>VLOOKUP(B37,'REGISTRO ABONOS'!$B$8:$BC$10041,54,0)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hidden="1" x14ac:dyDescent="0.2">
      <c r="B38" s="31">
        <v>29</v>
      </c>
      <c r="J38">
        <f t="shared" si="1"/>
        <v>105000</v>
      </c>
      <c r="K38" t="e">
        <f>VLOOKUP(B38,'REGISTRO ABONOS'!$B$8:$BC$10041,54,0)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hidden="1" x14ac:dyDescent="0.2">
      <c r="B39" s="31">
        <v>30</v>
      </c>
      <c r="J39">
        <f t="shared" si="1"/>
        <v>105000</v>
      </c>
      <c r="K39" t="e">
        <f>VLOOKUP(B39,'REGISTRO ABONOS'!$B$8:$BC$10041,54,0)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hidden="1" x14ac:dyDescent="0.2">
      <c r="B40" s="31">
        <v>31</v>
      </c>
      <c r="J40">
        <f t="shared" si="1"/>
        <v>105000</v>
      </c>
      <c r="K40" t="e">
        <f>VLOOKUP(B40,'REGISTRO ABONOS'!$B$8:$BC$10041,54,0)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hidden="1" x14ac:dyDescent="0.2">
      <c r="B41" s="31">
        <v>32</v>
      </c>
      <c r="J41">
        <f t="shared" si="1"/>
        <v>105000</v>
      </c>
      <c r="K41" t="e">
        <f>VLOOKUP(B41,'REGISTRO ABONOS'!$B$8:$BC$10041,54,0)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hidden="1" x14ac:dyDescent="0.2">
      <c r="B42" s="31">
        <v>33</v>
      </c>
      <c r="J42">
        <f t="shared" si="1"/>
        <v>105000</v>
      </c>
      <c r="K42" t="e">
        <f>VLOOKUP(B42,'REGISTRO ABONOS'!$B$8:$BC$10041,54,0)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hidden="1" x14ac:dyDescent="0.2">
      <c r="B43" s="31">
        <v>34</v>
      </c>
      <c r="J43">
        <f t="shared" si="1"/>
        <v>105000</v>
      </c>
      <c r="K43" t="e">
        <f>VLOOKUP(B43,'REGISTRO ABONOS'!$B$8:$BC$10041,54,0)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hidden="1" x14ac:dyDescent="0.2">
      <c r="B44" s="31">
        <v>35</v>
      </c>
      <c r="J44">
        <f t="shared" si="1"/>
        <v>105000</v>
      </c>
      <c r="K44" t="e">
        <f>VLOOKUP(B44,'REGISTRO ABONOS'!$B$8:$BC$10041,54,0)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hidden="1" x14ac:dyDescent="0.2">
      <c r="B45" s="31">
        <v>36</v>
      </c>
      <c r="J45">
        <f t="shared" si="1"/>
        <v>105000</v>
      </c>
      <c r="K45" t="e">
        <f>VLOOKUP(B45,'REGISTRO ABONOS'!$B$8:$BC$10041,54,0)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hidden="1" x14ac:dyDescent="0.2">
      <c r="B46" s="31">
        <v>37</v>
      </c>
      <c r="J46">
        <f t="shared" si="1"/>
        <v>105000</v>
      </c>
      <c r="K46" t="e">
        <f>VLOOKUP(B46,'REGISTRO ABONOS'!$B$8:$BC$10041,54,0)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hidden="1" x14ac:dyDescent="0.2">
      <c r="B47" s="31">
        <v>38</v>
      </c>
      <c r="J47">
        <f t="shared" si="1"/>
        <v>105000</v>
      </c>
      <c r="K47" t="e">
        <f>VLOOKUP(B47,'REGISTRO ABONOS'!$B$8:$BC$10041,54,0)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hidden="1" x14ac:dyDescent="0.2">
      <c r="B48" s="31">
        <v>39</v>
      </c>
      <c r="J48">
        <f t="shared" si="1"/>
        <v>105000</v>
      </c>
      <c r="K48" t="e">
        <f>VLOOKUP(B48,'REGISTRO ABONOS'!$B$8:$BC$10041,54,0)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hidden="1" x14ac:dyDescent="0.2">
      <c r="B49" s="31">
        <v>40</v>
      </c>
      <c r="J49">
        <f t="shared" si="1"/>
        <v>105000</v>
      </c>
      <c r="K49" t="e">
        <f>VLOOKUP(B49,'REGISTRO ABONOS'!$B$8:$BC$10041,54,0)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hidden="1" x14ac:dyDescent="0.2">
      <c r="B50" s="31">
        <v>41</v>
      </c>
      <c r="J50">
        <f t="shared" si="1"/>
        <v>105000</v>
      </c>
      <c r="K50" t="e">
        <f>VLOOKUP(B50,'REGISTRO ABONOS'!$B$8:$BC$10041,54,0)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hidden="1" x14ac:dyDescent="0.2">
      <c r="B51" s="31">
        <v>42</v>
      </c>
      <c r="J51">
        <f t="shared" si="1"/>
        <v>105000</v>
      </c>
      <c r="K51" t="e">
        <f>VLOOKUP(B51,'REGISTRO ABONOS'!$B$8:$BC$10041,54,0)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hidden="1" x14ac:dyDescent="0.2">
      <c r="B52" s="31">
        <v>43</v>
      </c>
      <c r="J52">
        <f t="shared" si="1"/>
        <v>105000</v>
      </c>
      <c r="K52" t="e">
        <f>VLOOKUP(B52,'REGISTRO ABONOS'!$B$8:$BC$10041,54,0)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hidden="1" x14ac:dyDescent="0.2">
      <c r="B53" s="31">
        <v>44</v>
      </c>
      <c r="J53">
        <f t="shared" si="1"/>
        <v>105000</v>
      </c>
      <c r="K53" t="e">
        <f>VLOOKUP(B53,'REGISTRO ABONOS'!$B$8:$BC$10041,54,0)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hidden="1" x14ac:dyDescent="0.2">
      <c r="B54" s="31">
        <v>45</v>
      </c>
      <c r="J54">
        <f t="shared" si="1"/>
        <v>105000</v>
      </c>
      <c r="K54" t="e">
        <f>VLOOKUP(B54,'REGISTRO ABONOS'!$B$8:$BC$10041,54,0)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hidden="1" x14ac:dyDescent="0.2">
      <c r="B55" s="31">
        <v>46</v>
      </c>
      <c r="J55">
        <f t="shared" si="1"/>
        <v>105000</v>
      </c>
      <c r="K55" t="e">
        <f>VLOOKUP(B55,'REGISTRO ABONOS'!$B$8:$BC$10041,54,0)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hidden="1" x14ac:dyDescent="0.2">
      <c r="B56" s="31">
        <v>47</v>
      </c>
      <c r="J56">
        <f t="shared" si="1"/>
        <v>105000</v>
      </c>
      <c r="K56" t="e">
        <f>VLOOKUP(B56,'REGISTRO ABONOS'!$B$8:$BC$10041,54,0)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hidden="1" x14ac:dyDescent="0.2">
      <c r="B57" s="31">
        <v>48</v>
      </c>
      <c r="J57">
        <f t="shared" si="1"/>
        <v>105000</v>
      </c>
      <c r="K57" t="e">
        <f>VLOOKUP(B57,'REGISTRO ABONOS'!$B$8:$BC$10041,54,0)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hidden="1" x14ac:dyDescent="0.2">
      <c r="B58" s="31">
        <v>49</v>
      </c>
      <c r="J58">
        <f t="shared" si="1"/>
        <v>105000</v>
      </c>
      <c r="K58" t="e">
        <f>VLOOKUP(B58,'REGISTRO ABONOS'!$B$8:$BC$10041,54,0)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hidden="1" x14ac:dyDescent="0.2">
      <c r="B59" s="31">
        <v>50</v>
      </c>
      <c r="J59">
        <f t="shared" si="1"/>
        <v>105000</v>
      </c>
      <c r="K59" t="e">
        <f>VLOOKUP(B59,'REGISTRO ABONOS'!$B$8:$BC$10041,54,0)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hidden="1" x14ac:dyDescent="0.2">
      <c r="B60" s="31">
        <v>51</v>
      </c>
      <c r="J60">
        <f t="shared" si="1"/>
        <v>105000</v>
      </c>
      <c r="K60" t="e">
        <f>VLOOKUP(B60,'REGISTRO ABONOS'!$B$8:$BC$10041,54,0)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hidden="1" x14ac:dyDescent="0.2">
      <c r="B61" s="31">
        <v>52</v>
      </c>
      <c r="J61">
        <f t="shared" si="1"/>
        <v>105000</v>
      </c>
      <c r="K61" t="e">
        <f>VLOOKUP(B61,'REGISTRO ABONOS'!$B$8:$BC$10041,54,0)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hidden="1" x14ac:dyDescent="0.2">
      <c r="B62" s="31">
        <v>53</v>
      </c>
      <c r="J62">
        <f t="shared" si="1"/>
        <v>105000</v>
      </c>
      <c r="K62" t="e">
        <f>VLOOKUP(B62,'REGISTRO ABONOS'!$B$8:$BC$10041,54,0)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hidden="1" x14ac:dyDescent="0.2">
      <c r="B63" s="31">
        <v>54</v>
      </c>
      <c r="J63">
        <f t="shared" si="1"/>
        <v>105000</v>
      </c>
      <c r="K63" t="e">
        <f>VLOOKUP(B63,'REGISTRO ABONOS'!$B$8:$BC$10041,54,0)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hidden="1" x14ac:dyDescent="0.2">
      <c r="B64" s="31">
        <v>55</v>
      </c>
      <c r="J64">
        <f t="shared" si="1"/>
        <v>105000</v>
      </c>
      <c r="K64" t="e">
        <f>VLOOKUP(B64,'REGISTRO ABONOS'!$B$8:$BC$10041,54,0)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hidden="1" x14ac:dyDescent="0.2">
      <c r="B65" s="31">
        <v>56</v>
      </c>
      <c r="J65">
        <f t="shared" si="1"/>
        <v>105000</v>
      </c>
      <c r="K65" t="e">
        <f>VLOOKUP(B65,'REGISTRO ABONOS'!$B$8:$BC$10041,54,0)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hidden="1" x14ac:dyDescent="0.2">
      <c r="B66" s="31">
        <v>57</v>
      </c>
      <c r="J66">
        <f t="shared" si="1"/>
        <v>105000</v>
      </c>
      <c r="K66" t="e">
        <f>VLOOKUP(B66,'REGISTRO ABONOS'!$B$8:$BC$10041,54,0)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hidden="1" x14ac:dyDescent="0.2">
      <c r="B67" s="31">
        <v>58</v>
      </c>
      <c r="J67">
        <f t="shared" si="1"/>
        <v>105000</v>
      </c>
      <c r="K67" t="e">
        <f>VLOOKUP(B67,'REGISTRO ABONOS'!$B$8:$BC$10041,54,0)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hidden="1" x14ac:dyDescent="0.2">
      <c r="B68" s="31">
        <v>59</v>
      </c>
      <c r="J68">
        <f t="shared" si="1"/>
        <v>105000</v>
      </c>
      <c r="K68" t="e">
        <f>VLOOKUP(B68,'REGISTRO ABONOS'!$B$8:$BC$10041,54,0)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hidden="1" x14ac:dyDescent="0.2">
      <c r="B69" s="31">
        <v>60</v>
      </c>
      <c r="J69">
        <f t="shared" si="1"/>
        <v>105000</v>
      </c>
      <c r="K69" t="e">
        <f>VLOOKUP(B69,'REGISTRO ABONOS'!$B$8:$BC$10041,54,0)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hidden="1" x14ac:dyDescent="0.2">
      <c r="B70" s="31">
        <v>61</v>
      </c>
      <c r="J70">
        <f t="shared" si="1"/>
        <v>105000</v>
      </c>
      <c r="K70" t="e">
        <f>VLOOKUP(B70,'REGISTRO ABONOS'!$B$8:$BC$10041,54,0)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hidden="1" x14ac:dyDescent="0.2">
      <c r="B71" s="31">
        <v>62</v>
      </c>
      <c r="J71">
        <f t="shared" si="1"/>
        <v>105000</v>
      </c>
      <c r="K71" t="e">
        <f>VLOOKUP(B71,'REGISTRO ABONOS'!$B$8:$BC$10041,54,0)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hidden="1" x14ac:dyDescent="0.2">
      <c r="B72" s="31">
        <v>63</v>
      </c>
      <c r="J72">
        <f t="shared" si="1"/>
        <v>105000</v>
      </c>
      <c r="K72" t="e">
        <f>VLOOKUP(B72,'REGISTRO ABONOS'!$B$8:$BC$10041,54,0)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hidden="1" x14ac:dyDescent="0.2">
      <c r="B73" s="31">
        <v>64</v>
      </c>
      <c r="J73">
        <f t="shared" si="1"/>
        <v>105000</v>
      </c>
      <c r="K73" t="e">
        <f>VLOOKUP(B73,'REGISTRO ABONOS'!$B$8:$BC$10041,54,0)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hidden="1" x14ac:dyDescent="0.2">
      <c r="B74" s="31">
        <v>65</v>
      </c>
      <c r="J74">
        <f t="shared" si="1"/>
        <v>105000</v>
      </c>
      <c r="K74" t="e">
        <f>VLOOKUP(B74,'REGISTRO ABONOS'!$B$8:$BC$10041,54,0)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hidden="1" x14ac:dyDescent="0.2">
      <c r="B75" s="31">
        <v>66</v>
      </c>
      <c r="J75">
        <f t="shared" si="1"/>
        <v>105000</v>
      </c>
      <c r="K75" t="e">
        <f>VLOOKUP(B75,'REGISTRO ABONOS'!$B$8:$BC$10041,54,0)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hidden="1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ABONOS'!$B$8:$BC$10041,54,0)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hidden="1" x14ac:dyDescent="0.2">
      <c r="B77" s="31">
        <v>68</v>
      </c>
      <c r="J77">
        <f t="shared" si="2"/>
        <v>105000</v>
      </c>
      <c r="K77" t="e">
        <f>VLOOKUP(B77,'REGISTRO ABONOS'!$B$8:$BC$10041,54,0)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hidden="1" x14ac:dyDescent="0.2">
      <c r="B78" s="31">
        <v>69</v>
      </c>
      <c r="J78">
        <f t="shared" si="2"/>
        <v>105000</v>
      </c>
      <c r="K78" t="e">
        <f>VLOOKUP(B78,'REGISTRO ABONOS'!$B$8:$BC$10041,54,0)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hidden="1" x14ac:dyDescent="0.2">
      <c r="B79" s="31">
        <v>70</v>
      </c>
      <c r="J79">
        <f t="shared" si="2"/>
        <v>105000</v>
      </c>
      <c r="K79" t="e">
        <f>VLOOKUP(B79,'REGISTRO ABONOS'!$B$8:$BC$10041,54,0)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hidden="1" x14ac:dyDescent="0.2">
      <c r="B80" s="31">
        <v>71</v>
      </c>
      <c r="J80">
        <f t="shared" si="2"/>
        <v>105000</v>
      </c>
      <c r="K80" t="e">
        <f>VLOOKUP(B80,'REGISTRO ABONOS'!$B$8:$BC$10041,54,0)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hidden="1" x14ac:dyDescent="0.2">
      <c r="B81" s="31">
        <v>72</v>
      </c>
      <c r="J81">
        <f t="shared" si="2"/>
        <v>105000</v>
      </c>
      <c r="K81" t="e">
        <f>VLOOKUP(B81,'REGISTRO ABONOS'!$B$8:$BC$10041,54,0)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hidden="1" x14ac:dyDescent="0.2">
      <c r="B82" s="31">
        <v>73</v>
      </c>
      <c r="J82">
        <f t="shared" si="2"/>
        <v>105000</v>
      </c>
      <c r="K82" t="e">
        <f>VLOOKUP(B82,'REGISTRO ABONOS'!$B$8:$BC$10041,54,0)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hidden="1" x14ac:dyDescent="0.2">
      <c r="B83" s="31">
        <v>74</v>
      </c>
      <c r="J83">
        <f t="shared" si="2"/>
        <v>105000</v>
      </c>
      <c r="K83" t="e">
        <f>VLOOKUP(B83,'REGISTRO ABONOS'!$B$8:$BC$10041,54,0)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hidden="1" x14ac:dyDescent="0.2">
      <c r="B84" s="31">
        <v>75</v>
      </c>
      <c r="J84">
        <f t="shared" si="2"/>
        <v>105000</v>
      </c>
      <c r="K84" t="e">
        <f>VLOOKUP(B84,'REGISTRO ABONOS'!$B$8:$BC$10041,54,0)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hidden="1" x14ac:dyDescent="0.2">
      <c r="B85" s="31">
        <v>76</v>
      </c>
      <c r="J85">
        <f t="shared" si="2"/>
        <v>105000</v>
      </c>
      <c r="K85" t="e">
        <f>VLOOKUP(B85,'REGISTRO ABONOS'!$B$8:$BC$10041,54,0)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hidden="1" x14ac:dyDescent="0.2">
      <c r="B86" s="31">
        <v>77</v>
      </c>
      <c r="J86">
        <f t="shared" si="2"/>
        <v>105000</v>
      </c>
      <c r="K86" t="e">
        <f>VLOOKUP(B86,'REGISTRO ABONOS'!$B$8:$BC$10041,54,0)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hidden="1" x14ac:dyDescent="0.2">
      <c r="B87" s="31">
        <v>78</v>
      </c>
      <c r="J87">
        <f t="shared" si="2"/>
        <v>105000</v>
      </c>
      <c r="K87" t="e">
        <f>VLOOKUP(B87,'REGISTRO ABONOS'!$B$8:$BC$10041,54,0)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hidden="1" x14ac:dyDescent="0.2">
      <c r="B88" s="31">
        <v>79</v>
      </c>
      <c r="J88">
        <f t="shared" si="2"/>
        <v>105000</v>
      </c>
      <c r="K88" t="e">
        <f>VLOOKUP(B88,'REGISTRO ABONOS'!$B$8:$BC$10041,54,0)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hidden="1" x14ac:dyDescent="0.2">
      <c r="B89" s="31">
        <v>80</v>
      </c>
      <c r="J89">
        <f t="shared" si="2"/>
        <v>105000</v>
      </c>
      <c r="K89" t="e">
        <f>VLOOKUP(B89,'REGISTRO ABONOS'!$B$8:$BC$10041,54,0)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hidden="1" x14ac:dyDescent="0.2">
      <c r="B90" s="31">
        <v>81</v>
      </c>
      <c r="J90">
        <f t="shared" si="2"/>
        <v>105000</v>
      </c>
      <c r="K90" t="e">
        <f>VLOOKUP(B90,'REGISTRO ABONOS'!$B$8:$BC$10041,54,0)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hidden="1" x14ac:dyDescent="0.2">
      <c r="B91" s="31">
        <v>82</v>
      </c>
      <c r="J91">
        <f t="shared" si="2"/>
        <v>105000</v>
      </c>
      <c r="K91" t="e">
        <f>VLOOKUP(B91,'REGISTRO ABONOS'!$B$8:$BC$10041,54,0)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hidden="1" x14ac:dyDescent="0.2">
      <c r="B92" s="31">
        <v>83</v>
      </c>
      <c r="J92">
        <f t="shared" si="2"/>
        <v>105000</v>
      </c>
      <c r="K92" t="e">
        <f>VLOOKUP(B92,'REGISTRO ABONOS'!$B$8:$BC$10041,54,0)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hidden="1" x14ac:dyDescent="0.2">
      <c r="B93" s="31">
        <v>84</v>
      </c>
      <c r="J93">
        <f t="shared" si="2"/>
        <v>105000</v>
      </c>
      <c r="K93" t="e">
        <f>VLOOKUP(B93,'REGISTRO ABONOS'!$B$8:$BC$10041,54,0)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hidden="1" x14ac:dyDescent="0.2">
      <c r="B94" s="31">
        <v>85</v>
      </c>
      <c r="J94">
        <f t="shared" si="2"/>
        <v>105000</v>
      </c>
      <c r="K94" t="e">
        <f>VLOOKUP(B94,'REGISTRO ABONOS'!$B$8:$BC$10041,54,0)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hidden="1" x14ac:dyDescent="0.2">
      <c r="B95" s="31">
        <v>86</v>
      </c>
      <c r="J95">
        <f t="shared" si="2"/>
        <v>105000</v>
      </c>
      <c r="K95" t="e">
        <f>VLOOKUP(B95,'REGISTRO ABONOS'!$B$8:$BC$10041,54,0)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hidden="1" x14ac:dyDescent="0.2">
      <c r="B96" s="31">
        <v>87</v>
      </c>
      <c r="J96">
        <f t="shared" si="2"/>
        <v>105000</v>
      </c>
      <c r="K96" t="e">
        <f>VLOOKUP(B96,'REGISTRO ABONOS'!$B$8:$BC$10041,54,0)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hidden="1" x14ac:dyDescent="0.2">
      <c r="B97" s="31">
        <v>88</v>
      </c>
      <c r="J97">
        <f t="shared" si="2"/>
        <v>105000</v>
      </c>
      <c r="K97" t="e">
        <f>VLOOKUP(B97,'REGISTRO ABONOS'!$B$8:$BC$10041,54,0)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hidden="1" x14ac:dyDescent="0.2">
      <c r="B98" s="31">
        <v>89</v>
      </c>
      <c r="J98">
        <f t="shared" si="2"/>
        <v>105000</v>
      </c>
      <c r="K98" t="e">
        <f>VLOOKUP(B98,'REGISTRO ABONOS'!$B$8:$BC$10041,54,0)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hidden="1" x14ac:dyDescent="0.2">
      <c r="B99" s="31">
        <v>90</v>
      </c>
      <c r="J99">
        <f t="shared" si="2"/>
        <v>105000</v>
      </c>
      <c r="K99" t="e">
        <f>VLOOKUP(B99,'REGISTRO ABONOS'!$B$8:$BC$10041,54,0)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hidden="1" x14ac:dyDescent="0.2">
      <c r="B100" s="31">
        <v>91</v>
      </c>
      <c r="J100">
        <f t="shared" si="2"/>
        <v>105000</v>
      </c>
      <c r="K100" t="e">
        <f>VLOOKUP(B100,'REGISTRO ABONOS'!$B$8:$BC$10041,54,0)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hidden="1" x14ac:dyDescent="0.2">
      <c r="B101" s="31">
        <v>92</v>
      </c>
      <c r="J101">
        <f t="shared" si="2"/>
        <v>105000</v>
      </c>
      <c r="K101" t="e">
        <f>VLOOKUP(B101,'REGISTRO ABONOS'!$B$8:$BC$10041,54,0)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hidden="1" x14ac:dyDescent="0.2">
      <c r="B102" s="31">
        <v>93</v>
      </c>
      <c r="J102">
        <f t="shared" si="2"/>
        <v>105000</v>
      </c>
      <c r="K102" t="e">
        <f>VLOOKUP(B102,'REGISTRO ABONOS'!$B$8:$BC$10041,54,0)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hidden="1" x14ac:dyDescent="0.2">
      <c r="B103" s="31">
        <v>94</v>
      </c>
      <c r="J103">
        <f t="shared" si="2"/>
        <v>105000</v>
      </c>
      <c r="K103" t="e">
        <f>VLOOKUP(B103,'REGISTRO ABONOS'!$B$8:$BC$10041,54,0)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hidden="1" x14ac:dyDescent="0.2">
      <c r="B104" s="31">
        <v>95</v>
      </c>
      <c r="J104">
        <f t="shared" si="2"/>
        <v>105000</v>
      </c>
      <c r="K104" t="e">
        <f>VLOOKUP(B104,'REGISTRO ABONOS'!$B$8:$BC$10041,54,0)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hidden="1" x14ac:dyDescent="0.2">
      <c r="B105" s="31">
        <v>96</v>
      </c>
      <c r="J105">
        <f t="shared" si="2"/>
        <v>105000</v>
      </c>
      <c r="K105" t="e">
        <f>VLOOKUP(B105,'REGISTRO ABONOS'!$B$8:$BC$10041,54,0)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hidden="1" x14ac:dyDescent="0.2">
      <c r="B106" s="31">
        <v>97</v>
      </c>
      <c r="J106">
        <f t="shared" si="2"/>
        <v>105000</v>
      </c>
      <c r="K106" t="e">
        <f>VLOOKUP(B106,'REGISTRO ABONOS'!$B$8:$BC$10041,54,0)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hidden="1" x14ac:dyDescent="0.2">
      <c r="B107" s="31">
        <v>98</v>
      </c>
      <c r="J107">
        <f t="shared" si="2"/>
        <v>105000</v>
      </c>
      <c r="K107" t="e">
        <f>VLOOKUP(B107,'REGISTRO ABONOS'!$B$8:$BC$10041,54,0)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hidden="1" x14ac:dyDescent="0.2">
      <c r="B108" s="31">
        <v>99</v>
      </c>
      <c r="J108">
        <f t="shared" si="2"/>
        <v>105000</v>
      </c>
      <c r="K108" t="e">
        <f>VLOOKUP(B108,'REGISTRO ABONOS'!$B$8:$BC$10041,54,0)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hidden="1" x14ac:dyDescent="0.2">
      <c r="B109" s="31">
        <v>100</v>
      </c>
      <c r="J109">
        <f t="shared" si="2"/>
        <v>105000</v>
      </c>
      <c r="K109" t="e">
        <f>VLOOKUP(B109,'REGISTRO ABONOS'!$B$8:$BC$10041,54,0)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hidden="1" x14ac:dyDescent="0.2">
      <c r="B110" s="31">
        <v>101</v>
      </c>
      <c r="J110">
        <f t="shared" si="2"/>
        <v>105000</v>
      </c>
      <c r="K110" t="e">
        <f>VLOOKUP(B110,'REGISTRO ABONOS'!$B$8:$BC$10041,54,0)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hidden="1" x14ac:dyDescent="0.2">
      <c r="B111" s="31">
        <v>102</v>
      </c>
      <c r="J111">
        <f t="shared" si="2"/>
        <v>105000</v>
      </c>
      <c r="K111" t="e">
        <f>VLOOKUP(B111,'REGISTRO ABONOS'!$B$8:$BC$10041,54,0)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hidden="1" x14ac:dyDescent="0.2">
      <c r="B112" s="31">
        <v>103</v>
      </c>
      <c r="J112">
        <f t="shared" si="2"/>
        <v>105000</v>
      </c>
      <c r="K112" t="e">
        <f>VLOOKUP(B112,'REGISTRO ABONOS'!$B$8:$BC$10041,54,0)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hidden="1" x14ac:dyDescent="0.2">
      <c r="B113" s="31">
        <v>104</v>
      </c>
      <c r="J113">
        <f t="shared" si="2"/>
        <v>105000</v>
      </c>
      <c r="K113" t="e">
        <f>VLOOKUP(B113,'REGISTRO ABONOS'!$B$8:$BC$10041,54,0)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hidden="1" x14ac:dyDescent="0.2">
      <c r="B114" s="31">
        <v>105</v>
      </c>
      <c r="J114">
        <f t="shared" si="2"/>
        <v>105000</v>
      </c>
      <c r="K114" t="e">
        <f>VLOOKUP(B114,'REGISTRO ABONOS'!$B$8:$BC$10041,54,0)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hidden="1" x14ac:dyDescent="0.2">
      <c r="B115" s="31">
        <v>106</v>
      </c>
      <c r="J115">
        <f t="shared" si="2"/>
        <v>105000</v>
      </c>
      <c r="K115" t="e">
        <f>VLOOKUP(B115,'REGISTRO ABONOS'!$B$8:$BC$10041,54,0)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hidden="1" x14ac:dyDescent="0.2">
      <c r="B116" s="31">
        <v>107</v>
      </c>
      <c r="J116">
        <f t="shared" si="2"/>
        <v>105000</v>
      </c>
      <c r="K116" t="e">
        <f>VLOOKUP(B116,'REGISTRO ABONOS'!$B$8:$BC$10041,54,0)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hidden="1" x14ac:dyDescent="0.2">
      <c r="B117" s="31">
        <v>108</v>
      </c>
      <c r="J117">
        <f t="shared" si="2"/>
        <v>105000</v>
      </c>
      <c r="K117" t="e">
        <f>VLOOKUP(B117,'REGISTRO ABONOS'!$B$8:$BC$10041,54,0)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hidden="1" x14ac:dyDescent="0.2">
      <c r="B118" s="31">
        <v>109</v>
      </c>
      <c r="J118">
        <f t="shared" si="2"/>
        <v>105000</v>
      </c>
      <c r="K118" t="e">
        <f>VLOOKUP(B118,'REGISTRO ABONOS'!$B$8:$BC$10041,54,0)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hidden="1" x14ac:dyDescent="0.2">
      <c r="B119" s="31">
        <v>110</v>
      </c>
      <c r="J119">
        <f t="shared" si="2"/>
        <v>105000</v>
      </c>
      <c r="K119" t="e">
        <f>VLOOKUP(B119,'REGISTRO ABONOS'!$B$8:$BC$10041,54,0)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hidden="1" x14ac:dyDescent="0.2">
      <c r="B120" s="31">
        <v>111</v>
      </c>
      <c r="J120">
        <f t="shared" si="2"/>
        <v>105000</v>
      </c>
      <c r="K120" t="e">
        <f>VLOOKUP(B120,'REGISTRO ABONOS'!$B$8:$BC$10041,54,0)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hidden="1" x14ac:dyDescent="0.2">
      <c r="B121" s="31">
        <v>112</v>
      </c>
      <c r="J121">
        <f t="shared" si="2"/>
        <v>105000</v>
      </c>
      <c r="K121" t="e">
        <f>VLOOKUP(B121,'REGISTRO ABONOS'!$B$8:$BC$10041,54,0)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hidden="1" x14ac:dyDescent="0.2">
      <c r="B122" s="31">
        <v>113</v>
      </c>
      <c r="J122">
        <f t="shared" si="2"/>
        <v>105000</v>
      </c>
      <c r="K122" t="e">
        <f>VLOOKUP(B122,'REGISTRO ABONOS'!$B$8:$BC$10041,54,0)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hidden="1" x14ac:dyDescent="0.2">
      <c r="B123" s="31">
        <v>114</v>
      </c>
      <c r="J123">
        <f t="shared" si="2"/>
        <v>105000</v>
      </c>
      <c r="K123" t="e">
        <f>VLOOKUP(B123,'REGISTRO ABONOS'!$B$8:$BC$10041,54,0)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hidden="1" x14ac:dyDescent="0.2">
      <c r="B124" s="31">
        <v>115</v>
      </c>
      <c r="J124">
        <f t="shared" si="2"/>
        <v>105000</v>
      </c>
      <c r="K124" t="e">
        <f>VLOOKUP(B124,'REGISTRO ABONOS'!$B$8:$BC$10041,54,0)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hidden="1" x14ac:dyDescent="0.2">
      <c r="B125" s="31">
        <v>116</v>
      </c>
      <c r="J125">
        <f t="shared" si="2"/>
        <v>105000</v>
      </c>
      <c r="K125" t="e">
        <f>VLOOKUP(B125,'REGISTRO ABONOS'!$B$8:$BC$10041,54,0)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hidden="1" x14ac:dyDescent="0.2">
      <c r="B126" s="31">
        <v>117</v>
      </c>
      <c r="J126">
        <f t="shared" si="2"/>
        <v>105000</v>
      </c>
      <c r="K126" t="e">
        <f>VLOOKUP(B126,'REGISTRO ABONOS'!$B$8:$BC$10041,54,0)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hidden="1" x14ac:dyDescent="0.2">
      <c r="B127" s="31">
        <v>118</v>
      </c>
      <c r="J127">
        <f t="shared" si="2"/>
        <v>105000</v>
      </c>
      <c r="K127" t="e">
        <f>VLOOKUP(B127,'REGISTRO ABONOS'!$B$8:$BC$10041,54,0)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hidden="1" x14ac:dyDescent="0.2">
      <c r="B128" s="31">
        <v>119</v>
      </c>
      <c r="J128">
        <f t="shared" si="2"/>
        <v>105000</v>
      </c>
      <c r="K128" t="e">
        <f>VLOOKUP(B128,'REGISTRO ABONOS'!$B$8:$BC$10041,54,0)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hidden="1" x14ac:dyDescent="0.2">
      <c r="B129" s="31">
        <v>120</v>
      </c>
      <c r="J129">
        <f t="shared" si="2"/>
        <v>105000</v>
      </c>
      <c r="K129" t="e">
        <f>VLOOKUP(B129,'REGISTRO ABONOS'!$B$8:$BC$10041,54,0)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hidden="1" x14ac:dyDescent="0.2">
      <c r="B130" s="31">
        <v>121</v>
      </c>
      <c r="J130">
        <f t="shared" si="2"/>
        <v>105000</v>
      </c>
      <c r="K130" t="e">
        <f>VLOOKUP(B130,'REGISTRO ABONOS'!$B$8:$BC$10041,54,0)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hidden="1" x14ac:dyDescent="0.2">
      <c r="B131" s="31">
        <v>122</v>
      </c>
      <c r="J131">
        <f t="shared" si="2"/>
        <v>105000</v>
      </c>
      <c r="K131" t="e">
        <f>VLOOKUP(B131,'REGISTRO ABONOS'!$B$8:$BC$10041,54,0)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hidden="1" x14ac:dyDescent="0.2">
      <c r="B132" s="31">
        <v>123</v>
      </c>
      <c r="J132">
        <f t="shared" si="2"/>
        <v>105000</v>
      </c>
      <c r="K132" t="e">
        <f>VLOOKUP(B132,'REGISTRO ABONOS'!$B$8:$BC$10041,54,0)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hidden="1" x14ac:dyDescent="0.2">
      <c r="B133" s="31">
        <v>124</v>
      </c>
      <c r="J133">
        <f t="shared" si="2"/>
        <v>105000</v>
      </c>
      <c r="K133" t="e">
        <f>VLOOKUP(B133,'REGISTRO ABONOS'!$B$8:$BC$10041,54,0)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hidden="1" x14ac:dyDescent="0.2">
      <c r="B134" s="31">
        <v>125</v>
      </c>
      <c r="J134">
        <f t="shared" si="2"/>
        <v>105000</v>
      </c>
      <c r="K134" t="e">
        <f>VLOOKUP(B134,'REGISTRO ABONOS'!$B$8:$BC$10041,54,0)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hidden="1" x14ac:dyDescent="0.2">
      <c r="B135" s="31">
        <v>126</v>
      </c>
      <c r="J135">
        <f t="shared" si="2"/>
        <v>105000</v>
      </c>
      <c r="K135" t="e">
        <f>VLOOKUP(B135,'REGISTRO ABONOS'!$B$8:$BC$10041,54,0)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hidden="1" x14ac:dyDescent="0.2">
      <c r="B136" s="31">
        <v>127</v>
      </c>
      <c r="J136">
        <f t="shared" si="2"/>
        <v>105000</v>
      </c>
      <c r="K136" t="e">
        <f>VLOOKUP(B136,'REGISTRO ABONOS'!$B$8:$BC$10041,54,0)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hidden="1" x14ac:dyDescent="0.2">
      <c r="B137" s="31">
        <v>128</v>
      </c>
      <c r="J137">
        <f t="shared" si="2"/>
        <v>105000</v>
      </c>
      <c r="K137" t="e">
        <f>VLOOKUP(B137,'REGISTRO ABONOS'!$B$8:$BC$10041,54,0)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hidden="1" x14ac:dyDescent="0.2">
      <c r="B138" s="31">
        <v>129</v>
      </c>
      <c r="J138">
        <f t="shared" si="2"/>
        <v>105000</v>
      </c>
      <c r="K138" t="e">
        <f>VLOOKUP(B138,'REGISTRO ABONOS'!$B$8:$BC$10041,54,0)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hidden="1" x14ac:dyDescent="0.2">
      <c r="B139" s="31">
        <v>130</v>
      </c>
      <c r="J139">
        <f t="shared" si="2"/>
        <v>105000</v>
      </c>
      <c r="K139" t="e">
        <f>VLOOKUP(B139,'REGISTRO ABONOS'!$B$8:$BC$10041,54,0)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hidden="1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ABONOS'!$B$8:$BC$10041,54,0)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hidden="1" x14ac:dyDescent="0.2">
      <c r="B141" s="31">
        <v>132</v>
      </c>
      <c r="J141">
        <f t="shared" si="3"/>
        <v>105000</v>
      </c>
      <c r="K141" t="e">
        <f>VLOOKUP(B141,'REGISTRO ABONOS'!$B$8:$BC$10041,54,0)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hidden="1" x14ac:dyDescent="0.2">
      <c r="B142" s="31">
        <v>133</v>
      </c>
      <c r="J142">
        <f t="shared" si="3"/>
        <v>105000</v>
      </c>
      <c r="K142" t="e">
        <f>VLOOKUP(B142,'REGISTRO ABONOS'!$B$8:$BC$10041,54,0)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hidden="1" x14ac:dyDescent="0.2">
      <c r="B143" s="31">
        <v>134</v>
      </c>
      <c r="J143">
        <f t="shared" si="3"/>
        <v>105000</v>
      </c>
      <c r="K143" t="e">
        <f>VLOOKUP(B143,'REGISTRO ABONOS'!$B$8:$BC$10041,54,0)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hidden="1" x14ac:dyDescent="0.2">
      <c r="B144" s="31">
        <v>135</v>
      </c>
      <c r="J144">
        <f t="shared" si="3"/>
        <v>105000</v>
      </c>
      <c r="K144" t="e">
        <f>VLOOKUP(B144,'REGISTRO ABONOS'!$B$8:$BC$10041,54,0)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hidden="1" x14ac:dyDescent="0.2">
      <c r="B145" s="31">
        <v>136</v>
      </c>
      <c r="J145">
        <f t="shared" si="3"/>
        <v>105000</v>
      </c>
      <c r="K145" t="e">
        <f>VLOOKUP(B145,'REGISTRO ABONOS'!$B$8:$BC$10041,54,0)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3"/>
        <v>105000</v>
      </c>
      <c r="K146" t="e">
        <f>VLOOKUP(B146,'REGISTRO ABONOS'!$B$8:$BC$10041,54,0)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hidden="1" x14ac:dyDescent="0.2">
      <c r="B147" s="31">
        <v>138</v>
      </c>
      <c r="J147">
        <f t="shared" si="3"/>
        <v>105000</v>
      </c>
      <c r="K147" t="e">
        <f>VLOOKUP(B147,'REGISTRO ABONOS'!$B$8:$BC$10041,54,0)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hidden="1" x14ac:dyDescent="0.2">
      <c r="B148" s="31">
        <v>139</v>
      </c>
      <c r="J148">
        <f t="shared" si="3"/>
        <v>105000</v>
      </c>
      <c r="K148" t="e">
        <f>VLOOKUP(B148,'REGISTRO ABONOS'!$B$8:$BC$10041,54,0)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hidden="1" x14ac:dyDescent="0.2">
      <c r="B149" s="31">
        <v>140</v>
      </c>
      <c r="J149">
        <f t="shared" si="3"/>
        <v>105000</v>
      </c>
      <c r="K149" t="e">
        <f>VLOOKUP(B149,'REGISTRO ABONOS'!$B$8:$BC$10041,54,0)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hidden="1" x14ac:dyDescent="0.2">
      <c r="B150" s="31">
        <v>141</v>
      </c>
      <c r="J150">
        <f t="shared" si="3"/>
        <v>105000</v>
      </c>
      <c r="K150" t="e">
        <f>VLOOKUP(B150,'REGISTRO ABONOS'!$B$8:$BC$10041,54,0)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hidden="1" x14ac:dyDescent="0.2">
      <c r="B151" s="31">
        <v>142</v>
      </c>
      <c r="J151">
        <f t="shared" si="3"/>
        <v>105000</v>
      </c>
      <c r="K151" t="e">
        <f>VLOOKUP(B151,'REGISTRO ABONOS'!$B$8:$BC$10041,54,0)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hidden="1" x14ac:dyDescent="0.2">
      <c r="B152" s="31">
        <v>143</v>
      </c>
      <c r="J152">
        <f t="shared" si="3"/>
        <v>105000</v>
      </c>
      <c r="K152" t="e">
        <f>VLOOKUP(B152,'REGISTRO ABONOS'!$B$8:$BC$10041,54,0)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hidden="1" x14ac:dyDescent="0.2">
      <c r="B153" s="31">
        <v>144</v>
      </c>
      <c r="J153">
        <f t="shared" si="3"/>
        <v>105000</v>
      </c>
      <c r="K153" t="e">
        <f>VLOOKUP(B153,'REGISTRO ABONOS'!$B$8:$BC$10041,54,0)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hidden="1" x14ac:dyDescent="0.2">
      <c r="B154" s="31">
        <v>145</v>
      </c>
      <c r="J154">
        <f t="shared" si="3"/>
        <v>105000</v>
      </c>
      <c r="K154" t="e">
        <f>VLOOKUP(B154,'REGISTRO ABONOS'!$B$8:$BC$10041,54,0)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hidden="1" x14ac:dyDescent="0.2">
      <c r="B155" s="31">
        <v>146</v>
      </c>
      <c r="C155" s="10">
        <v>43571</v>
      </c>
      <c r="D155" t="s">
        <v>472</v>
      </c>
      <c r="H155" t="s">
        <v>472</v>
      </c>
      <c r="I155" t="s">
        <v>322</v>
      </c>
      <c r="J155">
        <f t="shared" si="3"/>
        <v>105000</v>
      </c>
      <c r="K155" t="e">
        <f>VLOOKUP(B155,'REGISTRO ABONOS'!$B$8:$BC$10041,54,0)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hidden="1" x14ac:dyDescent="0.2">
      <c r="B156" s="31">
        <v>147</v>
      </c>
      <c r="J156">
        <f t="shared" si="3"/>
        <v>105000</v>
      </c>
      <c r="K156" t="e">
        <f>VLOOKUP(B156,'REGISTRO ABONOS'!$B$8:$BC$10041,54,0)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hidden="1" x14ac:dyDescent="0.2">
      <c r="B157" s="31">
        <v>148</v>
      </c>
      <c r="J157">
        <f t="shared" si="3"/>
        <v>105000</v>
      </c>
      <c r="K157" t="e">
        <f>VLOOKUP(B157,'REGISTRO ABONOS'!$B$8:$BC$10041,54,0)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hidden="1" x14ac:dyDescent="0.2">
      <c r="B158" s="31">
        <v>149</v>
      </c>
      <c r="J158">
        <f t="shared" si="3"/>
        <v>105000</v>
      </c>
      <c r="K158" t="e">
        <f>VLOOKUP(B158,'REGISTRO ABONOS'!$B$8:$BC$10041,54,0)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hidden="1" x14ac:dyDescent="0.2">
      <c r="B159" s="31">
        <v>150</v>
      </c>
      <c r="J159">
        <f t="shared" si="3"/>
        <v>105000</v>
      </c>
      <c r="K159" t="e">
        <f>VLOOKUP(B159,'REGISTRO ABONOS'!$B$8:$BC$10041,54,0)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hidden="1" x14ac:dyDescent="0.2">
      <c r="B160" s="31">
        <v>151</v>
      </c>
      <c r="J160">
        <f t="shared" si="3"/>
        <v>105000</v>
      </c>
      <c r="K160" t="e">
        <f>VLOOKUP(B160,'REGISTRO ABONOS'!$B$8:$BC$10041,54,0)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hidden="1" x14ac:dyDescent="0.2">
      <c r="B161" s="31">
        <v>152</v>
      </c>
      <c r="J161">
        <f t="shared" si="3"/>
        <v>105000</v>
      </c>
      <c r="K161" t="e">
        <f>VLOOKUP(B161,'REGISTRO ABONOS'!$B$8:$BC$10041,54,0)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hidden="1" x14ac:dyDescent="0.2">
      <c r="B162" s="31">
        <v>153</v>
      </c>
      <c r="J162">
        <f t="shared" si="3"/>
        <v>105000</v>
      </c>
      <c r="K162" t="e">
        <f>VLOOKUP(B162,'REGISTRO ABONOS'!$B$8:$BC$10041,54,0)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hidden="1" x14ac:dyDescent="0.2">
      <c r="B163" s="31">
        <v>154</v>
      </c>
      <c r="J163">
        <f t="shared" si="3"/>
        <v>105000</v>
      </c>
      <c r="K163" t="e">
        <f>VLOOKUP(B163,'REGISTRO ABONOS'!$B$8:$BC$10041,54,0)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hidden="1" x14ac:dyDescent="0.2">
      <c r="B164" s="31">
        <v>155</v>
      </c>
      <c r="J164">
        <f t="shared" si="3"/>
        <v>105000</v>
      </c>
      <c r="K164" t="e">
        <f>VLOOKUP(B164,'REGISTRO ABONOS'!$B$8:$BC$10041,54,0)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hidden="1" x14ac:dyDescent="0.2">
      <c r="B165" s="31">
        <v>156</v>
      </c>
      <c r="J165">
        <f t="shared" si="3"/>
        <v>105000</v>
      </c>
      <c r="K165" t="e">
        <f>VLOOKUP(B165,'REGISTRO ABONOS'!$B$8:$BC$10041,54,0)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hidden="1" x14ac:dyDescent="0.2">
      <c r="B166" s="31">
        <v>157</v>
      </c>
      <c r="J166">
        <f t="shared" si="3"/>
        <v>105000</v>
      </c>
      <c r="K166" t="e">
        <f>VLOOKUP(B166,'REGISTRO ABONOS'!$B$8:$BC$10041,54,0)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hidden="1" x14ac:dyDescent="0.2">
      <c r="B167" s="31">
        <v>158</v>
      </c>
      <c r="J167">
        <f t="shared" si="3"/>
        <v>105000</v>
      </c>
      <c r="K167" t="e">
        <f>VLOOKUP(B167,'REGISTRO ABONOS'!$B$8:$BC$10041,54,0)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hidden="1" x14ac:dyDescent="0.2">
      <c r="B168" s="31">
        <v>159</v>
      </c>
      <c r="J168">
        <f t="shared" si="3"/>
        <v>105000</v>
      </c>
      <c r="K168" t="e">
        <f>VLOOKUP(B168,'REGISTRO ABONOS'!$B$8:$BC$10041,54,0)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hidden="1" x14ac:dyDescent="0.2">
      <c r="B169" s="31">
        <v>160</v>
      </c>
      <c r="J169">
        <f t="shared" si="3"/>
        <v>105000</v>
      </c>
      <c r="K169" t="e">
        <f>VLOOKUP(B169,'REGISTRO ABONOS'!$B$8:$BC$10041,54,0)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hidden="1" x14ac:dyDescent="0.2">
      <c r="B170" s="31">
        <v>161</v>
      </c>
      <c r="J170">
        <f t="shared" si="3"/>
        <v>105000</v>
      </c>
      <c r="K170" t="e">
        <f>VLOOKUP(B170,'REGISTRO ABONOS'!$B$8:$BC$10041,54,0)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hidden="1" x14ac:dyDescent="0.2">
      <c r="B171" s="31">
        <v>162</v>
      </c>
      <c r="J171">
        <f t="shared" si="3"/>
        <v>105000</v>
      </c>
      <c r="K171" t="e">
        <f>VLOOKUP(B171,'REGISTRO ABONOS'!$B$8:$BC$10041,54,0)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hidden="1" x14ac:dyDescent="0.2">
      <c r="B172" s="31">
        <v>163</v>
      </c>
      <c r="J172">
        <f t="shared" si="3"/>
        <v>105000</v>
      </c>
      <c r="K172" t="e">
        <f>VLOOKUP(B172,'REGISTRO ABONOS'!$B$8:$BC$10041,54,0)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hidden="1" x14ac:dyDescent="0.2">
      <c r="B173" s="31">
        <v>164</v>
      </c>
      <c r="J173">
        <f t="shared" si="3"/>
        <v>105000</v>
      </c>
      <c r="K173" t="e">
        <f>VLOOKUP(B173,'REGISTRO ABONOS'!$B$8:$BC$10041,54,0)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hidden="1" x14ac:dyDescent="0.2">
      <c r="B174" s="31">
        <v>165</v>
      </c>
      <c r="J174">
        <f t="shared" si="3"/>
        <v>105000</v>
      </c>
      <c r="K174" t="e">
        <f>VLOOKUP(B174,'REGISTRO ABONOS'!$B$8:$BC$10041,54,0)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hidden="1" x14ac:dyDescent="0.2">
      <c r="B175" s="31">
        <v>166</v>
      </c>
      <c r="J175">
        <f t="shared" si="3"/>
        <v>105000</v>
      </c>
      <c r="K175" t="e">
        <f>VLOOKUP(B175,'REGISTRO ABONOS'!$B$8:$BC$10041,54,0)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hidden="1" x14ac:dyDescent="0.2">
      <c r="B176" s="31">
        <v>167</v>
      </c>
      <c r="J176">
        <f t="shared" si="3"/>
        <v>105000</v>
      </c>
      <c r="K176" t="e">
        <f>VLOOKUP(B176,'REGISTRO ABONOS'!$B$8:$BC$10041,54,0)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hidden="1" x14ac:dyDescent="0.2">
      <c r="B177" s="31">
        <v>168</v>
      </c>
      <c r="J177">
        <f t="shared" si="3"/>
        <v>105000</v>
      </c>
      <c r="K177" t="e">
        <f>VLOOKUP(B177,'REGISTRO ABONOS'!$B$8:$BC$10041,54,0)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hidden="1" x14ac:dyDescent="0.2">
      <c r="B178" s="31">
        <v>169</v>
      </c>
      <c r="J178">
        <f t="shared" si="3"/>
        <v>105000</v>
      </c>
      <c r="K178" t="e">
        <f>VLOOKUP(B178,'REGISTRO ABONOS'!$B$8:$BC$10041,54,0)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hidden="1" x14ac:dyDescent="0.2">
      <c r="B179" s="31">
        <v>170</v>
      </c>
      <c r="J179">
        <f t="shared" si="3"/>
        <v>105000</v>
      </c>
      <c r="K179" t="e">
        <f>VLOOKUP(B179,'REGISTRO ABONOS'!$B$8:$BC$10041,54,0)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hidden="1" x14ac:dyDescent="0.2">
      <c r="B180" s="31">
        <v>171</v>
      </c>
      <c r="J180">
        <f t="shared" si="3"/>
        <v>105000</v>
      </c>
      <c r="K180" t="e">
        <f>VLOOKUP(B180,'REGISTRO ABONOS'!$B$8:$BC$10041,54,0)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hidden="1" x14ac:dyDescent="0.2">
      <c r="B181" s="31">
        <v>172</v>
      </c>
      <c r="J181">
        <f t="shared" si="3"/>
        <v>105000</v>
      </c>
      <c r="K181" t="e">
        <f>VLOOKUP(B181,'REGISTRO ABONOS'!$B$8:$BC$10041,54,0)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hidden="1" x14ac:dyDescent="0.2">
      <c r="B182" s="31">
        <v>173</v>
      </c>
      <c r="J182">
        <f t="shared" si="3"/>
        <v>105000</v>
      </c>
      <c r="K182" t="e">
        <f>VLOOKUP(B182,'REGISTRO ABONOS'!$B$8:$BC$10041,54,0)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hidden="1" x14ac:dyDescent="0.2">
      <c r="B183" s="31">
        <v>174</v>
      </c>
      <c r="J183">
        <f t="shared" si="3"/>
        <v>105000</v>
      </c>
      <c r="K183" t="e">
        <f>VLOOKUP(B183,'REGISTRO ABONOS'!$B$8:$BC$10041,54,0)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hidden="1" x14ac:dyDescent="0.2">
      <c r="B184" s="31">
        <v>175</v>
      </c>
      <c r="J184">
        <f t="shared" si="3"/>
        <v>105000</v>
      </c>
      <c r="K184" t="e">
        <f>VLOOKUP(B184,'REGISTRO ABONOS'!$B$8:$BC$10041,54,0)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hidden="1" x14ac:dyDescent="0.2">
      <c r="B185" s="31">
        <v>176</v>
      </c>
      <c r="J185">
        <f t="shared" si="3"/>
        <v>105000</v>
      </c>
      <c r="K185" t="e">
        <f>VLOOKUP(B185,'REGISTRO ABONOS'!$B$8:$BC$10041,54,0)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hidden="1" x14ac:dyDescent="0.2">
      <c r="B186" s="31">
        <v>177</v>
      </c>
      <c r="J186">
        <f t="shared" si="3"/>
        <v>105000</v>
      </c>
      <c r="K186" t="e">
        <f>VLOOKUP(B186,'REGISTRO ABONOS'!$B$8:$BC$10041,54,0)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hidden="1" x14ac:dyDescent="0.2">
      <c r="B187" s="31">
        <v>178</v>
      </c>
      <c r="J187">
        <f t="shared" si="3"/>
        <v>105000</v>
      </c>
      <c r="K187" t="e">
        <f>VLOOKUP(B187,'REGISTRO ABONOS'!$B$8:$BC$10041,54,0)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hidden="1" x14ac:dyDescent="0.2">
      <c r="B188" s="31">
        <v>179</v>
      </c>
      <c r="J188">
        <f t="shared" si="3"/>
        <v>105000</v>
      </c>
      <c r="K188" t="e">
        <f>VLOOKUP(B188,'REGISTRO ABONOS'!$B$8:$BC$10041,54,0)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hidden="1" x14ac:dyDescent="0.2">
      <c r="B189" s="31">
        <v>180</v>
      </c>
      <c r="J189">
        <f t="shared" si="3"/>
        <v>105000</v>
      </c>
      <c r="K189" t="e">
        <f>VLOOKUP(B189,'REGISTRO ABONOS'!$B$8:$BC$10041,54,0)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hidden="1" x14ac:dyDescent="0.2">
      <c r="B190" s="31">
        <v>181</v>
      </c>
      <c r="J190">
        <f t="shared" si="3"/>
        <v>105000</v>
      </c>
      <c r="K190" t="e">
        <f>VLOOKUP(B190,'REGISTRO ABONOS'!$B$8:$BC$10041,54,0)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hidden="1" x14ac:dyDescent="0.2">
      <c r="B191" s="31">
        <v>182</v>
      </c>
      <c r="J191">
        <f t="shared" si="3"/>
        <v>105000</v>
      </c>
      <c r="K191" t="e">
        <f>VLOOKUP(B191,'REGISTRO ABONOS'!$B$8:$BC$10041,54,0)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hidden="1" x14ac:dyDescent="0.2">
      <c r="B192" s="31">
        <v>183</v>
      </c>
      <c r="J192">
        <f t="shared" si="3"/>
        <v>105000</v>
      </c>
      <c r="K192" t="e">
        <f>VLOOKUP(B192,'REGISTRO ABONOS'!$B$8:$BC$10041,54,0)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hidden="1" x14ac:dyDescent="0.2">
      <c r="B193" s="31">
        <v>184</v>
      </c>
      <c r="J193">
        <f t="shared" si="3"/>
        <v>105000</v>
      </c>
      <c r="K193" t="e">
        <f>VLOOKUP(B193,'REGISTRO ABONOS'!$B$8:$BC$10041,54,0)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hidden="1" x14ac:dyDescent="0.2">
      <c r="B194" s="31">
        <v>185</v>
      </c>
      <c r="J194">
        <f t="shared" si="3"/>
        <v>105000</v>
      </c>
      <c r="K194" t="e">
        <f>VLOOKUP(B194,'REGISTRO ABONOS'!$B$8:$BC$10041,54,0)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hidden="1" x14ac:dyDescent="0.2">
      <c r="B195" s="31">
        <v>186</v>
      </c>
      <c r="J195">
        <f t="shared" si="3"/>
        <v>105000</v>
      </c>
      <c r="K195" t="e">
        <f>VLOOKUP(B195,'REGISTRO ABONOS'!$B$8:$BC$10041,54,0)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hidden="1" x14ac:dyDescent="0.2">
      <c r="B196" s="31">
        <v>187</v>
      </c>
      <c r="J196">
        <f t="shared" si="3"/>
        <v>105000</v>
      </c>
      <c r="K196" t="e">
        <f>VLOOKUP(B196,'REGISTRO ABONOS'!$B$8:$BC$10041,54,0)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hidden="1" x14ac:dyDescent="0.2">
      <c r="B197" s="31">
        <v>188</v>
      </c>
      <c r="J197">
        <f t="shared" si="3"/>
        <v>105000</v>
      </c>
      <c r="K197" t="e">
        <f>VLOOKUP(B197,'REGISTRO ABONOS'!$B$8:$BC$10041,54,0)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hidden="1" x14ac:dyDescent="0.2">
      <c r="B198" s="31">
        <v>189</v>
      </c>
      <c r="J198">
        <f t="shared" si="3"/>
        <v>105000</v>
      </c>
      <c r="K198" t="e">
        <f>VLOOKUP(B198,'REGISTRO ABONOS'!$B$8:$BC$10041,54,0)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hidden="1" x14ac:dyDescent="0.2">
      <c r="B199" s="31">
        <v>190</v>
      </c>
      <c r="J199">
        <f t="shared" si="3"/>
        <v>105000</v>
      </c>
      <c r="K199" t="e">
        <f>VLOOKUP(B199,'REGISTRO ABONOS'!$B$8:$BC$10041,54,0)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hidden="1" x14ac:dyDescent="0.2">
      <c r="B200" s="31">
        <v>191</v>
      </c>
      <c r="J200">
        <f t="shared" si="3"/>
        <v>105000</v>
      </c>
      <c r="K200" t="e">
        <f>VLOOKUP(B200,'REGISTRO ABONOS'!$B$8:$BC$10041,54,0)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hidden="1" x14ac:dyDescent="0.2">
      <c r="B201" s="31">
        <v>192</v>
      </c>
      <c r="J201">
        <f t="shared" si="3"/>
        <v>105000</v>
      </c>
      <c r="K201" t="e">
        <f>VLOOKUP(B201,'REGISTRO ABONOS'!$B$8:$BC$10041,54,0)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hidden="1" x14ac:dyDescent="0.2">
      <c r="B202" s="31">
        <v>193</v>
      </c>
      <c r="J202">
        <f t="shared" si="3"/>
        <v>105000</v>
      </c>
      <c r="K202" t="e">
        <f>VLOOKUP(B202,'REGISTRO ABONOS'!$B$8:$BC$10041,54,0)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hidden="1" x14ac:dyDescent="0.2">
      <c r="B203" s="31">
        <v>194</v>
      </c>
      <c r="J203">
        <f t="shared" si="3"/>
        <v>105000</v>
      </c>
      <c r="K203" t="e">
        <f>VLOOKUP(B203,'REGISTRO ABONOS'!$B$8:$BC$10041,54,0)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hidden="1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ABONOS'!$B$8:$BC$10041,54,0)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hidden="1" x14ac:dyDescent="0.2">
      <c r="B205" s="31">
        <v>196</v>
      </c>
      <c r="J205">
        <f t="shared" si="4"/>
        <v>105000</v>
      </c>
      <c r="K205" t="e">
        <f>VLOOKUP(B205,'REGISTRO ABONOS'!$B$8:$BC$10041,54,0)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hidden="1" x14ac:dyDescent="0.2">
      <c r="B206" s="31">
        <v>197</v>
      </c>
      <c r="J206">
        <f t="shared" si="4"/>
        <v>105000</v>
      </c>
      <c r="K206" t="e">
        <f>VLOOKUP(B206,'REGISTRO ABONOS'!$B$8:$BC$10041,54,0)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hidden="1" x14ac:dyDescent="0.2">
      <c r="B207" s="31">
        <v>198</v>
      </c>
      <c r="J207">
        <f t="shared" si="4"/>
        <v>105000</v>
      </c>
      <c r="K207" t="e">
        <f>VLOOKUP(B207,'REGISTRO ABONOS'!$B$8:$BC$10041,54,0)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hidden="1" x14ac:dyDescent="0.2">
      <c r="B208" s="31">
        <v>199</v>
      </c>
      <c r="J208">
        <f t="shared" si="4"/>
        <v>105000</v>
      </c>
      <c r="K208" t="e">
        <f>VLOOKUP(B208,'REGISTRO ABONOS'!$B$8:$BC$10041,54,0)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hidden="1" x14ac:dyDescent="0.2">
      <c r="B209" s="31">
        <v>200</v>
      </c>
      <c r="J209">
        <f t="shared" si="4"/>
        <v>105000</v>
      </c>
      <c r="K209" t="e">
        <f>VLOOKUP(B209,'REGISTRO ABONOS'!$B$8:$BC$10041,54,0)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hidden="1" x14ac:dyDescent="0.2">
      <c r="B210" s="31">
        <v>201</v>
      </c>
      <c r="J210">
        <f t="shared" si="4"/>
        <v>105000</v>
      </c>
      <c r="K210" t="e">
        <f>VLOOKUP(B210,'REGISTRO ABONOS'!$B$8:$BC$10041,54,0)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hidden="1" x14ac:dyDescent="0.2">
      <c r="B211" s="31">
        <v>202</v>
      </c>
      <c r="J211">
        <f t="shared" si="4"/>
        <v>105000</v>
      </c>
      <c r="K211" t="e">
        <f>VLOOKUP(B211,'REGISTRO ABONOS'!$B$8:$BC$10041,54,0)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hidden="1" x14ac:dyDescent="0.2">
      <c r="B212" s="31">
        <v>203</v>
      </c>
      <c r="J212">
        <f t="shared" si="4"/>
        <v>105000</v>
      </c>
      <c r="K212" t="e">
        <f>VLOOKUP(B212,'REGISTRO ABONOS'!$B$8:$BC$10041,54,0)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hidden="1" x14ac:dyDescent="0.2">
      <c r="B213" s="31">
        <v>204</v>
      </c>
      <c r="J213">
        <f t="shared" si="4"/>
        <v>105000</v>
      </c>
      <c r="K213" t="e">
        <f>VLOOKUP(B213,'REGISTRO ABONOS'!$B$8:$BC$10041,54,0)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hidden="1" x14ac:dyDescent="0.2">
      <c r="B214" s="31">
        <v>205</v>
      </c>
      <c r="J214">
        <f t="shared" si="4"/>
        <v>105000</v>
      </c>
      <c r="K214" t="e">
        <f>VLOOKUP(B214,'REGISTRO ABONOS'!$B$8:$BC$10041,54,0)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I215" t="s">
        <v>336</v>
      </c>
      <c r="J215">
        <f t="shared" si="4"/>
        <v>105000</v>
      </c>
      <c r="K215" t="e">
        <f>VLOOKUP(B215,'REGISTRO ABONOS'!$B$8:$BC$10041,54,0)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hidden="1" x14ac:dyDescent="0.2">
      <c r="B216" s="31">
        <v>207</v>
      </c>
      <c r="J216">
        <f t="shared" si="4"/>
        <v>105000</v>
      </c>
      <c r="K216" t="e">
        <f>VLOOKUP(B216,'REGISTRO ABONOS'!$B$8:$BC$10041,54,0)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hidden="1" x14ac:dyDescent="0.2">
      <c r="B217" s="31">
        <v>208</v>
      </c>
      <c r="J217">
        <f t="shared" si="4"/>
        <v>105000</v>
      </c>
      <c r="K217" t="e">
        <f>VLOOKUP(B217,'REGISTRO ABONOS'!$B$8:$BC$10041,54,0)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hidden="1" x14ac:dyDescent="0.2">
      <c r="B218" s="31">
        <v>209</v>
      </c>
      <c r="J218">
        <f t="shared" si="4"/>
        <v>105000</v>
      </c>
      <c r="K218" t="e">
        <f>VLOOKUP(B218,'REGISTRO ABONOS'!$B$8:$BC$10041,54,0)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hidden="1" x14ac:dyDescent="0.2">
      <c r="B219" s="31">
        <v>210</v>
      </c>
      <c r="J219">
        <f t="shared" si="4"/>
        <v>105000</v>
      </c>
      <c r="K219" t="e">
        <f>VLOOKUP(B219,'REGISTRO ABONOS'!$B$8:$BC$10041,54,0)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hidden="1" x14ac:dyDescent="0.2">
      <c r="B220" s="31">
        <v>211</v>
      </c>
      <c r="J220">
        <f t="shared" si="4"/>
        <v>105000</v>
      </c>
      <c r="K220" t="e">
        <f>VLOOKUP(B220,'REGISTRO ABONOS'!$B$8:$BC$10041,54,0)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hidden="1" x14ac:dyDescent="0.2">
      <c r="B221" s="31">
        <v>212</v>
      </c>
      <c r="J221">
        <f t="shared" si="4"/>
        <v>105000</v>
      </c>
      <c r="K221" t="e">
        <f>VLOOKUP(B221,'REGISTRO ABONOS'!$B$8:$BC$10041,54,0)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hidden="1" x14ac:dyDescent="0.2">
      <c r="B222" s="31">
        <v>213</v>
      </c>
      <c r="J222">
        <f t="shared" si="4"/>
        <v>105000</v>
      </c>
      <c r="K222" t="e">
        <f>VLOOKUP(B222,'REGISTRO ABONOS'!$B$8:$BC$10041,54,0)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hidden="1" x14ac:dyDescent="0.2">
      <c r="B223" s="31">
        <v>214</v>
      </c>
      <c r="J223">
        <f t="shared" si="4"/>
        <v>105000</v>
      </c>
      <c r="K223" t="e">
        <f>VLOOKUP(B223,'REGISTRO ABONOS'!$B$8:$BC$10041,54,0)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hidden="1" x14ac:dyDescent="0.2">
      <c r="B224" s="31">
        <v>215</v>
      </c>
      <c r="J224">
        <f t="shared" si="4"/>
        <v>105000</v>
      </c>
      <c r="K224" t="e">
        <f>VLOOKUP(B224,'REGISTRO ABONOS'!$B$8:$BC$10041,54,0)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hidden="1" x14ac:dyDescent="0.2">
      <c r="B225" s="31">
        <v>216</v>
      </c>
      <c r="J225">
        <f t="shared" si="4"/>
        <v>105000</v>
      </c>
      <c r="K225" t="e">
        <f>VLOOKUP(B225,'REGISTRO ABONOS'!$B$8:$BC$10041,54,0)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hidden="1" x14ac:dyDescent="0.2">
      <c r="B226" s="31">
        <v>217</v>
      </c>
      <c r="J226">
        <f t="shared" si="4"/>
        <v>105000</v>
      </c>
      <c r="K226" t="e">
        <f>VLOOKUP(B226,'REGISTRO ABONOS'!$B$8:$BC$10041,54,0)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hidden="1" x14ac:dyDescent="0.2">
      <c r="B227" s="31">
        <v>218</v>
      </c>
      <c r="J227">
        <f t="shared" si="4"/>
        <v>105000</v>
      </c>
      <c r="K227" t="e">
        <f>VLOOKUP(B227,'REGISTRO ABONOS'!$B$8:$BC$10041,54,0)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hidden="1" x14ac:dyDescent="0.2">
      <c r="B228" s="31">
        <v>219</v>
      </c>
      <c r="J228">
        <f t="shared" si="4"/>
        <v>105000</v>
      </c>
      <c r="K228" t="e">
        <f>VLOOKUP(B228,'REGISTRO ABONOS'!$B$8:$BC$10041,54,0)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I229" t="s">
        <v>229</v>
      </c>
      <c r="J229">
        <f t="shared" si="4"/>
        <v>105000</v>
      </c>
      <c r="K229" t="e">
        <f>VLOOKUP(B229,'REGISTRO ABONOS'!$B$8:$BC$10041,54,0)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hidden="1" x14ac:dyDescent="0.2">
      <c r="B230" s="31">
        <v>221</v>
      </c>
      <c r="J230">
        <f t="shared" si="4"/>
        <v>105000</v>
      </c>
      <c r="K230" t="e">
        <f>VLOOKUP(B230,'REGISTRO ABONOS'!$B$8:$BC$10041,54,0)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hidden="1" x14ac:dyDescent="0.2">
      <c r="B231" s="31">
        <v>222</v>
      </c>
      <c r="J231">
        <f t="shared" si="4"/>
        <v>105000</v>
      </c>
      <c r="K231" t="e">
        <f>VLOOKUP(B231,'REGISTRO ABONOS'!$B$8:$BC$10041,54,0)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hidden="1" x14ac:dyDescent="0.2">
      <c r="B232" s="31">
        <v>223</v>
      </c>
      <c r="J232">
        <f t="shared" si="4"/>
        <v>105000</v>
      </c>
      <c r="K232" t="e">
        <f>VLOOKUP(B232,'REGISTRO ABONOS'!$B$8:$BC$10041,54,0)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hidden="1" x14ac:dyDescent="0.2">
      <c r="B233" s="31">
        <v>224</v>
      </c>
      <c r="J233">
        <f t="shared" si="4"/>
        <v>105000</v>
      </c>
      <c r="K233" t="e">
        <f>VLOOKUP(B233,'REGISTRO ABONOS'!$B$8:$BC$10041,54,0)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hidden="1" x14ac:dyDescent="0.2">
      <c r="B234" s="31">
        <v>225</v>
      </c>
      <c r="J234">
        <f t="shared" si="4"/>
        <v>105000</v>
      </c>
      <c r="K234" t="e">
        <f>VLOOKUP(B234,'REGISTRO ABONOS'!$B$8:$BC$10041,54,0)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hidden="1" x14ac:dyDescent="0.2">
      <c r="B235" s="31">
        <v>226</v>
      </c>
      <c r="J235">
        <f t="shared" si="4"/>
        <v>105000</v>
      </c>
      <c r="K235" t="e">
        <f>VLOOKUP(B235,'REGISTRO ABONOS'!$B$8:$BC$10041,54,0)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hidden="1" x14ac:dyDescent="0.2">
      <c r="B236" s="31">
        <v>227</v>
      </c>
      <c r="J236">
        <f t="shared" si="4"/>
        <v>105000</v>
      </c>
      <c r="K236" t="e">
        <f>VLOOKUP(B236,'REGISTRO ABONOS'!$B$8:$BC$10041,54,0)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hidden="1" x14ac:dyDescent="0.2">
      <c r="B237" s="31">
        <v>228</v>
      </c>
      <c r="J237">
        <f t="shared" si="4"/>
        <v>105000</v>
      </c>
      <c r="K237" t="e">
        <f>VLOOKUP(B237,'REGISTRO ABONOS'!$B$8:$BC$10041,54,0)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hidden="1" x14ac:dyDescent="0.2">
      <c r="B238" s="31">
        <v>229</v>
      </c>
      <c r="J238">
        <f t="shared" si="4"/>
        <v>105000</v>
      </c>
      <c r="K238" t="e">
        <f>VLOOKUP(B238,'REGISTRO ABONOS'!$B$8:$BC$10041,54,0)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hidden="1" x14ac:dyDescent="0.2">
      <c r="B239" s="31">
        <v>230</v>
      </c>
      <c r="J239">
        <f t="shared" si="4"/>
        <v>105000</v>
      </c>
      <c r="K239" t="e">
        <f>VLOOKUP(B239,'REGISTRO ABONOS'!$B$8:$BC$10041,54,0)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hidden="1" x14ac:dyDescent="0.2">
      <c r="B240" s="31">
        <v>231</v>
      </c>
      <c r="J240">
        <f t="shared" si="4"/>
        <v>105000</v>
      </c>
      <c r="K240" t="e">
        <f>VLOOKUP(B240,'REGISTRO ABONOS'!$B$8:$BC$10041,54,0)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hidden="1" x14ac:dyDescent="0.2">
      <c r="B241" s="31">
        <v>232</v>
      </c>
      <c r="J241">
        <f t="shared" si="4"/>
        <v>105000</v>
      </c>
      <c r="K241" t="e">
        <f>VLOOKUP(B241,'REGISTRO ABONOS'!$B$8:$BC$10041,54,0)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hidden="1" x14ac:dyDescent="0.2">
      <c r="B242" s="31">
        <v>233</v>
      </c>
      <c r="J242">
        <f t="shared" si="4"/>
        <v>105000</v>
      </c>
      <c r="K242" t="e">
        <f>VLOOKUP(B242,'REGISTRO ABONOS'!$B$8:$BC$10041,54,0)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hidden="1" x14ac:dyDescent="0.2">
      <c r="B243" s="31">
        <v>234</v>
      </c>
      <c r="J243">
        <f t="shared" si="4"/>
        <v>105000</v>
      </c>
      <c r="K243" t="e">
        <f>VLOOKUP(B243,'REGISTRO ABONOS'!$B$8:$BC$10041,54,0)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hidden="1" x14ac:dyDescent="0.2">
      <c r="B244" s="31">
        <v>235</v>
      </c>
      <c r="J244">
        <f t="shared" si="4"/>
        <v>105000</v>
      </c>
      <c r="K244" t="e">
        <f>VLOOKUP(B244,'REGISTRO ABONOS'!$B$8:$BC$10041,54,0)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hidden="1" x14ac:dyDescent="0.2">
      <c r="B245" s="31">
        <v>236</v>
      </c>
      <c r="J245">
        <f t="shared" si="4"/>
        <v>105000</v>
      </c>
      <c r="K245" t="e">
        <f>VLOOKUP(B245,'REGISTRO ABONOS'!$B$8:$BC$10041,54,0)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hidden="1" x14ac:dyDescent="0.2">
      <c r="B246" s="31">
        <v>237</v>
      </c>
      <c r="J246">
        <f t="shared" si="4"/>
        <v>105000</v>
      </c>
      <c r="K246" t="e">
        <f>VLOOKUP(B246,'REGISTRO ABONOS'!$B$8:$BC$10041,54,0)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hidden="1" x14ac:dyDescent="0.2">
      <c r="B247" s="31">
        <v>238</v>
      </c>
      <c r="J247">
        <f t="shared" si="4"/>
        <v>105000</v>
      </c>
      <c r="K247" t="e">
        <f>VLOOKUP(B247,'REGISTRO ABONOS'!$B$8:$BC$10041,54,0)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hidden="1" x14ac:dyDescent="0.2">
      <c r="B248" s="31">
        <v>239</v>
      </c>
      <c r="J248">
        <f t="shared" si="4"/>
        <v>105000</v>
      </c>
      <c r="K248" t="e">
        <f>VLOOKUP(B248,'REGISTRO ABONOS'!$B$8:$BC$10041,54,0)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hidden="1" x14ac:dyDescent="0.2">
      <c r="B249" s="31">
        <v>240</v>
      </c>
      <c r="J249">
        <f t="shared" si="4"/>
        <v>105000</v>
      </c>
      <c r="K249" t="e">
        <f>VLOOKUP(B249,'REGISTRO ABONOS'!$B$8:$BC$10041,54,0)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hidden="1" x14ac:dyDescent="0.2">
      <c r="B250" s="31">
        <v>241</v>
      </c>
      <c r="J250">
        <f t="shared" si="4"/>
        <v>105000</v>
      </c>
      <c r="K250" t="e">
        <f>VLOOKUP(B250,'REGISTRO ABONOS'!$B$8:$BC$10041,54,0)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hidden="1" x14ac:dyDescent="0.2">
      <c r="B251" s="31">
        <v>242</v>
      </c>
      <c r="J251">
        <f t="shared" si="4"/>
        <v>105000</v>
      </c>
      <c r="K251" t="e">
        <f>VLOOKUP(B251,'REGISTRO ABONOS'!$B$8:$BC$10041,54,0)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hidden="1" x14ac:dyDescent="0.2">
      <c r="B252" s="31">
        <v>243</v>
      </c>
      <c r="J252">
        <f t="shared" si="4"/>
        <v>105000</v>
      </c>
      <c r="K252" t="e">
        <f>VLOOKUP(B252,'REGISTRO ABONOS'!$B$8:$BC$10041,54,0)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hidden="1" x14ac:dyDescent="0.2">
      <c r="B253" s="31">
        <v>244</v>
      </c>
      <c r="J253">
        <f t="shared" si="4"/>
        <v>105000</v>
      </c>
      <c r="K253" t="e">
        <f>VLOOKUP(B253,'REGISTRO ABONOS'!$B$8:$BC$10041,54,0)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hidden="1" x14ac:dyDescent="0.2">
      <c r="B254" s="31">
        <v>245</v>
      </c>
      <c r="J254">
        <f t="shared" si="4"/>
        <v>105000</v>
      </c>
      <c r="K254" t="e">
        <f>VLOOKUP(B254,'REGISTRO ABONOS'!$B$8:$BC$10041,54,0)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hidden="1" x14ac:dyDescent="0.2">
      <c r="B255" s="31">
        <v>246</v>
      </c>
      <c r="J255">
        <f t="shared" si="4"/>
        <v>105000</v>
      </c>
      <c r="K255" t="e">
        <f>VLOOKUP(B255,'REGISTRO ABONOS'!$B$8:$BC$10041,54,0)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hidden="1" x14ac:dyDescent="0.2">
      <c r="B256" s="31">
        <v>247</v>
      </c>
      <c r="J256">
        <f t="shared" si="4"/>
        <v>105000</v>
      </c>
      <c r="K256" t="e">
        <f>VLOOKUP(B256,'REGISTRO ABONOS'!$B$8:$BC$10041,54,0)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hidden="1" x14ac:dyDescent="0.2">
      <c r="B257" s="31">
        <v>248</v>
      </c>
      <c r="J257">
        <f t="shared" si="4"/>
        <v>105000</v>
      </c>
      <c r="K257" t="e">
        <f>VLOOKUP(B257,'REGISTRO ABONOS'!$B$8:$BC$10041,54,0)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hidden="1" x14ac:dyDescent="0.2">
      <c r="B258" s="31">
        <v>249</v>
      </c>
      <c r="J258">
        <f t="shared" si="4"/>
        <v>105000</v>
      </c>
      <c r="K258" t="e">
        <f>VLOOKUP(B258,'REGISTRO ABONOS'!$B$8:$BC$10041,54,0)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hidden="1" x14ac:dyDescent="0.2">
      <c r="B259" s="31">
        <v>250</v>
      </c>
      <c r="J259">
        <f t="shared" si="4"/>
        <v>105000</v>
      </c>
      <c r="K259" t="e">
        <f>VLOOKUP(B259,'REGISTRO ABONOS'!$B$8:$BC$10041,54,0)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hidden="1" x14ac:dyDescent="0.2">
      <c r="B260" s="31">
        <v>251</v>
      </c>
      <c r="J260">
        <f t="shared" si="4"/>
        <v>105000</v>
      </c>
      <c r="K260" t="e">
        <f>VLOOKUP(B260,'REGISTRO ABONOS'!$B$8:$BC$10041,54,0)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hidden="1" x14ac:dyDescent="0.2">
      <c r="B261" s="31">
        <v>252</v>
      </c>
      <c r="J261">
        <f t="shared" si="4"/>
        <v>105000</v>
      </c>
      <c r="K261" t="e">
        <f>VLOOKUP(B261,'REGISTRO ABONOS'!$B$8:$BC$10041,54,0)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hidden="1" x14ac:dyDescent="0.2">
      <c r="B262" s="31">
        <v>253</v>
      </c>
      <c r="J262">
        <f t="shared" si="4"/>
        <v>105000</v>
      </c>
      <c r="K262" t="e">
        <f>VLOOKUP(B262,'REGISTRO ABONOS'!$B$8:$BC$10041,54,0)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hidden="1" x14ac:dyDescent="0.2">
      <c r="B263" s="31">
        <v>254</v>
      </c>
      <c r="J263">
        <f t="shared" si="4"/>
        <v>105000</v>
      </c>
      <c r="K263" t="e">
        <f>VLOOKUP(B263,'REGISTRO ABONOS'!$B$8:$BC$10041,54,0)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hidden="1" x14ac:dyDescent="0.2">
      <c r="B264" s="31">
        <v>255</v>
      </c>
      <c r="J264">
        <f t="shared" si="4"/>
        <v>105000</v>
      </c>
      <c r="K264" t="e">
        <f>VLOOKUP(B264,'REGISTRO ABONOS'!$B$8:$BC$10041,54,0)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hidden="1" x14ac:dyDescent="0.2">
      <c r="B265" s="31">
        <v>256</v>
      </c>
      <c r="J265">
        <f t="shared" si="4"/>
        <v>105000</v>
      </c>
      <c r="K265" t="e">
        <f>VLOOKUP(B265,'REGISTRO ABONOS'!$B$8:$BC$10041,54,0)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hidden="1" x14ac:dyDescent="0.2">
      <c r="B266" s="31">
        <v>257</v>
      </c>
      <c r="J266">
        <f t="shared" si="4"/>
        <v>105000</v>
      </c>
      <c r="K266" t="e">
        <f>VLOOKUP(B266,'REGISTRO ABONOS'!$B$8:$BC$10041,54,0)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hidden="1" x14ac:dyDescent="0.2">
      <c r="B267" s="31">
        <v>258</v>
      </c>
      <c r="J267">
        <f t="shared" si="4"/>
        <v>105000</v>
      </c>
      <c r="K267" t="e">
        <f>VLOOKUP(B267,'REGISTRO ABONOS'!$B$8:$BC$10041,54,0)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hidden="1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ABONOS'!$B$8:$BC$10041,54,0)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hidden="1" x14ac:dyDescent="0.2">
      <c r="B269" s="31">
        <v>260</v>
      </c>
      <c r="J269">
        <f t="shared" si="5"/>
        <v>105000</v>
      </c>
      <c r="K269" t="e">
        <f>VLOOKUP(B269,'REGISTRO ABONOS'!$B$8:$BC$10041,54,0)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hidden="1" x14ac:dyDescent="0.2">
      <c r="B270" s="31">
        <v>261</v>
      </c>
      <c r="J270">
        <f t="shared" si="5"/>
        <v>105000</v>
      </c>
      <c r="K270" t="e">
        <f>VLOOKUP(B270,'REGISTRO ABONOS'!$B$8:$BC$10041,54,0)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hidden="1" x14ac:dyDescent="0.2">
      <c r="B271" s="31">
        <v>262</v>
      </c>
      <c r="J271">
        <f t="shared" si="5"/>
        <v>105000</v>
      </c>
      <c r="K271" t="e">
        <f>VLOOKUP(B271,'REGISTRO ABONOS'!$B$8:$BC$10041,54,0)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hidden="1" x14ac:dyDescent="0.2">
      <c r="B272" s="31">
        <v>263</v>
      </c>
      <c r="J272">
        <f t="shared" si="5"/>
        <v>105000</v>
      </c>
      <c r="K272" t="e">
        <f>VLOOKUP(B272,'REGISTRO ABONOS'!$B$8:$BC$10041,54,0)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I273" t="s">
        <v>403</v>
      </c>
      <c r="J273">
        <f t="shared" si="5"/>
        <v>105000</v>
      </c>
      <c r="K273" t="e">
        <f>VLOOKUP(B273,'REGISTRO ABONOS'!$B$8:$BC$10041,54,0)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hidden="1" x14ac:dyDescent="0.2">
      <c r="B274" s="31">
        <v>265</v>
      </c>
      <c r="J274">
        <f t="shared" si="5"/>
        <v>105000</v>
      </c>
      <c r="K274" t="e">
        <f>VLOOKUP(B274,'REGISTRO ABONOS'!$B$8:$BC$10041,54,0)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hidden="1" x14ac:dyDescent="0.2">
      <c r="B275" s="31">
        <v>266</v>
      </c>
      <c r="J275">
        <f t="shared" si="5"/>
        <v>105000</v>
      </c>
      <c r="K275" t="e">
        <f>VLOOKUP(B275,'REGISTRO ABONOS'!$B$8:$BC$10041,54,0)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hidden="1" x14ac:dyDescent="0.2">
      <c r="B276" s="31">
        <v>267</v>
      </c>
      <c r="J276">
        <f t="shared" si="5"/>
        <v>105000</v>
      </c>
      <c r="K276" t="e">
        <f>VLOOKUP(B276,'REGISTRO ABONOS'!$B$8:$BC$10041,54,0)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hidden="1" x14ac:dyDescent="0.2">
      <c r="B277" s="31">
        <v>268</v>
      </c>
      <c r="J277">
        <f t="shared" si="5"/>
        <v>105000</v>
      </c>
      <c r="K277" t="e">
        <f>VLOOKUP(B277,'REGISTRO ABONOS'!$B$8:$BC$10041,54,0)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hidden="1" x14ac:dyDescent="0.2">
      <c r="B278" s="31">
        <v>269</v>
      </c>
      <c r="J278">
        <f t="shared" si="5"/>
        <v>105000</v>
      </c>
      <c r="K278" t="e">
        <f>VLOOKUP(B278,'REGISTRO ABONOS'!$B$8:$BC$10041,54,0)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hidden="1" x14ac:dyDescent="0.2">
      <c r="B279" s="31">
        <v>270</v>
      </c>
      <c r="J279">
        <f t="shared" si="5"/>
        <v>105000</v>
      </c>
      <c r="K279" t="e">
        <f>VLOOKUP(B279,'REGISTRO ABONOS'!$B$8:$BC$10041,54,0)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hidden="1" x14ac:dyDescent="0.2">
      <c r="B280" s="31">
        <v>271</v>
      </c>
      <c r="J280">
        <f t="shared" si="5"/>
        <v>105000</v>
      </c>
      <c r="K280" t="e">
        <f>VLOOKUP(B280,'REGISTRO ABONOS'!$B$8:$BC$10041,54,0)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hidden="1" x14ac:dyDescent="0.2">
      <c r="B281" s="31">
        <v>272</v>
      </c>
      <c r="J281">
        <f t="shared" si="5"/>
        <v>105000</v>
      </c>
      <c r="K281" t="e">
        <f>VLOOKUP(B281,'REGISTRO ABONOS'!$B$8:$BC$10041,54,0)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hidden="1" x14ac:dyDescent="0.2">
      <c r="B282" s="31">
        <v>273</v>
      </c>
      <c r="J282">
        <f t="shared" si="5"/>
        <v>105000</v>
      </c>
      <c r="K282" t="e">
        <f>VLOOKUP(B282,'REGISTRO ABONOS'!$B$8:$BC$10041,54,0)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hidden="1" x14ac:dyDescent="0.2">
      <c r="B283" s="31">
        <v>274</v>
      </c>
      <c r="J283">
        <f t="shared" si="5"/>
        <v>105000</v>
      </c>
      <c r="K283" t="e">
        <f>VLOOKUP(B283,'REGISTRO ABONOS'!$B$8:$BC$10041,54,0)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hidden="1" x14ac:dyDescent="0.2">
      <c r="B284" s="31">
        <v>275</v>
      </c>
      <c r="J284">
        <f t="shared" si="5"/>
        <v>105000</v>
      </c>
      <c r="K284" t="e">
        <f>VLOOKUP(B284,'REGISTRO ABONOS'!$B$8:$BC$10041,54,0)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hidden="1" x14ac:dyDescent="0.2">
      <c r="B285" s="31">
        <v>276</v>
      </c>
      <c r="J285">
        <f t="shared" si="5"/>
        <v>105000</v>
      </c>
      <c r="K285" t="e">
        <f>VLOOKUP(B285,'REGISTRO ABONOS'!$B$8:$BC$10041,54,0)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hidden="1" x14ac:dyDescent="0.2">
      <c r="B286" s="31">
        <v>277</v>
      </c>
      <c r="J286">
        <f t="shared" si="5"/>
        <v>105000</v>
      </c>
      <c r="K286" t="e">
        <f>VLOOKUP(B286,'REGISTRO ABONOS'!$B$8:$BC$10041,54,0)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hidden="1" x14ac:dyDescent="0.2">
      <c r="B287" s="31">
        <v>278</v>
      </c>
      <c r="J287">
        <f t="shared" si="5"/>
        <v>105000</v>
      </c>
      <c r="K287" t="e">
        <f>VLOOKUP(B287,'REGISTRO ABONOS'!$B$8:$BC$10041,54,0)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hidden="1" x14ac:dyDescent="0.2">
      <c r="B288" s="31">
        <v>279</v>
      </c>
      <c r="J288">
        <f t="shared" si="5"/>
        <v>105000</v>
      </c>
      <c r="K288" t="e">
        <f>VLOOKUP(B288,'REGISTRO ABONOS'!$B$8:$BC$10041,54,0)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hidden="1" x14ac:dyDescent="0.2">
      <c r="B289" s="31">
        <v>280</v>
      </c>
      <c r="J289">
        <f t="shared" si="5"/>
        <v>105000</v>
      </c>
      <c r="K289" t="e">
        <f>VLOOKUP(B289,'REGISTRO ABONOS'!$B$8:$BC$10041,54,0)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hidden="1" x14ac:dyDescent="0.2">
      <c r="B290" s="31">
        <v>281</v>
      </c>
      <c r="J290">
        <f t="shared" si="5"/>
        <v>105000</v>
      </c>
      <c r="K290" t="e">
        <f>VLOOKUP(B290,'REGISTRO ABONOS'!$B$8:$BC$10041,54,0)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hidden="1" x14ac:dyDescent="0.2">
      <c r="B291" s="31">
        <v>282</v>
      </c>
      <c r="J291">
        <f t="shared" si="5"/>
        <v>105000</v>
      </c>
      <c r="K291" t="e">
        <f>VLOOKUP(B291,'REGISTRO ABONOS'!$B$8:$BC$10041,54,0)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hidden="1" x14ac:dyDescent="0.2">
      <c r="B292" s="31">
        <v>283</v>
      </c>
      <c r="J292">
        <f t="shared" si="5"/>
        <v>105000</v>
      </c>
      <c r="K292" t="e">
        <f>VLOOKUP(B292,'REGISTRO ABONOS'!$B$8:$BC$10041,54,0)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hidden="1" x14ac:dyDescent="0.2">
      <c r="B293" s="31">
        <v>284</v>
      </c>
      <c r="J293">
        <f t="shared" si="5"/>
        <v>105000</v>
      </c>
      <c r="K293" t="e">
        <f>VLOOKUP(B293,'REGISTRO ABONOS'!$B$8:$BC$10041,54,0)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355</v>
      </c>
      <c r="J294">
        <f t="shared" si="5"/>
        <v>105000</v>
      </c>
      <c r="K294">
        <f>VLOOKUP(B294,'REGISTRO ABONOS'!$B$8:$BC$10041,54,0)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hidden="1" x14ac:dyDescent="0.2">
      <c r="B295" s="31">
        <v>286</v>
      </c>
      <c r="J295">
        <f t="shared" si="5"/>
        <v>105000</v>
      </c>
      <c r="K295" t="e">
        <f>VLOOKUP(B295,'REGISTRO ABONOS'!$B$8:$BC$10041,54,0)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hidden="1" x14ac:dyDescent="0.2">
      <c r="B296" s="31">
        <v>287</v>
      </c>
      <c r="J296">
        <f t="shared" si="5"/>
        <v>105000</v>
      </c>
      <c r="K296" t="e">
        <f>VLOOKUP(B296,'REGISTRO ABONOS'!$B$8:$BC$10041,54,0)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hidden="1" x14ac:dyDescent="0.2">
      <c r="B297" s="31">
        <v>288</v>
      </c>
      <c r="J297">
        <f t="shared" si="5"/>
        <v>105000</v>
      </c>
      <c r="K297" t="e">
        <f>VLOOKUP(B297,'REGISTRO ABONOS'!$B$8:$BC$10041,54,0)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hidden="1" x14ac:dyDescent="0.2">
      <c r="B298" s="31">
        <v>289</v>
      </c>
      <c r="J298">
        <f t="shared" si="5"/>
        <v>105000</v>
      </c>
      <c r="K298" t="e">
        <f>VLOOKUP(B298,'REGISTRO ABONOS'!$B$8:$BC$10041,54,0)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hidden="1" x14ac:dyDescent="0.2">
      <c r="B299" s="31">
        <v>290</v>
      </c>
      <c r="J299">
        <f t="shared" si="5"/>
        <v>105000</v>
      </c>
      <c r="K299" t="e">
        <f>VLOOKUP(B299,'REGISTRO ABONOS'!$B$8:$BC$10041,54,0)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hidden="1" x14ac:dyDescent="0.2">
      <c r="B300" s="31">
        <v>291</v>
      </c>
      <c r="J300">
        <f t="shared" si="5"/>
        <v>105000</v>
      </c>
      <c r="K300" t="e">
        <f>VLOOKUP(B300,'REGISTRO ABONOS'!$B$8:$BC$10041,54,0)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hidden="1" x14ac:dyDescent="0.2">
      <c r="B301" s="31">
        <v>292</v>
      </c>
      <c r="J301">
        <f t="shared" si="5"/>
        <v>105000</v>
      </c>
      <c r="K301" t="e">
        <f>VLOOKUP(B301,'REGISTRO ABONOS'!$B$8:$BC$10041,54,0)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hidden="1" x14ac:dyDescent="0.2">
      <c r="B302" s="31">
        <v>293</v>
      </c>
      <c r="J302">
        <f t="shared" si="5"/>
        <v>105000</v>
      </c>
      <c r="K302" t="e">
        <f>VLOOKUP(B302,'REGISTRO ABONOS'!$B$8:$BC$10041,54,0)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hidden="1" x14ac:dyDescent="0.2">
      <c r="B303" s="31">
        <v>294</v>
      </c>
      <c r="J303">
        <f t="shared" si="5"/>
        <v>105000</v>
      </c>
      <c r="K303" t="e">
        <f>VLOOKUP(B303,'REGISTRO ABONOS'!$B$8:$BC$10041,54,0)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hidden="1" x14ac:dyDescent="0.2">
      <c r="B304" s="31">
        <v>295</v>
      </c>
      <c r="J304">
        <f t="shared" si="5"/>
        <v>105000</v>
      </c>
      <c r="K304" t="e">
        <f>VLOOKUP(B304,'REGISTRO ABONOS'!$B$8:$BC$10041,54,0)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hidden="1" x14ac:dyDescent="0.2">
      <c r="B305" s="31">
        <v>296</v>
      </c>
      <c r="J305">
        <f t="shared" si="5"/>
        <v>105000</v>
      </c>
      <c r="K305" t="e">
        <f>VLOOKUP(B305,'REGISTRO ABONOS'!$B$8:$BC$10041,54,0)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hidden="1" x14ac:dyDescent="0.2">
      <c r="B306" s="31">
        <v>297</v>
      </c>
      <c r="J306">
        <f t="shared" si="5"/>
        <v>105000</v>
      </c>
      <c r="K306" t="e">
        <f>VLOOKUP(B306,'REGISTRO ABONOS'!$B$8:$BC$10041,54,0)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hidden="1" x14ac:dyDescent="0.2">
      <c r="B307" s="31">
        <v>298</v>
      </c>
      <c r="J307">
        <f t="shared" si="5"/>
        <v>105000</v>
      </c>
      <c r="K307" t="e">
        <f>VLOOKUP(B307,'REGISTRO ABONOS'!$B$8:$BC$10041,54,0)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hidden="1" x14ac:dyDescent="0.2">
      <c r="B308" s="31">
        <v>299</v>
      </c>
      <c r="J308">
        <f t="shared" si="5"/>
        <v>105000</v>
      </c>
      <c r="K308" t="e">
        <f>VLOOKUP(B308,'REGISTRO ABONOS'!$B$8:$BC$10041,54,0)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hidden="1" x14ac:dyDescent="0.2">
      <c r="B309" s="31">
        <v>300</v>
      </c>
      <c r="J309">
        <f t="shared" si="5"/>
        <v>105000</v>
      </c>
      <c r="K309" t="e">
        <f>VLOOKUP(B309,'REGISTRO ABONOS'!$B$8:$BC$10041,54,0)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hidden="1" x14ac:dyDescent="0.2">
      <c r="B310" s="31">
        <v>301</v>
      </c>
      <c r="J310">
        <f t="shared" si="5"/>
        <v>105000</v>
      </c>
      <c r="K310" t="e">
        <f>VLOOKUP(B310,'REGISTRO ABONOS'!$B$8:$BC$10041,54,0)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hidden="1" x14ac:dyDescent="0.2">
      <c r="B311" s="31">
        <v>302</v>
      </c>
      <c r="J311">
        <f t="shared" si="5"/>
        <v>105000</v>
      </c>
      <c r="K311" t="e">
        <f>VLOOKUP(B311,'REGISTRO ABONOS'!$B$8:$BC$10041,54,0)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hidden="1" x14ac:dyDescent="0.2">
      <c r="B312" s="31">
        <v>303</v>
      </c>
      <c r="J312">
        <f t="shared" si="5"/>
        <v>105000</v>
      </c>
      <c r="K312" t="e">
        <f>VLOOKUP(B312,'REGISTRO ABONOS'!$B$8:$BC$10041,54,0)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hidden="1" x14ac:dyDescent="0.2">
      <c r="B313" s="31">
        <v>304</v>
      </c>
      <c r="J313">
        <f t="shared" si="5"/>
        <v>105000</v>
      </c>
      <c r="K313" t="e">
        <f>VLOOKUP(B313,'REGISTRO ABONOS'!$B$8:$BC$10041,54,0)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hidden="1" x14ac:dyDescent="0.2">
      <c r="B314" s="31">
        <v>305</v>
      </c>
      <c r="J314">
        <f t="shared" si="5"/>
        <v>105000</v>
      </c>
      <c r="K314" t="e">
        <f>VLOOKUP(B314,'REGISTRO ABONOS'!$B$8:$BC$10041,54,0)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hidden="1" x14ac:dyDescent="0.2">
      <c r="B315" s="31">
        <v>306</v>
      </c>
      <c r="J315">
        <f t="shared" si="5"/>
        <v>105000</v>
      </c>
      <c r="K315" t="e">
        <f>VLOOKUP(B315,'REGISTRO ABONOS'!$B$8:$BC$10041,54,0)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hidden="1" x14ac:dyDescent="0.2">
      <c r="B316" s="31">
        <v>307</v>
      </c>
      <c r="J316">
        <f t="shared" si="5"/>
        <v>105000</v>
      </c>
      <c r="K316" t="e">
        <f>VLOOKUP(B316,'REGISTRO ABONOS'!$B$8:$BC$10041,54,0)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hidden="1" x14ac:dyDescent="0.2">
      <c r="B317" s="31">
        <v>308</v>
      </c>
      <c r="J317">
        <f t="shared" si="5"/>
        <v>105000</v>
      </c>
      <c r="K317" t="e">
        <f>VLOOKUP(B317,'REGISTRO ABONOS'!$B$8:$BC$10041,54,0)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hidden="1" x14ac:dyDescent="0.2">
      <c r="B318" s="31">
        <v>309</v>
      </c>
      <c r="J318">
        <f t="shared" si="5"/>
        <v>105000</v>
      </c>
      <c r="K318" t="e">
        <f>VLOOKUP(B318,'REGISTRO ABONOS'!$B$8:$BC$10041,54,0)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hidden="1" x14ac:dyDescent="0.2">
      <c r="B319" s="31">
        <v>310</v>
      </c>
      <c r="J319">
        <f t="shared" si="5"/>
        <v>105000</v>
      </c>
      <c r="K319" t="e">
        <f>VLOOKUP(B319,'REGISTRO ABONOS'!$B$8:$BC$10041,54,0)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hidden="1" x14ac:dyDescent="0.2">
      <c r="B320" s="31">
        <v>311</v>
      </c>
      <c r="J320">
        <f t="shared" si="5"/>
        <v>105000</v>
      </c>
      <c r="K320" t="e">
        <f>VLOOKUP(B320,'REGISTRO ABONOS'!$B$8:$BC$10041,54,0)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hidden="1" x14ac:dyDescent="0.2">
      <c r="B321" s="31">
        <v>312</v>
      </c>
      <c r="J321">
        <f t="shared" si="5"/>
        <v>105000</v>
      </c>
      <c r="K321" t="e">
        <f>VLOOKUP(B321,'REGISTRO ABONOS'!$B$8:$BC$10041,54,0)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hidden="1" x14ac:dyDescent="0.2">
      <c r="B322" s="31">
        <v>313</v>
      </c>
      <c r="J322">
        <f t="shared" si="5"/>
        <v>105000</v>
      </c>
      <c r="K322" t="e">
        <f>VLOOKUP(B322,'REGISTRO ABONOS'!$B$8:$BC$10041,54,0)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hidden="1" x14ac:dyDescent="0.2">
      <c r="B323" s="31">
        <v>314</v>
      </c>
      <c r="J323">
        <f t="shared" si="5"/>
        <v>105000</v>
      </c>
      <c r="K323" t="e">
        <f>VLOOKUP(B323,'REGISTRO ABONOS'!$B$8:$BC$10041,54,0)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hidden="1" x14ac:dyDescent="0.2">
      <c r="B324" s="31">
        <v>315</v>
      </c>
      <c r="J324">
        <f t="shared" si="5"/>
        <v>105000</v>
      </c>
      <c r="K324" t="e">
        <f>VLOOKUP(B324,'REGISTRO ABONOS'!$B$8:$BC$10041,54,0)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hidden="1" x14ac:dyDescent="0.2">
      <c r="B325" s="31">
        <v>316</v>
      </c>
      <c r="J325">
        <f t="shared" si="5"/>
        <v>105000</v>
      </c>
      <c r="K325" t="e">
        <f>VLOOKUP(B325,'REGISTRO ABONOS'!$B$8:$BC$10041,54,0)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hidden="1" x14ac:dyDescent="0.2">
      <c r="B326" s="31">
        <v>317</v>
      </c>
      <c r="J326">
        <f t="shared" si="5"/>
        <v>105000</v>
      </c>
      <c r="K326" t="e">
        <f>VLOOKUP(B326,'REGISTRO ABONOS'!$B$8:$BC$10041,54,0)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hidden="1" x14ac:dyDescent="0.2">
      <c r="B327" s="31">
        <v>318</v>
      </c>
      <c r="J327">
        <f t="shared" si="5"/>
        <v>105000</v>
      </c>
      <c r="K327" t="e">
        <f>VLOOKUP(B327,'REGISTRO ABONOS'!$B$8:$BC$10041,54,0)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hidden="1" x14ac:dyDescent="0.2">
      <c r="B328" s="31">
        <v>319</v>
      </c>
      <c r="J328">
        <f t="shared" si="5"/>
        <v>105000</v>
      </c>
      <c r="K328" t="e">
        <f>VLOOKUP(B328,'REGISTRO ABONOS'!$B$8:$BC$10041,54,0)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hidden="1" x14ac:dyDescent="0.2">
      <c r="B329" s="31">
        <v>320</v>
      </c>
      <c r="J329">
        <f t="shared" si="5"/>
        <v>105000</v>
      </c>
      <c r="K329" t="e">
        <f>VLOOKUP(B329,'REGISTRO ABONOS'!$B$8:$BC$10041,54,0)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hidden="1" x14ac:dyDescent="0.2">
      <c r="B330" s="31">
        <v>321</v>
      </c>
      <c r="J330">
        <f t="shared" si="5"/>
        <v>105000</v>
      </c>
      <c r="K330" t="e">
        <f>VLOOKUP(B330,'REGISTRO ABONOS'!$B$8:$BC$10041,54,0)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hidden="1" x14ac:dyDescent="0.2">
      <c r="B331" s="31">
        <v>322</v>
      </c>
      <c r="J331">
        <f t="shared" si="5"/>
        <v>105000</v>
      </c>
      <c r="K331" t="e">
        <f>VLOOKUP(B331,'REGISTRO ABONOS'!$B$8:$BC$10041,54,0)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hidden="1" x14ac:dyDescent="0.2">
      <c r="B332" s="31">
        <v>323</v>
      </c>
      <c r="J332">
        <f t="shared" ref="J332:J395" si="6">IF(C332&gt;43607,130000,105000)</f>
        <v>105000</v>
      </c>
      <c r="K332" t="e">
        <f>VLOOKUP(B332,'REGISTRO ABONOS'!$B$8:$BC$10041,54,0)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hidden="1" x14ac:dyDescent="0.2">
      <c r="B333" s="31">
        <v>324</v>
      </c>
      <c r="J333">
        <f t="shared" si="6"/>
        <v>105000</v>
      </c>
      <c r="K333" t="e">
        <f>VLOOKUP(B333,'REGISTRO ABONOS'!$B$8:$BC$10041,54,0)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hidden="1" x14ac:dyDescent="0.2">
      <c r="B334" s="31">
        <v>325</v>
      </c>
      <c r="J334">
        <f t="shared" si="6"/>
        <v>105000</v>
      </c>
      <c r="K334" t="e">
        <f>VLOOKUP(B334,'REGISTRO ABONOS'!$B$8:$BC$10041,54,0)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hidden="1" x14ac:dyDescent="0.2">
      <c r="B335" s="31">
        <v>326</v>
      </c>
      <c r="J335">
        <f t="shared" si="6"/>
        <v>105000</v>
      </c>
      <c r="K335" t="e">
        <f>VLOOKUP(B335,'REGISTRO ABONOS'!$B$8:$BC$10041,54,0)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hidden="1" x14ac:dyDescent="0.2">
      <c r="B336" s="31">
        <v>327</v>
      </c>
      <c r="J336">
        <f t="shared" si="6"/>
        <v>105000</v>
      </c>
      <c r="K336" t="e">
        <f>VLOOKUP(B336,'REGISTRO ABONOS'!$B$8:$BC$10041,54,0)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hidden="1" x14ac:dyDescent="0.2">
      <c r="B337" s="31">
        <v>328</v>
      </c>
      <c r="C337" s="10">
        <v>43571</v>
      </c>
      <c r="D337" t="s">
        <v>513</v>
      </c>
      <c r="H337" t="s">
        <v>513</v>
      </c>
      <c r="I337" t="s">
        <v>322</v>
      </c>
      <c r="J337">
        <f t="shared" si="6"/>
        <v>105000</v>
      </c>
      <c r="K337" t="e">
        <f>VLOOKUP(B337,'REGISTRO ABONOS'!$B$8:$BC$10041,54,0)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hidden="1" x14ac:dyDescent="0.2">
      <c r="B338" s="31">
        <v>329</v>
      </c>
      <c r="J338">
        <f t="shared" si="6"/>
        <v>105000</v>
      </c>
      <c r="K338" t="e">
        <f>VLOOKUP(B338,'REGISTRO ABONOS'!$B$8:$BC$10041,54,0)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hidden="1" x14ac:dyDescent="0.2">
      <c r="B339" s="31">
        <v>330</v>
      </c>
      <c r="J339">
        <f t="shared" si="6"/>
        <v>105000</v>
      </c>
      <c r="K339" t="e">
        <f>VLOOKUP(B339,'REGISTRO ABONOS'!$B$8:$BC$10041,54,0)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hidden="1" x14ac:dyDescent="0.2">
      <c r="B340" s="31">
        <v>331</v>
      </c>
      <c r="J340">
        <f t="shared" si="6"/>
        <v>105000</v>
      </c>
      <c r="K340" t="e">
        <f>VLOOKUP(B340,'REGISTRO ABONOS'!$B$8:$BC$10041,54,0)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hidden="1" x14ac:dyDescent="0.2">
      <c r="B341" s="31">
        <v>332</v>
      </c>
      <c r="J341">
        <f t="shared" si="6"/>
        <v>105000</v>
      </c>
      <c r="K341" t="e">
        <f>VLOOKUP(B341,'REGISTRO ABONOS'!$B$8:$BC$10041,54,0)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hidden="1" x14ac:dyDescent="0.2">
      <c r="B342" s="31">
        <v>333</v>
      </c>
      <c r="J342">
        <f t="shared" si="6"/>
        <v>105000</v>
      </c>
      <c r="K342" t="e">
        <f>VLOOKUP(B342,'REGISTRO ABONOS'!$B$8:$BC$10041,54,0)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hidden="1" x14ac:dyDescent="0.2">
      <c r="B343" s="31">
        <v>334</v>
      </c>
      <c r="J343">
        <f t="shared" si="6"/>
        <v>105000</v>
      </c>
      <c r="K343" t="e">
        <f>VLOOKUP(B343,'REGISTRO ABONOS'!$B$8:$BC$10041,54,0)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hidden="1" x14ac:dyDescent="0.2">
      <c r="B344" s="31">
        <v>335</v>
      </c>
      <c r="J344">
        <f t="shared" si="6"/>
        <v>105000</v>
      </c>
      <c r="K344" t="e">
        <f>VLOOKUP(B344,'REGISTRO ABONOS'!$B$8:$BC$10041,54,0)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hidden="1" x14ac:dyDescent="0.2">
      <c r="B345" s="31">
        <v>336</v>
      </c>
      <c r="J345">
        <f t="shared" si="6"/>
        <v>105000</v>
      </c>
      <c r="K345" t="e">
        <f>VLOOKUP(B345,'REGISTRO ABONOS'!$B$8:$BC$10041,54,0)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hidden="1" x14ac:dyDescent="0.2">
      <c r="B346" s="31">
        <v>337</v>
      </c>
      <c r="J346">
        <f t="shared" si="6"/>
        <v>105000</v>
      </c>
      <c r="K346" t="e">
        <f>VLOOKUP(B346,'REGISTRO ABONOS'!$B$8:$BC$10041,54,0)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hidden="1" x14ac:dyDescent="0.2">
      <c r="B347" s="31">
        <v>338</v>
      </c>
      <c r="J347">
        <f t="shared" si="6"/>
        <v>105000</v>
      </c>
      <c r="K347" t="e">
        <f>VLOOKUP(B347,'REGISTRO ABONOS'!$B$8:$BC$10041,54,0)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hidden="1" x14ac:dyDescent="0.2">
      <c r="B348" s="31">
        <v>339</v>
      </c>
      <c r="J348">
        <f t="shared" si="6"/>
        <v>105000</v>
      </c>
      <c r="K348" t="e">
        <f>VLOOKUP(B348,'REGISTRO ABONOS'!$B$8:$BC$10041,54,0)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hidden="1" x14ac:dyDescent="0.2">
      <c r="B349" s="31">
        <v>340</v>
      </c>
      <c r="J349">
        <f t="shared" si="6"/>
        <v>105000</v>
      </c>
      <c r="K349" t="e">
        <f>VLOOKUP(B349,'REGISTRO ABONOS'!$B$8:$BC$10041,54,0)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hidden="1" x14ac:dyDescent="0.2">
      <c r="B350" s="31">
        <v>341</v>
      </c>
      <c r="J350">
        <f t="shared" si="6"/>
        <v>105000</v>
      </c>
      <c r="K350" t="e">
        <f>VLOOKUP(B350,'REGISTRO ABONOS'!$B$8:$BC$10041,54,0)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hidden="1" x14ac:dyDescent="0.2">
      <c r="B351" s="31">
        <v>342</v>
      </c>
      <c r="J351">
        <f t="shared" si="6"/>
        <v>105000</v>
      </c>
      <c r="K351" t="e">
        <f>VLOOKUP(B351,'REGISTRO ABONOS'!$B$8:$BC$10041,54,0)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hidden="1" x14ac:dyDescent="0.2">
      <c r="B352" s="31">
        <v>343</v>
      </c>
      <c r="J352">
        <f t="shared" si="6"/>
        <v>105000</v>
      </c>
      <c r="K352" t="e">
        <f>VLOOKUP(B352,'REGISTRO ABONOS'!$B$8:$BC$10041,54,0)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hidden="1" x14ac:dyDescent="0.2">
      <c r="B353" s="31">
        <v>344</v>
      </c>
      <c r="J353">
        <f t="shared" si="6"/>
        <v>105000</v>
      </c>
      <c r="K353" t="e">
        <f>VLOOKUP(B353,'REGISTRO ABONOS'!$B$8:$BC$10041,54,0)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hidden="1" x14ac:dyDescent="0.2">
      <c r="B354" s="31">
        <v>345</v>
      </c>
      <c r="J354">
        <f t="shared" si="6"/>
        <v>105000</v>
      </c>
      <c r="K354" t="e">
        <f>VLOOKUP(B354,'REGISTRO ABONOS'!$B$8:$BC$10041,54,0)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hidden="1" x14ac:dyDescent="0.2">
      <c r="B355" s="31">
        <v>346</v>
      </c>
      <c r="J355">
        <f t="shared" si="6"/>
        <v>105000</v>
      </c>
      <c r="K355" t="e">
        <f>VLOOKUP(B355,'REGISTRO ABONOS'!$B$8:$BC$10041,54,0)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hidden="1" x14ac:dyDescent="0.2">
      <c r="B356" s="31">
        <v>347</v>
      </c>
      <c r="J356">
        <f t="shared" si="6"/>
        <v>105000</v>
      </c>
      <c r="K356" t="e">
        <f>VLOOKUP(B356,'REGISTRO ABONOS'!$B$8:$BC$10041,54,0)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hidden="1" x14ac:dyDescent="0.2">
      <c r="B357" s="31">
        <v>348</v>
      </c>
      <c r="J357">
        <f t="shared" si="6"/>
        <v>105000</v>
      </c>
      <c r="K357" t="e">
        <f>VLOOKUP(B357,'REGISTRO ABONOS'!$B$8:$BC$10041,54,0)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hidden="1" x14ac:dyDescent="0.2">
      <c r="B358" s="31">
        <v>349</v>
      </c>
      <c r="J358">
        <f t="shared" si="6"/>
        <v>105000</v>
      </c>
      <c r="K358" t="e">
        <f>VLOOKUP(B358,'REGISTRO ABONOS'!$B$8:$BC$10041,54,0)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hidden="1" x14ac:dyDescent="0.2">
      <c r="B359" s="31">
        <v>350</v>
      </c>
      <c r="J359">
        <f t="shared" si="6"/>
        <v>105000</v>
      </c>
      <c r="K359" t="e">
        <f>VLOOKUP(B359,'REGISTRO ABONOS'!$B$8:$BC$10041,54,0)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hidden="1" x14ac:dyDescent="0.2">
      <c r="B360" s="31">
        <v>351</v>
      </c>
      <c r="J360">
        <f t="shared" si="6"/>
        <v>105000</v>
      </c>
      <c r="K360" t="e">
        <f>VLOOKUP(B360,'REGISTRO ABONOS'!$B$8:$BC$10041,54,0)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hidden="1" x14ac:dyDescent="0.2">
      <c r="B361" s="31">
        <v>352</v>
      </c>
      <c r="J361">
        <f t="shared" si="6"/>
        <v>105000</v>
      </c>
      <c r="K361" t="e">
        <f>VLOOKUP(B361,'REGISTRO ABONOS'!$B$8:$BC$10041,54,0)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hidden="1" x14ac:dyDescent="0.2">
      <c r="B362" s="31">
        <v>353</v>
      </c>
      <c r="J362">
        <f t="shared" si="6"/>
        <v>105000</v>
      </c>
      <c r="K362" t="e">
        <f>VLOOKUP(B362,'REGISTRO ABONOS'!$B$8:$BC$10041,54,0)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hidden="1" x14ac:dyDescent="0.2">
      <c r="B363" s="31">
        <v>354</v>
      </c>
      <c r="J363">
        <f t="shared" si="6"/>
        <v>105000</v>
      </c>
      <c r="K363" t="e">
        <f>VLOOKUP(B363,'REGISTRO ABONOS'!$B$8:$BC$10041,54,0)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hidden="1" x14ac:dyDescent="0.2">
      <c r="B364" s="31">
        <v>355</v>
      </c>
      <c r="J364">
        <f t="shared" si="6"/>
        <v>105000</v>
      </c>
      <c r="K364" t="e">
        <f>VLOOKUP(B364,'REGISTRO ABONOS'!$B$8:$BC$10041,54,0)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hidden="1" x14ac:dyDescent="0.2">
      <c r="B365" s="31">
        <v>356</v>
      </c>
      <c r="J365">
        <f t="shared" si="6"/>
        <v>105000</v>
      </c>
      <c r="K365" t="e">
        <f>VLOOKUP(B365,'REGISTRO ABONOS'!$B$8:$BC$10041,54,0)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hidden="1" x14ac:dyDescent="0.2">
      <c r="B366" s="31">
        <v>357</v>
      </c>
      <c r="J366">
        <f t="shared" si="6"/>
        <v>105000</v>
      </c>
      <c r="K366" t="e">
        <f>VLOOKUP(B366,'REGISTRO ABONOS'!$B$8:$BC$10041,54,0)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hidden="1" x14ac:dyDescent="0.2">
      <c r="B367" s="31">
        <v>358</v>
      </c>
      <c r="J367">
        <f t="shared" si="6"/>
        <v>105000</v>
      </c>
      <c r="K367" t="e">
        <f>VLOOKUP(B367,'REGISTRO ABONOS'!$B$8:$BC$10041,54,0)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hidden="1" x14ac:dyDescent="0.2">
      <c r="B368" s="31">
        <v>359</v>
      </c>
      <c r="J368">
        <f t="shared" si="6"/>
        <v>105000</v>
      </c>
      <c r="K368" t="e">
        <f>VLOOKUP(B368,'REGISTRO ABONOS'!$B$8:$BC$10041,54,0)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hidden="1" x14ac:dyDescent="0.2">
      <c r="B369" s="31">
        <v>360</v>
      </c>
      <c r="J369">
        <f t="shared" si="6"/>
        <v>105000</v>
      </c>
      <c r="K369" t="e">
        <f>VLOOKUP(B369,'REGISTRO ABONOS'!$B$8:$BC$10041,54,0)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hidden="1" x14ac:dyDescent="0.2">
      <c r="B370" s="31">
        <v>361</v>
      </c>
      <c r="J370">
        <f t="shared" si="6"/>
        <v>105000</v>
      </c>
      <c r="K370" t="e">
        <f>VLOOKUP(B370,'REGISTRO ABONOS'!$B$8:$BC$10041,54,0)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hidden="1" x14ac:dyDescent="0.2">
      <c r="B371" s="31">
        <v>362</v>
      </c>
      <c r="J371">
        <f t="shared" si="6"/>
        <v>105000</v>
      </c>
      <c r="K371" t="e">
        <f>VLOOKUP(B371,'REGISTRO ABONOS'!$B$8:$BC$10041,54,0)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hidden="1" x14ac:dyDescent="0.2">
      <c r="B372" s="31">
        <v>363</v>
      </c>
      <c r="J372">
        <f t="shared" si="6"/>
        <v>105000</v>
      </c>
      <c r="K372" t="e">
        <f>VLOOKUP(B372,'REGISTRO ABONOS'!$B$8:$BC$10041,54,0)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hidden="1" x14ac:dyDescent="0.2">
      <c r="B373" s="31">
        <v>364</v>
      </c>
      <c r="J373">
        <f t="shared" si="6"/>
        <v>105000</v>
      </c>
      <c r="K373" t="e">
        <f>VLOOKUP(B373,'REGISTRO ABONOS'!$B$8:$BC$10041,54,0)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hidden="1" x14ac:dyDescent="0.2">
      <c r="B374" s="31">
        <v>365</v>
      </c>
      <c r="J374">
        <f t="shared" si="6"/>
        <v>105000</v>
      </c>
      <c r="K374" t="e">
        <f>VLOOKUP(B374,'REGISTRO ABONOS'!$B$8:$BC$10041,54,0)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hidden="1" x14ac:dyDescent="0.2">
      <c r="B375" s="31">
        <v>366</v>
      </c>
      <c r="J375">
        <f t="shared" si="6"/>
        <v>105000</v>
      </c>
      <c r="K375" t="e">
        <f>VLOOKUP(B375,'REGISTRO ABONOS'!$B$8:$BC$10041,54,0)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hidden="1" x14ac:dyDescent="0.2">
      <c r="B376" s="31">
        <v>367</v>
      </c>
      <c r="J376">
        <f t="shared" si="6"/>
        <v>105000</v>
      </c>
      <c r="K376" t="e">
        <f>VLOOKUP(B376,'REGISTRO ABONOS'!$B$8:$BC$10041,54,0)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hidden="1" x14ac:dyDescent="0.2">
      <c r="B377" s="31">
        <v>368</v>
      </c>
      <c r="J377">
        <f t="shared" si="6"/>
        <v>105000</v>
      </c>
      <c r="K377" t="e">
        <f>VLOOKUP(B377,'REGISTRO ABONOS'!$B$8:$BC$10041,54,0)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hidden="1" x14ac:dyDescent="0.2">
      <c r="B378" s="31">
        <v>369</v>
      </c>
      <c r="J378">
        <f t="shared" si="6"/>
        <v>105000</v>
      </c>
      <c r="K378" t="e">
        <f>VLOOKUP(B378,'REGISTRO ABONOS'!$B$8:$BC$10041,54,0)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hidden="1" x14ac:dyDescent="0.2">
      <c r="B379" s="31">
        <v>370</v>
      </c>
      <c r="J379">
        <f t="shared" si="6"/>
        <v>105000</v>
      </c>
      <c r="K379" t="e">
        <f>VLOOKUP(B379,'REGISTRO ABONOS'!$B$8:$BC$10041,54,0)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hidden="1" x14ac:dyDescent="0.2">
      <c r="B380" s="31">
        <v>371</v>
      </c>
      <c r="J380">
        <f t="shared" si="6"/>
        <v>105000</v>
      </c>
      <c r="K380" t="e">
        <f>VLOOKUP(B380,'REGISTRO ABONOS'!$B$8:$BC$10041,54,0)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hidden="1" x14ac:dyDescent="0.2">
      <c r="B381" s="31">
        <v>372</v>
      </c>
      <c r="J381">
        <f t="shared" si="6"/>
        <v>105000</v>
      </c>
      <c r="K381" t="e">
        <f>VLOOKUP(B381,'REGISTRO ABONOS'!$B$8:$BC$10041,54,0)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hidden="1" x14ac:dyDescent="0.2">
      <c r="B382" s="31">
        <v>373</v>
      </c>
      <c r="J382">
        <f t="shared" si="6"/>
        <v>105000</v>
      </c>
      <c r="K382" t="e">
        <f>VLOOKUP(B382,'REGISTRO ABONOS'!$B$8:$BC$10041,54,0)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hidden="1" x14ac:dyDescent="0.2">
      <c r="B383" s="31">
        <v>374</v>
      </c>
      <c r="J383">
        <f t="shared" si="6"/>
        <v>105000</v>
      </c>
      <c r="K383" t="e">
        <f>VLOOKUP(B383,'REGISTRO ABONOS'!$B$8:$BC$10041,54,0)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hidden="1" x14ac:dyDescent="0.2">
      <c r="B384" s="31">
        <v>375</v>
      </c>
      <c r="J384">
        <f t="shared" si="6"/>
        <v>105000</v>
      </c>
      <c r="K384" t="e">
        <f>VLOOKUP(B384,'REGISTRO ABONOS'!$B$8:$BC$10041,54,0)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hidden="1" x14ac:dyDescent="0.2">
      <c r="B385" s="31">
        <v>376</v>
      </c>
      <c r="J385">
        <f t="shared" si="6"/>
        <v>105000</v>
      </c>
      <c r="K385" t="e">
        <f>VLOOKUP(B385,'REGISTRO ABONOS'!$B$8:$BC$10041,54,0)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hidden="1" x14ac:dyDescent="0.2">
      <c r="B386" s="31">
        <v>377</v>
      </c>
      <c r="J386">
        <f t="shared" si="6"/>
        <v>105000</v>
      </c>
      <c r="K386" t="e">
        <f>VLOOKUP(B386,'REGISTRO ABONOS'!$B$8:$BC$10041,54,0)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hidden="1" x14ac:dyDescent="0.2">
      <c r="B387" s="31">
        <v>378</v>
      </c>
      <c r="J387">
        <f t="shared" si="6"/>
        <v>105000</v>
      </c>
      <c r="K387" t="e">
        <f>VLOOKUP(B387,'REGISTRO ABONOS'!$B$8:$BC$10041,54,0)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hidden="1" x14ac:dyDescent="0.2">
      <c r="B388" s="31">
        <v>379</v>
      </c>
      <c r="J388">
        <f t="shared" si="6"/>
        <v>105000</v>
      </c>
      <c r="K388" t="e">
        <f>VLOOKUP(B388,'REGISTRO ABONOS'!$B$8:$BC$10041,54,0)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hidden="1" x14ac:dyDescent="0.2">
      <c r="B389" s="31">
        <v>380</v>
      </c>
      <c r="J389">
        <f t="shared" si="6"/>
        <v>105000</v>
      </c>
      <c r="K389" t="e">
        <f>VLOOKUP(B389,'REGISTRO ABONOS'!$B$8:$BC$10041,54,0)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hidden="1" x14ac:dyDescent="0.2">
      <c r="B390" s="31">
        <v>381</v>
      </c>
      <c r="J390">
        <f t="shared" si="6"/>
        <v>105000</v>
      </c>
      <c r="K390" t="e">
        <f>VLOOKUP(B390,'REGISTRO ABONOS'!$B$8:$BC$10041,54,0)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hidden="1" x14ac:dyDescent="0.2">
      <c r="B391" s="31">
        <v>382</v>
      </c>
      <c r="J391">
        <f t="shared" si="6"/>
        <v>105000</v>
      </c>
      <c r="K391" t="e">
        <f>VLOOKUP(B391,'REGISTRO ABONOS'!$B$8:$BC$10041,54,0)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hidden="1" x14ac:dyDescent="0.2">
      <c r="B392" s="31">
        <v>383</v>
      </c>
      <c r="J392">
        <f t="shared" si="6"/>
        <v>105000</v>
      </c>
      <c r="K392" t="e">
        <f>VLOOKUP(B392,'REGISTRO ABONOS'!$B$8:$BC$10041,54,0)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hidden="1" x14ac:dyDescent="0.2">
      <c r="B393" s="31">
        <v>384</v>
      </c>
      <c r="J393">
        <f t="shared" si="6"/>
        <v>105000</v>
      </c>
      <c r="K393" t="e">
        <f>VLOOKUP(B393,'REGISTRO ABONOS'!$B$8:$BC$10041,54,0)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hidden="1" x14ac:dyDescent="0.2">
      <c r="B394" s="31">
        <v>385</v>
      </c>
      <c r="J394">
        <f t="shared" si="6"/>
        <v>105000</v>
      </c>
      <c r="K394" t="e">
        <f>VLOOKUP(B394,'REGISTRO ABONOS'!$B$8:$BC$10041,54,0)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hidden="1" x14ac:dyDescent="0.2">
      <c r="B395" s="31">
        <v>386</v>
      </c>
      <c r="J395">
        <f t="shared" si="6"/>
        <v>105000</v>
      </c>
      <c r="K395" t="e">
        <f>VLOOKUP(B395,'REGISTRO ABONOS'!$B$8:$BC$10041,54,0)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hidden="1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ABONOS'!$B$8:$BC$10041,54,0)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hidden="1" x14ac:dyDescent="0.2">
      <c r="B397" s="31">
        <v>388</v>
      </c>
      <c r="J397">
        <f t="shared" si="7"/>
        <v>105000</v>
      </c>
      <c r="K397" t="e">
        <f>VLOOKUP(B397,'REGISTRO ABONOS'!$B$8:$BC$10041,54,0)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hidden="1" x14ac:dyDescent="0.2">
      <c r="B398" s="31">
        <v>389</v>
      </c>
      <c r="J398">
        <f t="shared" si="7"/>
        <v>105000</v>
      </c>
      <c r="K398" t="e">
        <f>VLOOKUP(B398,'REGISTRO ABONOS'!$B$8:$BC$10041,54,0)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hidden="1" x14ac:dyDescent="0.2">
      <c r="B399" s="31">
        <v>390</v>
      </c>
      <c r="J399">
        <f t="shared" si="7"/>
        <v>105000</v>
      </c>
      <c r="K399" t="e">
        <f>VLOOKUP(B399,'REGISTRO ABONOS'!$B$8:$BC$10041,54,0)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hidden="1" x14ac:dyDescent="0.2">
      <c r="B400" s="31">
        <v>391</v>
      </c>
      <c r="J400">
        <f t="shared" si="7"/>
        <v>105000</v>
      </c>
      <c r="K400" t="e">
        <f>VLOOKUP(B400,'REGISTRO ABONOS'!$B$8:$BC$10041,54,0)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hidden="1" x14ac:dyDescent="0.2">
      <c r="B401" s="31">
        <v>392</v>
      </c>
      <c r="J401">
        <f t="shared" si="7"/>
        <v>105000</v>
      </c>
      <c r="K401" t="e">
        <f>VLOOKUP(B401,'REGISTRO ABONOS'!$B$8:$BC$10041,54,0)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hidden="1" x14ac:dyDescent="0.2">
      <c r="B402" s="31">
        <v>393</v>
      </c>
      <c r="J402">
        <f t="shared" si="7"/>
        <v>105000</v>
      </c>
      <c r="K402" t="e">
        <f>VLOOKUP(B402,'REGISTRO ABONOS'!$B$8:$BC$10041,54,0)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hidden="1" x14ac:dyDescent="0.2">
      <c r="B403" s="31">
        <v>394</v>
      </c>
      <c r="J403">
        <f t="shared" si="7"/>
        <v>105000</v>
      </c>
      <c r="K403" t="e">
        <f>VLOOKUP(B403,'REGISTRO ABONOS'!$B$8:$BC$10041,54,0)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hidden="1" x14ac:dyDescent="0.2">
      <c r="B404" s="31">
        <v>395</v>
      </c>
      <c r="J404">
        <f t="shared" si="7"/>
        <v>105000</v>
      </c>
      <c r="K404" t="e">
        <f>VLOOKUP(B404,'REGISTRO ABONOS'!$B$8:$BC$10041,54,0)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hidden="1" x14ac:dyDescent="0.2">
      <c r="B405" s="31">
        <v>396</v>
      </c>
      <c r="J405">
        <f t="shared" si="7"/>
        <v>105000</v>
      </c>
      <c r="K405" t="e">
        <f>VLOOKUP(B405,'REGISTRO ABONOS'!$B$8:$BC$10041,54,0)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hidden="1" x14ac:dyDescent="0.2">
      <c r="B406" s="31">
        <v>397</v>
      </c>
      <c r="J406">
        <f t="shared" si="7"/>
        <v>105000</v>
      </c>
      <c r="K406" t="e">
        <f>VLOOKUP(B406,'REGISTRO ABONOS'!$B$8:$BC$10041,54,0)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hidden="1" x14ac:dyDescent="0.2">
      <c r="B407" s="31">
        <v>398</v>
      </c>
      <c r="J407">
        <f t="shared" si="7"/>
        <v>105000</v>
      </c>
      <c r="K407" t="e">
        <f>VLOOKUP(B407,'REGISTRO ABONOS'!$B$8:$BC$10041,54,0)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hidden="1" x14ac:dyDescent="0.2">
      <c r="B408" s="31">
        <v>399</v>
      </c>
      <c r="J408">
        <f t="shared" si="7"/>
        <v>105000</v>
      </c>
      <c r="K408" t="e">
        <f>VLOOKUP(B408,'REGISTRO ABONOS'!$B$8:$BC$10041,54,0)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hidden="1" x14ac:dyDescent="0.2">
      <c r="B409" s="31">
        <v>400</v>
      </c>
      <c r="J409">
        <f t="shared" si="7"/>
        <v>105000</v>
      </c>
      <c r="K409" t="e">
        <f>VLOOKUP(B409,'REGISTRO ABONOS'!$B$8:$BC$10041,54,0)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hidden="1" x14ac:dyDescent="0.2">
      <c r="B410" s="31">
        <v>401</v>
      </c>
      <c r="J410">
        <f t="shared" si="7"/>
        <v>105000</v>
      </c>
      <c r="K410" t="e">
        <f>VLOOKUP(B410,'REGISTRO ABONOS'!$B$8:$BC$10041,54,0)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hidden="1" x14ac:dyDescent="0.2">
      <c r="B411" s="31">
        <v>402</v>
      </c>
      <c r="J411">
        <f t="shared" si="7"/>
        <v>105000</v>
      </c>
      <c r="K411" t="e">
        <f>VLOOKUP(B411,'REGISTRO ABONOS'!$B$8:$BC$10041,54,0)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hidden="1" x14ac:dyDescent="0.2">
      <c r="B412" s="31">
        <v>403</v>
      </c>
      <c r="J412">
        <f t="shared" si="7"/>
        <v>105000</v>
      </c>
      <c r="K412" t="e">
        <f>VLOOKUP(B412,'REGISTRO ABONOS'!$B$8:$BC$10041,54,0)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hidden="1" x14ac:dyDescent="0.2">
      <c r="B413" s="31">
        <v>404</v>
      </c>
      <c r="J413">
        <f t="shared" si="7"/>
        <v>105000</v>
      </c>
      <c r="K413" t="e">
        <f>VLOOKUP(B413,'REGISTRO ABONOS'!$B$8:$BC$10041,54,0)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hidden="1" x14ac:dyDescent="0.2">
      <c r="B414" s="31">
        <v>405</v>
      </c>
      <c r="J414">
        <f t="shared" si="7"/>
        <v>105000</v>
      </c>
      <c r="K414" t="e">
        <f>VLOOKUP(B414,'REGISTRO ABONOS'!$B$8:$BC$10041,54,0)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hidden="1" x14ac:dyDescent="0.2">
      <c r="B415" s="31">
        <v>406</v>
      </c>
      <c r="J415">
        <f t="shared" si="7"/>
        <v>105000</v>
      </c>
      <c r="K415" t="e">
        <f>VLOOKUP(B415,'REGISTRO ABONOS'!$B$8:$BC$10041,54,0)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hidden="1" x14ac:dyDescent="0.2">
      <c r="B416" s="31">
        <v>407</v>
      </c>
      <c r="J416">
        <f t="shared" si="7"/>
        <v>105000</v>
      </c>
      <c r="K416" t="e">
        <f>VLOOKUP(B416,'REGISTRO ABONOS'!$B$8:$BC$10041,54,0)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hidden="1" x14ac:dyDescent="0.2">
      <c r="B417" s="31">
        <v>408</v>
      </c>
      <c r="J417">
        <f t="shared" si="7"/>
        <v>105000</v>
      </c>
      <c r="K417" t="e">
        <f>VLOOKUP(B417,'REGISTRO ABONOS'!$B$8:$BC$10041,54,0)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hidden="1" x14ac:dyDescent="0.2">
      <c r="B418" s="31">
        <v>409</v>
      </c>
      <c r="J418">
        <f t="shared" si="7"/>
        <v>105000</v>
      </c>
      <c r="K418" t="e">
        <f>VLOOKUP(B418,'REGISTRO ABONOS'!$B$8:$BC$10041,54,0)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hidden="1" x14ac:dyDescent="0.2">
      <c r="B419" s="31">
        <v>410</v>
      </c>
      <c r="J419">
        <f t="shared" si="7"/>
        <v>105000</v>
      </c>
      <c r="K419" t="e">
        <f>VLOOKUP(B419,'REGISTRO ABONOS'!$B$8:$BC$10041,54,0)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hidden="1" x14ac:dyDescent="0.2">
      <c r="B420" s="31">
        <v>411</v>
      </c>
      <c r="J420">
        <f t="shared" si="7"/>
        <v>105000</v>
      </c>
      <c r="K420" t="e">
        <f>VLOOKUP(B420,'REGISTRO ABONOS'!$B$8:$BC$10041,54,0)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hidden="1" x14ac:dyDescent="0.2">
      <c r="B421" s="31">
        <v>412</v>
      </c>
      <c r="J421">
        <f t="shared" si="7"/>
        <v>105000</v>
      </c>
      <c r="K421" t="e">
        <f>VLOOKUP(B421,'REGISTRO ABONOS'!$B$8:$BC$10041,54,0)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hidden="1" x14ac:dyDescent="0.2">
      <c r="B422" s="31">
        <v>413</v>
      </c>
      <c r="J422">
        <f t="shared" si="7"/>
        <v>105000</v>
      </c>
      <c r="K422" t="e">
        <f>VLOOKUP(B422,'REGISTRO ABONOS'!$B$8:$BC$10041,54,0)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hidden="1" x14ac:dyDescent="0.2">
      <c r="B423" s="31">
        <v>414</v>
      </c>
      <c r="J423">
        <f t="shared" si="7"/>
        <v>105000</v>
      </c>
      <c r="K423" t="e">
        <f>VLOOKUP(B423,'REGISTRO ABONOS'!$B$8:$BC$10041,54,0)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hidden="1" x14ac:dyDescent="0.2">
      <c r="B424" s="31">
        <v>415</v>
      </c>
      <c r="J424">
        <f t="shared" si="7"/>
        <v>105000</v>
      </c>
      <c r="K424" t="e">
        <f>VLOOKUP(B424,'REGISTRO ABONOS'!$B$8:$BC$10041,54,0)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hidden="1" x14ac:dyDescent="0.2">
      <c r="B425" s="31">
        <v>416</v>
      </c>
      <c r="J425">
        <f t="shared" si="7"/>
        <v>105000</v>
      </c>
      <c r="K425" t="e">
        <f>VLOOKUP(B425,'REGISTRO ABONOS'!$B$8:$BC$10041,54,0)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hidden="1" x14ac:dyDescent="0.2">
      <c r="B426" s="31">
        <v>417</v>
      </c>
      <c r="J426">
        <f t="shared" si="7"/>
        <v>105000</v>
      </c>
      <c r="K426" t="e">
        <f>VLOOKUP(B426,'REGISTRO ABONOS'!$B$8:$BC$10041,54,0)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hidden="1" x14ac:dyDescent="0.2">
      <c r="B427" s="31">
        <v>418</v>
      </c>
      <c r="J427">
        <f t="shared" si="7"/>
        <v>105000</v>
      </c>
      <c r="K427" t="e">
        <f>VLOOKUP(B427,'REGISTRO ABONOS'!$B$8:$BC$10041,54,0)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hidden="1" x14ac:dyDescent="0.2">
      <c r="B428" s="31">
        <v>419</v>
      </c>
      <c r="J428">
        <f t="shared" si="7"/>
        <v>105000</v>
      </c>
      <c r="K428" t="e">
        <f>VLOOKUP(B428,'REGISTRO ABONOS'!$B$8:$BC$10041,54,0)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hidden="1" x14ac:dyDescent="0.2">
      <c r="B429" s="31">
        <v>420</v>
      </c>
      <c r="J429">
        <f t="shared" si="7"/>
        <v>105000</v>
      </c>
      <c r="K429" t="e">
        <f>VLOOKUP(B429,'REGISTRO ABONOS'!$B$8:$BC$10041,54,0)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hidden="1" x14ac:dyDescent="0.2">
      <c r="B430" s="31">
        <v>421</v>
      </c>
      <c r="J430">
        <f t="shared" si="7"/>
        <v>105000</v>
      </c>
      <c r="K430" t="e">
        <f>VLOOKUP(B430,'REGISTRO ABONOS'!$B$8:$BC$10041,54,0)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hidden="1" x14ac:dyDescent="0.2">
      <c r="B431" s="31">
        <v>422</v>
      </c>
      <c r="J431">
        <f t="shared" si="7"/>
        <v>105000</v>
      </c>
      <c r="K431" t="e">
        <f>VLOOKUP(B431,'REGISTRO ABONOS'!$B$8:$BC$10041,54,0)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hidden="1" x14ac:dyDescent="0.2">
      <c r="B432" s="31">
        <v>423</v>
      </c>
      <c r="J432">
        <f t="shared" si="7"/>
        <v>105000</v>
      </c>
      <c r="K432" t="e">
        <f>VLOOKUP(B432,'REGISTRO ABONOS'!$B$8:$BC$10041,54,0)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hidden="1" x14ac:dyDescent="0.2">
      <c r="B433" s="31">
        <v>424</v>
      </c>
      <c r="J433">
        <f t="shared" si="7"/>
        <v>105000</v>
      </c>
      <c r="K433" t="e">
        <f>VLOOKUP(B433,'REGISTRO ABONOS'!$B$8:$BC$10041,54,0)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hidden="1" x14ac:dyDescent="0.2">
      <c r="B434" s="31">
        <v>425</v>
      </c>
      <c r="J434">
        <f t="shared" si="7"/>
        <v>105000</v>
      </c>
      <c r="K434" t="e">
        <f>VLOOKUP(B434,'REGISTRO ABONOS'!$B$8:$BC$10041,54,0)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hidden="1" x14ac:dyDescent="0.2">
      <c r="B435" s="31">
        <v>426</v>
      </c>
      <c r="J435">
        <f t="shared" si="7"/>
        <v>105000</v>
      </c>
      <c r="K435" t="e">
        <f>VLOOKUP(B435,'REGISTRO ABONOS'!$B$8:$BC$10041,54,0)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hidden="1" x14ac:dyDescent="0.2">
      <c r="B436" s="31">
        <v>427</v>
      </c>
      <c r="J436">
        <f t="shared" si="7"/>
        <v>105000</v>
      </c>
      <c r="K436" t="e">
        <f>VLOOKUP(B436,'REGISTRO ABONOS'!$B$8:$BC$10041,54,0)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hidden="1" x14ac:dyDescent="0.2">
      <c r="B437" s="31">
        <v>428</v>
      </c>
      <c r="J437">
        <f t="shared" si="7"/>
        <v>105000</v>
      </c>
      <c r="K437" t="e">
        <f>VLOOKUP(B437,'REGISTRO ABONOS'!$B$8:$BC$10041,54,0)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hidden="1" x14ac:dyDescent="0.2">
      <c r="B438" s="31">
        <v>429</v>
      </c>
      <c r="J438">
        <f t="shared" si="7"/>
        <v>105000</v>
      </c>
      <c r="K438" t="e">
        <f>VLOOKUP(B438,'REGISTRO ABONOS'!$B$8:$BC$10041,54,0)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hidden="1" x14ac:dyDescent="0.2">
      <c r="B439" s="31">
        <v>430</v>
      </c>
      <c r="J439">
        <f t="shared" si="7"/>
        <v>105000</v>
      </c>
      <c r="K439" t="e">
        <f>VLOOKUP(B439,'REGISTRO ABONOS'!$B$8:$BC$10041,54,0)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hidden="1" x14ac:dyDescent="0.2">
      <c r="B440" s="31">
        <v>431</v>
      </c>
      <c r="J440">
        <f t="shared" si="7"/>
        <v>105000</v>
      </c>
      <c r="K440" t="e">
        <f>VLOOKUP(B440,'REGISTRO ABONOS'!$B$8:$BC$10041,54,0)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hidden="1" x14ac:dyDescent="0.2">
      <c r="B441" s="31">
        <v>432</v>
      </c>
      <c r="J441">
        <f t="shared" si="7"/>
        <v>105000</v>
      </c>
      <c r="K441" t="e">
        <f>VLOOKUP(B441,'REGISTRO ABONOS'!$B$8:$BC$10041,54,0)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hidden="1" x14ac:dyDescent="0.2">
      <c r="B442" s="31">
        <v>433</v>
      </c>
      <c r="J442">
        <f t="shared" si="7"/>
        <v>105000</v>
      </c>
      <c r="K442" t="e">
        <f>VLOOKUP(B442,'REGISTRO ABONOS'!$B$8:$BC$10041,54,0)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hidden="1" x14ac:dyDescent="0.2">
      <c r="B443" s="31">
        <v>434</v>
      </c>
      <c r="J443">
        <f t="shared" si="7"/>
        <v>105000</v>
      </c>
      <c r="K443" t="e">
        <f>VLOOKUP(B443,'REGISTRO ABONOS'!$B$8:$BC$10041,54,0)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hidden="1" x14ac:dyDescent="0.2">
      <c r="B444" s="31">
        <v>435</v>
      </c>
      <c r="J444">
        <f t="shared" si="7"/>
        <v>105000</v>
      </c>
      <c r="K444" t="e">
        <f>VLOOKUP(B444,'REGISTRO ABONOS'!$B$8:$BC$10041,54,0)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hidden="1" x14ac:dyDescent="0.2">
      <c r="B445" s="31">
        <v>436</v>
      </c>
      <c r="J445">
        <f t="shared" si="7"/>
        <v>105000</v>
      </c>
      <c r="K445" t="e">
        <f>VLOOKUP(B445,'REGISTRO ABONOS'!$B$8:$BC$10041,54,0)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hidden="1" x14ac:dyDescent="0.2">
      <c r="B446" s="31">
        <v>437</v>
      </c>
      <c r="J446">
        <f t="shared" si="7"/>
        <v>105000</v>
      </c>
      <c r="K446" t="e">
        <f>VLOOKUP(B446,'REGISTRO ABONOS'!$B$8:$BC$10041,54,0)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hidden="1" x14ac:dyDescent="0.2">
      <c r="B447" s="31">
        <v>438</v>
      </c>
      <c r="J447">
        <f t="shared" si="7"/>
        <v>105000</v>
      </c>
      <c r="K447" t="e">
        <f>VLOOKUP(B447,'REGISTRO ABONOS'!$B$8:$BC$10041,54,0)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hidden="1" x14ac:dyDescent="0.2">
      <c r="B448" s="31">
        <v>439</v>
      </c>
      <c r="J448">
        <f t="shared" si="7"/>
        <v>105000</v>
      </c>
      <c r="K448" t="e">
        <f>VLOOKUP(B448,'REGISTRO ABONOS'!$B$8:$BC$10041,54,0)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hidden="1" x14ac:dyDescent="0.2">
      <c r="B449" s="31">
        <v>440</v>
      </c>
      <c r="J449">
        <f t="shared" si="7"/>
        <v>105000</v>
      </c>
      <c r="K449" t="e">
        <f>VLOOKUP(B449,'REGISTRO ABONOS'!$B$8:$BC$10041,54,0)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hidden="1" x14ac:dyDescent="0.2">
      <c r="B450" s="31">
        <v>441</v>
      </c>
      <c r="J450">
        <f t="shared" si="7"/>
        <v>105000</v>
      </c>
      <c r="K450" t="e">
        <f>VLOOKUP(B450,'REGISTRO ABONOS'!$B$8:$BC$10041,54,0)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hidden="1" x14ac:dyDescent="0.2">
      <c r="B451" s="31">
        <v>442</v>
      </c>
      <c r="J451">
        <f t="shared" si="7"/>
        <v>105000</v>
      </c>
      <c r="K451" t="e">
        <f>VLOOKUP(B451,'REGISTRO ABONOS'!$B$8:$BC$10041,54,0)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hidden="1" x14ac:dyDescent="0.2">
      <c r="B452" s="31">
        <v>443</v>
      </c>
      <c r="J452">
        <f t="shared" si="7"/>
        <v>105000</v>
      </c>
      <c r="K452" t="e">
        <f>VLOOKUP(B452,'REGISTRO ABONOS'!$B$8:$BC$10041,54,0)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hidden="1" x14ac:dyDescent="0.2">
      <c r="B453" s="31">
        <v>444</v>
      </c>
      <c r="J453">
        <f t="shared" si="7"/>
        <v>105000</v>
      </c>
      <c r="K453" t="e">
        <f>VLOOKUP(B453,'REGISTRO ABONOS'!$B$8:$BC$10041,54,0)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hidden="1" x14ac:dyDescent="0.2">
      <c r="B454" s="31">
        <v>445</v>
      </c>
      <c r="J454">
        <f t="shared" si="7"/>
        <v>105000</v>
      </c>
      <c r="K454" t="e">
        <f>VLOOKUP(B454,'REGISTRO ABONOS'!$B$8:$BC$10041,54,0)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hidden="1" x14ac:dyDescent="0.2">
      <c r="B455" s="31">
        <v>446</v>
      </c>
      <c r="J455">
        <f t="shared" si="7"/>
        <v>105000</v>
      </c>
      <c r="K455" t="e">
        <f>VLOOKUP(B455,'REGISTRO ABONOS'!$B$8:$BC$10041,54,0)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hidden="1" x14ac:dyDescent="0.2">
      <c r="B456" s="31">
        <v>447</v>
      </c>
      <c r="J456">
        <f t="shared" si="7"/>
        <v>105000</v>
      </c>
      <c r="K456" t="e">
        <f>VLOOKUP(B456,'REGISTRO ABONOS'!$B$8:$BC$10041,54,0)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hidden="1" x14ac:dyDescent="0.2">
      <c r="B457" s="31">
        <v>448</v>
      </c>
      <c r="J457">
        <f t="shared" si="7"/>
        <v>105000</v>
      </c>
      <c r="K457" t="e">
        <f>VLOOKUP(B457,'REGISTRO ABONOS'!$B$8:$BC$10041,54,0)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hidden="1" x14ac:dyDescent="0.2">
      <c r="B458" s="31">
        <v>449</v>
      </c>
      <c r="J458">
        <f t="shared" si="7"/>
        <v>105000</v>
      </c>
      <c r="K458" t="e">
        <f>VLOOKUP(B458,'REGISTRO ABONOS'!$B$8:$BC$10041,54,0)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hidden="1" x14ac:dyDescent="0.2">
      <c r="B459" s="31">
        <v>450</v>
      </c>
      <c r="J459">
        <f t="shared" si="7"/>
        <v>105000</v>
      </c>
      <c r="K459" t="e">
        <f>VLOOKUP(B459,'REGISTRO ABONOS'!$B$8:$BC$10041,54,0)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hidden="1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ABONOS'!$B$8:$BC$10041,54,0)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hidden="1" x14ac:dyDescent="0.2">
      <c r="B461" s="31">
        <v>452</v>
      </c>
      <c r="J461">
        <f t="shared" si="8"/>
        <v>105000</v>
      </c>
      <c r="K461" t="e">
        <f>VLOOKUP(B461,'REGISTRO ABONOS'!$B$8:$BC$10041,54,0)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hidden="1" x14ac:dyDescent="0.2">
      <c r="B462" s="31">
        <v>453</v>
      </c>
      <c r="J462">
        <f t="shared" si="8"/>
        <v>105000</v>
      </c>
      <c r="K462" t="e">
        <f>VLOOKUP(B462,'REGISTRO ABONOS'!$B$8:$BC$10041,54,0)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hidden="1" x14ac:dyDescent="0.2">
      <c r="B463" s="31">
        <v>454</v>
      </c>
      <c r="J463">
        <f t="shared" si="8"/>
        <v>105000</v>
      </c>
      <c r="K463" t="e">
        <f>VLOOKUP(B463,'REGISTRO ABONOS'!$B$8:$BC$10041,54,0)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hidden="1" x14ac:dyDescent="0.2">
      <c r="B464" s="31">
        <v>455</v>
      </c>
      <c r="J464">
        <f t="shared" si="8"/>
        <v>105000</v>
      </c>
      <c r="K464" t="e">
        <f>VLOOKUP(B464,'REGISTRO ABONOS'!$B$8:$BC$10041,54,0)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hidden="1" x14ac:dyDescent="0.2">
      <c r="B465" s="31">
        <v>456</v>
      </c>
      <c r="J465">
        <f t="shared" si="8"/>
        <v>105000</v>
      </c>
      <c r="K465" t="e">
        <f>VLOOKUP(B465,'REGISTRO ABONOS'!$B$8:$BC$10041,54,0)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hidden="1" x14ac:dyDescent="0.2">
      <c r="B466" s="31">
        <v>457</v>
      </c>
      <c r="J466">
        <f t="shared" si="8"/>
        <v>105000</v>
      </c>
      <c r="K466" t="e">
        <f>VLOOKUP(B466,'REGISTRO ABONOS'!$B$8:$BC$10041,54,0)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hidden="1" x14ac:dyDescent="0.2">
      <c r="B467" s="31">
        <v>458</v>
      </c>
      <c r="J467">
        <f t="shared" si="8"/>
        <v>105000</v>
      </c>
      <c r="K467" t="e">
        <f>VLOOKUP(B467,'REGISTRO ABONOS'!$B$8:$BC$10041,54,0)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hidden="1" x14ac:dyDescent="0.2">
      <c r="B468" s="31">
        <v>459</v>
      </c>
      <c r="J468">
        <f t="shared" si="8"/>
        <v>105000</v>
      </c>
      <c r="K468" t="e">
        <f>VLOOKUP(B468,'REGISTRO ABONOS'!$B$8:$BC$10041,54,0)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hidden="1" x14ac:dyDescent="0.2">
      <c r="B469" s="31">
        <v>460</v>
      </c>
      <c r="J469">
        <f t="shared" si="8"/>
        <v>105000</v>
      </c>
      <c r="K469" t="e">
        <f>VLOOKUP(B469,'REGISTRO ABONOS'!$B$8:$BC$10041,54,0)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hidden="1" x14ac:dyDescent="0.2">
      <c r="B470" s="31">
        <v>461</v>
      </c>
      <c r="J470">
        <f t="shared" si="8"/>
        <v>105000</v>
      </c>
      <c r="K470" t="e">
        <f>VLOOKUP(B470,'REGISTRO ABONOS'!$B$8:$BC$10041,54,0)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hidden="1" x14ac:dyDescent="0.2">
      <c r="B471" s="31">
        <v>462</v>
      </c>
      <c r="J471">
        <f t="shared" si="8"/>
        <v>105000</v>
      </c>
      <c r="K471" t="e">
        <f>VLOOKUP(B471,'REGISTRO ABONOS'!$B$8:$BC$10041,54,0)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hidden="1" x14ac:dyDescent="0.2">
      <c r="B472" s="31">
        <v>463</v>
      </c>
      <c r="J472">
        <f t="shared" si="8"/>
        <v>105000</v>
      </c>
      <c r="K472" t="e">
        <f>VLOOKUP(B472,'REGISTRO ABONOS'!$B$8:$BC$10041,54,0)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hidden="1" x14ac:dyDescent="0.2">
      <c r="B473" s="31">
        <v>464</v>
      </c>
      <c r="J473">
        <f t="shared" si="8"/>
        <v>105000</v>
      </c>
      <c r="K473" t="e">
        <f>VLOOKUP(B473,'REGISTRO ABONOS'!$B$8:$BC$10041,54,0)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hidden="1" x14ac:dyDescent="0.2">
      <c r="B474" s="31">
        <v>465</v>
      </c>
      <c r="J474">
        <f t="shared" si="8"/>
        <v>105000</v>
      </c>
      <c r="K474" t="e">
        <f>VLOOKUP(B474,'REGISTRO ABONOS'!$B$8:$BC$10041,54,0)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hidden="1" x14ac:dyDescent="0.2">
      <c r="B475" s="31">
        <v>466</v>
      </c>
      <c r="J475">
        <f t="shared" si="8"/>
        <v>105000</v>
      </c>
      <c r="K475" t="e">
        <f>VLOOKUP(B475,'REGISTRO ABONOS'!$B$8:$BC$10041,54,0)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hidden="1" x14ac:dyDescent="0.2">
      <c r="B476" s="31">
        <v>467</v>
      </c>
      <c r="J476">
        <f t="shared" si="8"/>
        <v>105000</v>
      </c>
      <c r="K476" t="e">
        <f>VLOOKUP(B476,'REGISTRO ABONOS'!$B$8:$BC$10041,54,0)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hidden="1" x14ac:dyDescent="0.2">
      <c r="B477" s="31">
        <v>468</v>
      </c>
      <c r="J477">
        <f t="shared" si="8"/>
        <v>105000</v>
      </c>
      <c r="K477" t="e">
        <f>VLOOKUP(B477,'REGISTRO ABONOS'!$B$8:$BC$10041,54,0)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107</v>
      </c>
      <c r="J478">
        <f t="shared" si="8"/>
        <v>105000</v>
      </c>
      <c r="K478" t="e">
        <f>VLOOKUP(B478,'REGISTRO ABONOS'!$B$8:$BC$10041,54,0)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hidden="1" x14ac:dyDescent="0.2">
      <c r="B479" s="31">
        <v>470</v>
      </c>
      <c r="J479">
        <f t="shared" si="8"/>
        <v>105000</v>
      </c>
      <c r="K479" t="e">
        <f>VLOOKUP(B479,'REGISTRO ABONOS'!$B$8:$BC$10041,54,0)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hidden="1" x14ac:dyDescent="0.2">
      <c r="B480" s="31">
        <v>471</v>
      </c>
      <c r="J480">
        <f t="shared" si="8"/>
        <v>105000</v>
      </c>
      <c r="K480" t="e">
        <f>VLOOKUP(B480,'REGISTRO ABONOS'!$B$8:$BC$10041,54,0)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hidden="1" x14ac:dyDescent="0.2">
      <c r="B481" s="31">
        <v>472</v>
      </c>
      <c r="J481">
        <f t="shared" si="8"/>
        <v>105000</v>
      </c>
      <c r="K481" t="e">
        <f>VLOOKUP(B481,'REGISTRO ABONOS'!$B$8:$BC$10041,54,0)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hidden="1" x14ac:dyDescent="0.2">
      <c r="B482" s="31">
        <v>473</v>
      </c>
      <c r="J482">
        <f t="shared" si="8"/>
        <v>105000</v>
      </c>
      <c r="K482" t="e">
        <f>VLOOKUP(B482,'REGISTRO ABONOS'!$B$8:$BC$10041,54,0)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hidden="1" x14ac:dyDescent="0.2">
      <c r="B483" s="31">
        <v>474</v>
      </c>
      <c r="J483">
        <f t="shared" si="8"/>
        <v>105000</v>
      </c>
      <c r="K483" t="e">
        <f>VLOOKUP(B483,'REGISTRO ABONOS'!$B$8:$BC$10041,54,0)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hidden="1" x14ac:dyDescent="0.2">
      <c r="B484" s="31">
        <v>475</v>
      </c>
      <c r="J484">
        <f t="shared" si="8"/>
        <v>105000</v>
      </c>
      <c r="K484" t="e">
        <f>VLOOKUP(B484,'REGISTRO ABONOS'!$B$8:$BC$10041,54,0)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hidden="1" x14ac:dyDescent="0.2">
      <c r="B485" s="31">
        <v>476</v>
      </c>
      <c r="J485">
        <f t="shared" si="8"/>
        <v>105000</v>
      </c>
      <c r="K485" t="e">
        <f>VLOOKUP(B485,'REGISTRO ABONOS'!$B$8:$BC$10041,54,0)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hidden="1" x14ac:dyDescent="0.2">
      <c r="B486" s="31">
        <v>477</v>
      </c>
      <c r="J486">
        <f t="shared" si="8"/>
        <v>105000</v>
      </c>
      <c r="K486" t="e">
        <f>VLOOKUP(B486,'REGISTRO ABONOS'!$B$8:$BC$10041,54,0)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hidden="1" x14ac:dyDescent="0.2">
      <c r="B487" s="31">
        <v>478</v>
      </c>
      <c r="J487">
        <f t="shared" si="8"/>
        <v>105000</v>
      </c>
      <c r="K487" t="e">
        <f>VLOOKUP(B487,'REGISTRO ABONOS'!$B$8:$BC$10041,54,0)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hidden="1" x14ac:dyDescent="0.2">
      <c r="B488" s="31">
        <v>479</v>
      </c>
      <c r="J488">
        <f t="shared" si="8"/>
        <v>105000</v>
      </c>
      <c r="K488" t="e">
        <f>VLOOKUP(B488,'REGISTRO ABONOS'!$B$8:$BC$10041,54,0)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hidden="1" x14ac:dyDescent="0.2">
      <c r="B489" s="31">
        <v>480</v>
      </c>
      <c r="J489">
        <f t="shared" si="8"/>
        <v>105000</v>
      </c>
      <c r="K489" t="e">
        <f>VLOOKUP(B489,'REGISTRO ABONOS'!$B$8:$BC$10041,54,0)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hidden="1" x14ac:dyDescent="0.2">
      <c r="B490" s="31">
        <v>481</v>
      </c>
      <c r="J490">
        <f t="shared" si="8"/>
        <v>105000</v>
      </c>
      <c r="K490" t="e">
        <f>VLOOKUP(B490,'REGISTRO ABONOS'!$B$8:$BC$10041,54,0)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hidden="1" x14ac:dyDescent="0.2">
      <c r="B491" s="31">
        <v>482</v>
      </c>
      <c r="J491">
        <f t="shared" si="8"/>
        <v>105000</v>
      </c>
      <c r="K491" t="e">
        <f>VLOOKUP(B491,'REGISTRO ABONOS'!$B$8:$BC$10041,54,0)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hidden="1" x14ac:dyDescent="0.2">
      <c r="B492" s="31">
        <v>483</v>
      </c>
      <c r="J492">
        <f t="shared" si="8"/>
        <v>105000</v>
      </c>
      <c r="K492" t="e">
        <f>VLOOKUP(B492,'REGISTRO ABONOS'!$B$8:$BC$10041,54,0)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hidden="1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ABONOS'!$B$8:$BC$10041,54,0)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hidden="1" x14ac:dyDescent="0.2">
      <c r="B494" s="31">
        <v>485</v>
      </c>
      <c r="J494">
        <f t="shared" si="9"/>
        <v>105000</v>
      </c>
      <c r="K494" t="e">
        <f>VLOOKUP(B494,'REGISTRO ABONOS'!$B$8:$BC$10041,54,0)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hidden="1" x14ac:dyDescent="0.2">
      <c r="B495" s="31">
        <v>486</v>
      </c>
      <c r="J495">
        <f t="shared" si="9"/>
        <v>105000</v>
      </c>
      <c r="K495" t="e">
        <f>VLOOKUP(B495,'REGISTRO ABONOS'!$B$8:$BC$10041,54,0)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hidden="1" x14ac:dyDescent="0.2">
      <c r="B496" s="31">
        <v>487</v>
      </c>
      <c r="J496">
        <f t="shared" si="9"/>
        <v>105000</v>
      </c>
      <c r="K496" t="e">
        <f>VLOOKUP(B496,'REGISTRO ABONOS'!$B$8:$BC$10041,54,0)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hidden="1" x14ac:dyDescent="0.2">
      <c r="B497" s="31">
        <v>488</v>
      </c>
      <c r="J497">
        <f t="shared" si="9"/>
        <v>105000</v>
      </c>
      <c r="K497" t="e">
        <f>VLOOKUP(B497,'REGISTRO ABONOS'!$B$8:$BC$10041,54,0)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hidden="1" x14ac:dyDescent="0.2">
      <c r="B498" s="31">
        <v>489</v>
      </c>
      <c r="J498">
        <f t="shared" si="9"/>
        <v>105000</v>
      </c>
      <c r="K498" t="e">
        <f>VLOOKUP(B498,'REGISTRO ABONOS'!$B$8:$BC$10041,54,0)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hidden="1" x14ac:dyDescent="0.2">
      <c r="B499" s="31">
        <v>490</v>
      </c>
      <c r="J499">
        <f t="shared" si="9"/>
        <v>105000</v>
      </c>
      <c r="K499" t="e">
        <f>VLOOKUP(B499,'REGISTRO ABONOS'!$B$8:$BC$10041,54,0)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hidden="1" x14ac:dyDescent="0.2">
      <c r="B500" s="31">
        <v>491</v>
      </c>
      <c r="J500">
        <f t="shared" si="9"/>
        <v>105000</v>
      </c>
      <c r="K500" t="e">
        <f>VLOOKUP(B500,'REGISTRO ABONOS'!$B$8:$BC$10041,54,0)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hidden="1" x14ac:dyDescent="0.2">
      <c r="B501" s="31">
        <v>492</v>
      </c>
      <c r="J501">
        <f t="shared" si="9"/>
        <v>105000</v>
      </c>
      <c r="K501" t="e">
        <f>VLOOKUP(B501,'REGISTRO ABONOS'!$B$8:$BC$10041,54,0)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hidden="1" x14ac:dyDescent="0.2">
      <c r="B502" s="31">
        <v>493</v>
      </c>
      <c r="J502">
        <f t="shared" si="9"/>
        <v>105000</v>
      </c>
      <c r="K502" t="e">
        <f>VLOOKUP(B502,'REGISTRO ABONOS'!$B$8:$BC$10041,54,0)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hidden="1" x14ac:dyDescent="0.2">
      <c r="B503" s="31">
        <v>494</v>
      </c>
      <c r="J503">
        <f t="shared" si="9"/>
        <v>105000</v>
      </c>
      <c r="K503" t="e">
        <f>VLOOKUP(B503,'REGISTRO ABONOS'!$B$8:$BC$10041,54,0)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hidden="1" x14ac:dyDescent="0.2">
      <c r="B504" s="31">
        <v>495</v>
      </c>
      <c r="J504">
        <f t="shared" si="9"/>
        <v>105000</v>
      </c>
      <c r="K504" t="e">
        <f>VLOOKUP(B504,'REGISTRO ABONOS'!$B$8:$BC$10041,54,0)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hidden="1" x14ac:dyDescent="0.2">
      <c r="B505" s="31">
        <v>496</v>
      </c>
      <c r="J505">
        <f t="shared" si="9"/>
        <v>105000</v>
      </c>
      <c r="K505" t="e">
        <f>VLOOKUP(B505,'REGISTRO ABONOS'!$B$8:$BC$10041,54,0)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hidden="1" x14ac:dyDescent="0.2">
      <c r="B506" s="31">
        <v>497</v>
      </c>
      <c r="J506">
        <f t="shared" si="9"/>
        <v>105000</v>
      </c>
      <c r="K506" t="e">
        <f>VLOOKUP(B506,'REGISTRO ABONOS'!$B$8:$BC$10041,54,0)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hidden="1" x14ac:dyDescent="0.2">
      <c r="B507" s="31">
        <v>498</v>
      </c>
      <c r="J507">
        <f t="shared" si="9"/>
        <v>105000</v>
      </c>
      <c r="K507" t="e">
        <f>VLOOKUP(B507,'REGISTRO ABONOS'!$B$8:$BC$10041,54,0)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hidden="1" x14ac:dyDescent="0.2">
      <c r="B508" s="31">
        <v>499</v>
      </c>
      <c r="J508">
        <f t="shared" si="9"/>
        <v>105000</v>
      </c>
      <c r="K508" t="e">
        <f>VLOOKUP(B508,'REGISTRO ABONOS'!$B$8:$BC$10041,54,0)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hidden="1" x14ac:dyDescent="0.2">
      <c r="B509" s="31">
        <v>500</v>
      </c>
      <c r="J509">
        <f t="shared" si="9"/>
        <v>105000</v>
      </c>
      <c r="K509" t="e">
        <f>VLOOKUP(B509,'REGISTRO ABONOS'!$B$8:$BC$10041,54,0)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hidden="1" x14ac:dyDescent="0.2">
      <c r="B510" s="31">
        <v>501</v>
      </c>
      <c r="J510">
        <f t="shared" si="9"/>
        <v>105000</v>
      </c>
      <c r="K510" t="e">
        <f>VLOOKUP(B510,'REGISTRO ABONOS'!$B$8:$BC$10041,54,0)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hidden="1" x14ac:dyDescent="0.2">
      <c r="B511" s="31">
        <v>502</v>
      </c>
      <c r="J511">
        <f t="shared" si="9"/>
        <v>105000</v>
      </c>
      <c r="K511" t="e">
        <f>VLOOKUP(B511,'REGISTRO ABONOS'!$B$8:$BC$10041,54,0)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hidden="1" x14ac:dyDescent="0.2">
      <c r="B512" s="31">
        <v>503</v>
      </c>
      <c r="J512">
        <f t="shared" si="9"/>
        <v>105000</v>
      </c>
      <c r="K512" t="e">
        <f>VLOOKUP(B512,'REGISTRO ABONOS'!$B$8:$BC$10041,54,0)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hidden="1" x14ac:dyDescent="0.2">
      <c r="B513" s="31">
        <v>504</v>
      </c>
      <c r="J513">
        <f t="shared" si="9"/>
        <v>105000</v>
      </c>
      <c r="K513" t="e">
        <f>VLOOKUP(B513,'REGISTRO ABONOS'!$B$8:$BC$10041,54,0)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hidden="1" x14ac:dyDescent="0.2">
      <c r="B514" s="31">
        <v>505</v>
      </c>
      <c r="J514">
        <f t="shared" si="9"/>
        <v>105000</v>
      </c>
      <c r="K514" t="e">
        <f>VLOOKUP(B514,'REGISTRO ABONOS'!$B$8:$BC$10041,54,0)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hidden="1" x14ac:dyDescent="0.2">
      <c r="B515" s="31">
        <v>506</v>
      </c>
      <c r="J515">
        <f t="shared" si="9"/>
        <v>105000</v>
      </c>
      <c r="K515" t="e">
        <f>VLOOKUP(B515,'REGISTRO ABONOS'!$B$8:$BC$10041,54,0)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hidden="1" x14ac:dyDescent="0.2">
      <c r="B516" s="31">
        <v>507</v>
      </c>
      <c r="J516">
        <f t="shared" si="9"/>
        <v>105000</v>
      </c>
      <c r="K516" t="e">
        <f>VLOOKUP(B516,'REGISTRO ABONOS'!$B$8:$BC$10041,54,0)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hidden="1" x14ac:dyDescent="0.2">
      <c r="B517" s="31">
        <v>508</v>
      </c>
      <c r="J517">
        <f t="shared" si="9"/>
        <v>105000</v>
      </c>
      <c r="K517" t="e">
        <f>VLOOKUP(B517,'REGISTRO ABONOS'!$B$8:$BC$10041,54,0)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hidden="1" x14ac:dyDescent="0.2">
      <c r="B518" s="31">
        <v>509</v>
      </c>
      <c r="J518">
        <f t="shared" si="9"/>
        <v>105000</v>
      </c>
      <c r="K518" t="e">
        <f>VLOOKUP(B518,'REGISTRO ABONOS'!$B$8:$BC$10041,54,0)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hidden="1" x14ac:dyDescent="0.2">
      <c r="B519" s="31">
        <v>510</v>
      </c>
      <c r="J519">
        <f t="shared" si="9"/>
        <v>105000</v>
      </c>
      <c r="K519" t="e">
        <f>VLOOKUP(B519,'REGISTRO ABONOS'!$B$8:$BC$10041,54,0)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hidden="1" x14ac:dyDescent="0.2">
      <c r="B520" s="31">
        <v>511</v>
      </c>
      <c r="J520">
        <f t="shared" si="9"/>
        <v>105000</v>
      </c>
      <c r="K520" t="e">
        <f>VLOOKUP(B520,'REGISTRO ABONOS'!$B$8:$BC$10041,54,0)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hidden="1" x14ac:dyDescent="0.2">
      <c r="B521" s="31">
        <v>512</v>
      </c>
      <c r="J521">
        <f t="shared" si="9"/>
        <v>105000</v>
      </c>
      <c r="K521" t="e">
        <f>VLOOKUP(B521,'REGISTRO ABONOS'!$B$8:$BC$10041,54,0)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hidden="1" x14ac:dyDescent="0.2">
      <c r="B522" s="31">
        <v>513</v>
      </c>
      <c r="J522">
        <f t="shared" si="9"/>
        <v>105000</v>
      </c>
      <c r="K522" t="e">
        <f>VLOOKUP(B522,'REGISTRO ABONOS'!$B$8:$BC$10041,54,0)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hidden="1" x14ac:dyDescent="0.2">
      <c r="B523" s="31">
        <v>514</v>
      </c>
      <c r="J523">
        <f t="shared" si="9"/>
        <v>105000</v>
      </c>
      <c r="K523" t="e">
        <f>VLOOKUP(B523,'REGISTRO ABONOS'!$B$8:$BC$10041,54,0)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hidden="1" x14ac:dyDescent="0.2">
      <c r="B524" s="31">
        <v>515</v>
      </c>
      <c r="J524">
        <f t="shared" si="9"/>
        <v>105000</v>
      </c>
      <c r="K524" t="e">
        <f>VLOOKUP(B524,'REGISTRO ABONOS'!$B$8:$BC$10041,54,0)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hidden="1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ABONOS'!$B$8:$BC$10041,54,0)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hidden="1" x14ac:dyDescent="0.2">
      <c r="B526" s="31">
        <v>517</v>
      </c>
      <c r="J526">
        <f t="shared" si="10"/>
        <v>105000</v>
      </c>
      <c r="K526" t="e">
        <f>VLOOKUP(B526,'REGISTRO ABONOS'!$B$8:$BC$10041,54,0)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hidden="1" x14ac:dyDescent="0.2">
      <c r="B527" s="31">
        <v>518</v>
      </c>
      <c r="J527">
        <f t="shared" si="10"/>
        <v>105000</v>
      </c>
      <c r="K527" t="e">
        <f>VLOOKUP(B527,'REGISTRO ABONOS'!$B$8:$BC$10041,54,0)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hidden="1" x14ac:dyDescent="0.2">
      <c r="B528" s="31">
        <v>519</v>
      </c>
      <c r="J528">
        <f t="shared" si="10"/>
        <v>105000</v>
      </c>
      <c r="K528" t="e">
        <f>VLOOKUP(B528,'REGISTRO ABONOS'!$B$8:$BC$10041,54,0)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hidden="1" x14ac:dyDescent="0.2">
      <c r="B529" s="31">
        <v>520</v>
      </c>
      <c r="J529">
        <f t="shared" si="10"/>
        <v>105000</v>
      </c>
      <c r="K529" t="e">
        <f>VLOOKUP(B529,'REGISTRO ABONOS'!$B$8:$BC$10041,54,0)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hidden="1" x14ac:dyDescent="0.2">
      <c r="B530" s="31">
        <v>521</v>
      </c>
      <c r="J530">
        <f t="shared" si="10"/>
        <v>105000</v>
      </c>
      <c r="K530" t="e">
        <f>VLOOKUP(B530,'REGISTRO ABONOS'!$B$8:$BC$10041,54,0)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hidden="1" x14ac:dyDescent="0.2">
      <c r="B531" s="31">
        <v>522</v>
      </c>
      <c r="J531">
        <f t="shared" si="10"/>
        <v>105000</v>
      </c>
      <c r="K531" t="e">
        <f>VLOOKUP(B531,'REGISTRO ABONOS'!$B$8:$BC$10041,54,0)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hidden="1" x14ac:dyDescent="0.2">
      <c r="B532" s="31">
        <v>523</v>
      </c>
      <c r="J532">
        <f t="shared" si="10"/>
        <v>105000</v>
      </c>
      <c r="K532" t="e">
        <f>VLOOKUP(B532,'REGISTRO ABONOS'!$B$8:$BC$10041,54,0)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hidden="1" x14ac:dyDescent="0.2">
      <c r="B533" s="31">
        <v>524</v>
      </c>
      <c r="J533">
        <f t="shared" si="10"/>
        <v>105000</v>
      </c>
      <c r="K533" t="e">
        <f>VLOOKUP(B533,'REGISTRO ABONOS'!$B$8:$BC$10041,54,0)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hidden="1" x14ac:dyDescent="0.2">
      <c r="B534" s="31">
        <v>525</v>
      </c>
      <c r="J534">
        <f t="shared" si="10"/>
        <v>105000</v>
      </c>
      <c r="K534" t="e">
        <f>VLOOKUP(B534,'REGISTRO ABONOS'!$B$8:$BC$10041,54,0)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hidden="1" x14ac:dyDescent="0.2">
      <c r="B535" s="31">
        <v>526</v>
      </c>
      <c r="J535">
        <f t="shared" si="10"/>
        <v>105000</v>
      </c>
      <c r="K535" t="e">
        <f>VLOOKUP(B535,'REGISTRO ABONOS'!$B$8:$BC$10041,54,0)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hidden="1" x14ac:dyDescent="0.2">
      <c r="B536" s="31">
        <v>527</v>
      </c>
      <c r="J536">
        <f t="shared" si="10"/>
        <v>105000</v>
      </c>
      <c r="K536" t="e">
        <f>VLOOKUP(B536,'REGISTRO ABONOS'!$B$8:$BC$10041,54,0)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hidden="1" x14ac:dyDescent="0.2">
      <c r="B537" s="31">
        <v>528</v>
      </c>
      <c r="J537">
        <f t="shared" si="10"/>
        <v>105000</v>
      </c>
      <c r="K537" t="e">
        <f>VLOOKUP(B537,'REGISTRO ABONOS'!$B$8:$BC$10041,54,0)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10"/>
        <v>105000</v>
      </c>
      <c r="K538" t="e">
        <f>VLOOKUP(B538,'REGISTRO ABONOS'!$B$8:$BC$10041,54,0)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hidden="1" x14ac:dyDescent="0.2">
      <c r="B539" s="31">
        <v>530</v>
      </c>
      <c r="J539">
        <f t="shared" si="10"/>
        <v>105000</v>
      </c>
      <c r="K539" t="e">
        <f>VLOOKUP(B539,'REGISTRO ABONOS'!$B$8:$BC$10041,54,0)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hidden="1" x14ac:dyDescent="0.2">
      <c r="B540" s="31">
        <v>531</v>
      </c>
      <c r="J540">
        <f t="shared" si="10"/>
        <v>105000</v>
      </c>
      <c r="K540" t="e">
        <f>VLOOKUP(B540,'REGISTRO ABONOS'!$B$8:$BC$10041,54,0)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hidden="1" x14ac:dyDescent="0.2">
      <c r="B541" s="31">
        <v>532</v>
      </c>
      <c r="J541">
        <f t="shared" si="10"/>
        <v>105000</v>
      </c>
      <c r="K541" t="e">
        <f>VLOOKUP(B541,'REGISTRO ABONOS'!$B$8:$BC$10041,54,0)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hidden="1" x14ac:dyDescent="0.2">
      <c r="B542" s="31">
        <v>533</v>
      </c>
      <c r="J542">
        <f t="shared" si="10"/>
        <v>105000</v>
      </c>
      <c r="K542" t="e">
        <f>VLOOKUP(B542,'REGISTRO ABONOS'!$B$8:$BC$10041,54,0)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hidden="1" x14ac:dyDescent="0.2">
      <c r="B543" s="31">
        <v>534</v>
      </c>
      <c r="J543">
        <f t="shared" si="10"/>
        <v>105000</v>
      </c>
      <c r="K543" t="e">
        <f>VLOOKUP(B543,'REGISTRO ABONOS'!$B$8:$BC$10041,54,0)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hidden="1" x14ac:dyDescent="0.2">
      <c r="B544" s="31">
        <v>535</v>
      </c>
      <c r="J544">
        <f t="shared" si="10"/>
        <v>105000</v>
      </c>
      <c r="K544" t="e">
        <f>VLOOKUP(B544,'REGISTRO ABONOS'!$B$8:$BC$10041,54,0)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hidden="1" x14ac:dyDescent="0.2">
      <c r="B545" s="31">
        <v>536</v>
      </c>
      <c r="J545">
        <f t="shared" si="10"/>
        <v>105000</v>
      </c>
      <c r="K545" t="e">
        <f>VLOOKUP(B545,'REGISTRO ABONOS'!$B$8:$BC$10041,54,0)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hidden="1" x14ac:dyDescent="0.2">
      <c r="B546" s="31">
        <v>537</v>
      </c>
      <c r="J546">
        <f t="shared" si="10"/>
        <v>105000</v>
      </c>
      <c r="K546" t="e">
        <f>VLOOKUP(B546,'REGISTRO ABONOS'!$B$8:$BC$10041,54,0)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hidden="1" x14ac:dyDescent="0.2">
      <c r="B547" s="31">
        <v>538</v>
      </c>
      <c r="J547">
        <f t="shared" si="10"/>
        <v>105000</v>
      </c>
      <c r="K547" t="e">
        <f>VLOOKUP(B547,'REGISTRO ABONOS'!$B$8:$BC$10041,54,0)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hidden="1" x14ac:dyDescent="0.2">
      <c r="B548" s="31">
        <v>539</v>
      </c>
      <c r="J548">
        <f t="shared" si="10"/>
        <v>105000</v>
      </c>
      <c r="K548" t="e">
        <f>VLOOKUP(B548,'REGISTRO ABONOS'!$B$8:$BC$10041,54,0)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hidden="1" x14ac:dyDescent="0.2">
      <c r="B549" s="31">
        <v>540</v>
      </c>
      <c r="J549">
        <f t="shared" si="10"/>
        <v>105000</v>
      </c>
      <c r="K549" t="e">
        <f>VLOOKUP(B549,'REGISTRO ABONOS'!$B$8:$BC$10041,54,0)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hidden="1" x14ac:dyDescent="0.2">
      <c r="B550" s="31">
        <v>541</v>
      </c>
      <c r="J550">
        <f t="shared" si="10"/>
        <v>105000</v>
      </c>
      <c r="K550" t="e">
        <f>VLOOKUP(B550,'REGISTRO ABONOS'!$B$8:$BC$10041,54,0)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hidden="1" x14ac:dyDescent="0.2">
      <c r="B551" s="31">
        <v>542</v>
      </c>
      <c r="J551">
        <f t="shared" si="10"/>
        <v>105000</v>
      </c>
      <c r="K551" t="e">
        <f>VLOOKUP(B551,'REGISTRO ABONOS'!$B$8:$BC$10041,54,0)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hidden="1" x14ac:dyDescent="0.2">
      <c r="B552" s="31">
        <v>543</v>
      </c>
      <c r="J552">
        <f t="shared" si="10"/>
        <v>105000</v>
      </c>
      <c r="K552" t="e">
        <f>VLOOKUP(B552,'REGISTRO ABONOS'!$B$8:$BC$10041,54,0)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hidden="1" x14ac:dyDescent="0.2">
      <c r="B553" s="31">
        <v>544</v>
      </c>
      <c r="J553">
        <f t="shared" si="10"/>
        <v>105000</v>
      </c>
      <c r="K553" t="e">
        <f>VLOOKUP(B553,'REGISTRO ABONOS'!$B$8:$BC$10041,54,0)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hidden="1" x14ac:dyDescent="0.2">
      <c r="B554" s="31">
        <v>545</v>
      </c>
      <c r="J554">
        <f t="shared" si="10"/>
        <v>105000</v>
      </c>
      <c r="K554" t="e">
        <f>VLOOKUP(B554,'REGISTRO ABONOS'!$B$8:$BC$10041,54,0)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hidden="1" x14ac:dyDescent="0.2">
      <c r="B555" s="31">
        <v>546</v>
      </c>
      <c r="J555">
        <f t="shared" si="10"/>
        <v>105000</v>
      </c>
      <c r="K555" t="e">
        <f>VLOOKUP(B555,'REGISTRO ABONOS'!$B$8:$BC$10041,54,0)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hidden="1" x14ac:dyDescent="0.2">
      <c r="B556" s="31">
        <v>547</v>
      </c>
      <c r="J556">
        <f t="shared" si="10"/>
        <v>105000</v>
      </c>
      <c r="K556" t="e">
        <f>VLOOKUP(B556,'REGISTRO ABONOS'!$B$8:$BC$10041,54,0)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hidden="1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ABONOS'!$B$8:$BC$10041,54,0)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hidden="1" x14ac:dyDescent="0.2">
      <c r="B558" s="31">
        <v>549</v>
      </c>
      <c r="J558">
        <f t="shared" si="11"/>
        <v>105000</v>
      </c>
      <c r="K558" t="e">
        <f>VLOOKUP(B558,'REGISTRO ABONOS'!$B$8:$BC$10041,54,0)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hidden="1" x14ac:dyDescent="0.2">
      <c r="B559" s="31">
        <v>550</v>
      </c>
      <c r="J559">
        <f t="shared" si="11"/>
        <v>105000</v>
      </c>
      <c r="K559" t="e">
        <f>VLOOKUP(B559,'REGISTRO ABONOS'!$B$8:$BC$10041,54,0)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hidden="1" x14ac:dyDescent="0.2">
      <c r="B560" s="31">
        <v>551</v>
      </c>
      <c r="J560">
        <f t="shared" si="11"/>
        <v>105000</v>
      </c>
      <c r="K560" t="e">
        <f>VLOOKUP(B560,'REGISTRO ABONOS'!$B$8:$BC$10041,54,0)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hidden="1" x14ac:dyDescent="0.2">
      <c r="B561" s="31">
        <v>552</v>
      </c>
      <c r="J561">
        <f t="shared" si="11"/>
        <v>105000</v>
      </c>
      <c r="K561" t="e">
        <f>VLOOKUP(B561,'REGISTRO ABONOS'!$B$8:$BC$10041,54,0)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hidden="1" x14ac:dyDescent="0.2">
      <c r="B562" s="31">
        <v>553</v>
      </c>
      <c r="J562">
        <f t="shared" si="11"/>
        <v>105000</v>
      </c>
      <c r="K562" t="e">
        <f>VLOOKUP(B562,'REGISTRO ABONOS'!$B$8:$BC$10041,54,0)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hidden="1" x14ac:dyDescent="0.2">
      <c r="B563" s="31">
        <v>554</v>
      </c>
      <c r="J563">
        <f t="shared" si="11"/>
        <v>105000</v>
      </c>
      <c r="K563" t="e">
        <f>VLOOKUP(B563,'REGISTRO ABONOS'!$B$8:$BC$10041,54,0)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hidden="1" x14ac:dyDescent="0.2">
      <c r="B564" s="31">
        <v>555</v>
      </c>
      <c r="J564">
        <f t="shared" si="11"/>
        <v>105000</v>
      </c>
      <c r="K564" t="e">
        <f>VLOOKUP(B564,'REGISTRO ABONOS'!$B$8:$BC$10041,54,0)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hidden="1" x14ac:dyDescent="0.2">
      <c r="B565" s="31">
        <v>556</v>
      </c>
      <c r="J565">
        <f t="shared" si="11"/>
        <v>105000</v>
      </c>
      <c r="K565" t="e">
        <f>VLOOKUP(B565,'REGISTRO ABONOS'!$B$8:$BC$10041,54,0)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hidden="1" x14ac:dyDescent="0.2">
      <c r="B566" s="31">
        <v>557</v>
      </c>
      <c r="J566">
        <f t="shared" si="11"/>
        <v>105000</v>
      </c>
      <c r="K566" t="e">
        <f>VLOOKUP(B566,'REGISTRO ABONOS'!$B$8:$BC$10041,54,0)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hidden="1" x14ac:dyDescent="0.2">
      <c r="B567" s="31">
        <v>558</v>
      </c>
      <c r="J567">
        <f t="shared" si="11"/>
        <v>105000</v>
      </c>
      <c r="K567" t="e">
        <f>VLOOKUP(B567,'REGISTRO ABONOS'!$B$8:$BC$10041,54,0)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hidden="1" x14ac:dyDescent="0.2">
      <c r="B568" s="31">
        <v>559</v>
      </c>
      <c r="J568">
        <f t="shared" si="11"/>
        <v>105000</v>
      </c>
      <c r="K568" t="e">
        <f>VLOOKUP(B568,'REGISTRO ABONOS'!$B$8:$BC$10041,54,0)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hidden="1" x14ac:dyDescent="0.2">
      <c r="B569" s="31">
        <v>560</v>
      </c>
      <c r="J569">
        <f t="shared" si="11"/>
        <v>105000</v>
      </c>
      <c r="K569" t="e">
        <f>VLOOKUP(B569,'REGISTRO ABONOS'!$B$8:$BC$10041,54,0)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hidden="1" x14ac:dyDescent="0.2">
      <c r="B570" s="31">
        <v>561</v>
      </c>
      <c r="J570">
        <f t="shared" si="11"/>
        <v>105000</v>
      </c>
      <c r="K570" t="e">
        <f>VLOOKUP(B570,'REGISTRO ABONOS'!$B$8:$BC$10041,54,0)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hidden="1" x14ac:dyDescent="0.2">
      <c r="B571" s="31">
        <v>562</v>
      </c>
      <c r="J571">
        <f t="shared" si="11"/>
        <v>105000</v>
      </c>
      <c r="K571" t="e">
        <f>VLOOKUP(B571,'REGISTRO ABONOS'!$B$8:$BC$10041,54,0)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hidden="1" x14ac:dyDescent="0.2">
      <c r="B572" s="31">
        <v>563</v>
      </c>
      <c r="J572">
        <f t="shared" si="11"/>
        <v>105000</v>
      </c>
      <c r="K572" t="e">
        <f>VLOOKUP(B572,'REGISTRO ABONOS'!$B$8:$BC$10041,54,0)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hidden="1" x14ac:dyDescent="0.2">
      <c r="B573" s="31">
        <v>564</v>
      </c>
      <c r="J573">
        <f t="shared" si="11"/>
        <v>105000</v>
      </c>
      <c r="K573" t="e">
        <f>VLOOKUP(B573,'REGISTRO ABONOS'!$B$8:$BC$10041,54,0)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hidden="1" x14ac:dyDescent="0.2">
      <c r="B574" s="31">
        <v>565</v>
      </c>
      <c r="J574">
        <f t="shared" si="11"/>
        <v>105000</v>
      </c>
      <c r="K574" t="e">
        <f>VLOOKUP(B574,'REGISTRO ABONOS'!$B$8:$BC$10041,54,0)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hidden="1" x14ac:dyDescent="0.2">
      <c r="B575" s="31">
        <v>566</v>
      </c>
      <c r="J575">
        <f t="shared" si="11"/>
        <v>105000</v>
      </c>
      <c r="K575" t="e">
        <f>VLOOKUP(B575,'REGISTRO ABONOS'!$B$8:$BC$10041,54,0)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hidden="1" x14ac:dyDescent="0.2">
      <c r="B576" s="31">
        <v>567</v>
      </c>
      <c r="J576">
        <f t="shared" si="11"/>
        <v>105000</v>
      </c>
      <c r="K576" t="e">
        <f>VLOOKUP(B576,'REGISTRO ABONOS'!$B$8:$BC$10041,54,0)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hidden="1" x14ac:dyDescent="0.2">
      <c r="B577" s="31">
        <v>568</v>
      </c>
      <c r="J577">
        <f t="shared" si="11"/>
        <v>105000</v>
      </c>
      <c r="K577" t="e">
        <f>VLOOKUP(B577,'REGISTRO ABONOS'!$B$8:$BC$10041,54,0)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hidden="1" x14ac:dyDescent="0.2">
      <c r="B578" s="31">
        <v>569</v>
      </c>
      <c r="J578">
        <f t="shared" si="11"/>
        <v>105000</v>
      </c>
      <c r="K578" t="e">
        <f>VLOOKUP(B578,'REGISTRO ABONOS'!$B$8:$BC$10041,54,0)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hidden="1" x14ac:dyDescent="0.2">
      <c r="B579" s="31">
        <v>570</v>
      </c>
      <c r="J579">
        <f t="shared" si="11"/>
        <v>105000</v>
      </c>
      <c r="K579" t="e">
        <f>VLOOKUP(B579,'REGISTRO ABONOS'!$B$8:$BC$10041,54,0)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hidden="1" x14ac:dyDescent="0.2">
      <c r="B580" s="31">
        <v>571</v>
      </c>
      <c r="J580">
        <f t="shared" si="11"/>
        <v>105000</v>
      </c>
      <c r="K580" t="e">
        <f>VLOOKUP(B580,'REGISTRO ABONOS'!$B$8:$BC$10041,54,0)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hidden="1" x14ac:dyDescent="0.2">
      <c r="B581" s="31">
        <v>572</v>
      </c>
      <c r="J581">
        <f t="shared" si="11"/>
        <v>105000</v>
      </c>
      <c r="K581" t="e">
        <f>VLOOKUP(B581,'REGISTRO ABONOS'!$B$8:$BC$10041,54,0)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hidden="1" x14ac:dyDescent="0.2">
      <c r="B582" s="31">
        <v>573</v>
      </c>
      <c r="J582">
        <f t="shared" si="11"/>
        <v>105000</v>
      </c>
      <c r="K582" t="e">
        <f>VLOOKUP(B582,'REGISTRO ABONOS'!$B$8:$BC$10041,54,0)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hidden="1" x14ac:dyDescent="0.2">
      <c r="B583" s="31">
        <v>574</v>
      </c>
      <c r="J583">
        <f t="shared" si="11"/>
        <v>105000</v>
      </c>
      <c r="K583" t="e">
        <f>VLOOKUP(B583,'REGISTRO ABONOS'!$B$8:$BC$10041,54,0)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hidden="1" x14ac:dyDescent="0.2">
      <c r="B584" s="31">
        <v>575</v>
      </c>
      <c r="J584">
        <f t="shared" si="11"/>
        <v>105000</v>
      </c>
      <c r="K584" t="e">
        <f>VLOOKUP(B584,'REGISTRO ABONOS'!$B$8:$BC$10041,54,0)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hidden="1" x14ac:dyDescent="0.2">
      <c r="B585" s="31">
        <v>576</v>
      </c>
      <c r="J585">
        <f t="shared" si="11"/>
        <v>105000</v>
      </c>
      <c r="K585" t="e">
        <f>VLOOKUP(B585,'REGISTRO ABONOS'!$B$8:$BC$10041,54,0)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hidden="1" x14ac:dyDescent="0.2">
      <c r="B586" s="31">
        <v>577</v>
      </c>
      <c r="J586">
        <f t="shared" si="11"/>
        <v>105000</v>
      </c>
      <c r="K586" t="e">
        <f>VLOOKUP(B586,'REGISTRO ABONOS'!$B$8:$BC$10041,54,0)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hidden="1" x14ac:dyDescent="0.2">
      <c r="B587" s="31">
        <v>578</v>
      </c>
      <c r="J587">
        <f t="shared" si="11"/>
        <v>105000</v>
      </c>
      <c r="K587" t="e">
        <f>VLOOKUP(B587,'REGISTRO ABONOS'!$B$8:$BC$10041,54,0)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hidden="1" x14ac:dyDescent="0.2">
      <c r="B588" s="31">
        <v>579</v>
      </c>
      <c r="J588">
        <f t="shared" si="11"/>
        <v>105000</v>
      </c>
      <c r="K588" t="e">
        <f>VLOOKUP(B588,'REGISTRO ABONOS'!$B$8:$BC$10041,54,0)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hidden="1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ABONOS'!$B$8:$BC$10041,54,0)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hidden="1" x14ac:dyDescent="0.2">
      <c r="B590" s="31">
        <v>581</v>
      </c>
      <c r="J590">
        <f t="shared" si="12"/>
        <v>105000</v>
      </c>
      <c r="K590" t="e">
        <f>VLOOKUP(B590,'REGISTRO ABONOS'!$B$8:$BC$10041,54,0)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hidden="1" x14ac:dyDescent="0.2">
      <c r="B591" s="31">
        <v>582</v>
      </c>
      <c r="J591">
        <f t="shared" si="12"/>
        <v>105000</v>
      </c>
      <c r="K591" t="e">
        <f>VLOOKUP(B591,'REGISTRO ABONOS'!$B$8:$BC$10041,54,0)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hidden="1" x14ac:dyDescent="0.2">
      <c r="B592" s="31">
        <v>583</v>
      </c>
      <c r="J592">
        <f t="shared" si="12"/>
        <v>105000</v>
      </c>
      <c r="K592" t="e">
        <f>VLOOKUP(B592,'REGISTRO ABONOS'!$B$8:$BC$10041,54,0)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hidden="1" x14ac:dyDescent="0.2">
      <c r="B593" s="31">
        <v>584</v>
      </c>
      <c r="J593">
        <f t="shared" si="12"/>
        <v>105000</v>
      </c>
      <c r="K593" t="e">
        <f>VLOOKUP(B593,'REGISTRO ABONOS'!$B$8:$BC$10041,54,0)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hidden="1" x14ac:dyDescent="0.2">
      <c r="B594" s="31">
        <v>585</v>
      </c>
      <c r="J594">
        <f t="shared" si="12"/>
        <v>105000</v>
      </c>
      <c r="K594" t="e">
        <f>VLOOKUP(B594,'REGISTRO ABONOS'!$B$8:$BC$10041,54,0)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hidden="1" x14ac:dyDescent="0.2">
      <c r="B595" s="31">
        <v>586</v>
      </c>
      <c r="J595">
        <f t="shared" si="12"/>
        <v>105000</v>
      </c>
      <c r="K595" t="e">
        <f>VLOOKUP(B595,'REGISTRO ABONOS'!$B$8:$BC$10041,54,0)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hidden="1" x14ac:dyDescent="0.2">
      <c r="B596" s="31">
        <v>587</v>
      </c>
      <c r="J596">
        <f t="shared" si="12"/>
        <v>105000</v>
      </c>
      <c r="K596" t="e">
        <f>VLOOKUP(B596,'REGISTRO ABONOS'!$B$8:$BC$10041,54,0)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hidden="1" x14ac:dyDescent="0.2">
      <c r="B597" s="31">
        <v>588</v>
      </c>
      <c r="J597">
        <f t="shared" si="12"/>
        <v>105000</v>
      </c>
      <c r="K597" t="e">
        <f>VLOOKUP(B597,'REGISTRO ABONOS'!$B$8:$BC$10041,54,0)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hidden="1" x14ac:dyDescent="0.2">
      <c r="B598" s="31">
        <v>589</v>
      </c>
      <c r="J598">
        <f t="shared" si="12"/>
        <v>105000</v>
      </c>
      <c r="K598" t="e">
        <f>VLOOKUP(B598,'REGISTRO ABONOS'!$B$8:$BC$10041,54,0)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hidden="1" x14ac:dyDescent="0.2">
      <c r="B599" s="31">
        <v>590</v>
      </c>
      <c r="J599">
        <f t="shared" si="12"/>
        <v>105000</v>
      </c>
      <c r="K599" t="e">
        <f>VLOOKUP(B599,'REGISTRO ABONOS'!$B$8:$BC$10041,54,0)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hidden="1" x14ac:dyDescent="0.2">
      <c r="B600" s="31">
        <v>591</v>
      </c>
      <c r="J600">
        <f t="shared" si="12"/>
        <v>105000</v>
      </c>
      <c r="K600" t="e">
        <f>VLOOKUP(B600,'REGISTRO ABONOS'!$B$8:$BC$10041,54,0)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hidden="1" x14ac:dyDescent="0.2">
      <c r="B601" s="31">
        <v>592</v>
      </c>
      <c r="J601">
        <f t="shared" si="12"/>
        <v>105000</v>
      </c>
      <c r="K601" t="e">
        <f>VLOOKUP(B601,'REGISTRO ABONOS'!$B$8:$BC$10041,54,0)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hidden="1" x14ac:dyDescent="0.2">
      <c r="B602" s="31">
        <v>593</v>
      </c>
      <c r="J602">
        <f t="shared" si="12"/>
        <v>105000</v>
      </c>
      <c r="K602" t="e">
        <f>VLOOKUP(B602,'REGISTRO ABONOS'!$B$8:$BC$10041,54,0)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hidden="1" x14ac:dyDescent="0.2">
      <c r="B603" s="31">
        <v>594</v>
      </c>
      <c r="J603">
        <f t="shared" si="12"/>
        <v>105000</v>
      </c>
      <c r="K603" t="e">
        <f>VLOOKUP(B603,'REGISTRO ABONOS'!$B$8:$BC$10041,54,0)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hidden="1" x14ac:dyDescent="0.2">
      <c r="B604" s="31">
        <v>595</v>
      </c>
      <c r="J604">
        <f t="shared" si="12"/>
        <v>105000</v>
      </c>
      <c r="K604" t="e">
        <f>VLOOKUP(B604,'REGISTRO ABONOS'!$B$8:$BC$10041,54,0)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hidden="1" x14ac:dyDescent="0.2">
      <c r="B605" s="31">
        <v>596</v>
      </c>
      <c r="J605">
        <f t="shared" si="12"/>
        <v>105000</v>
      </c>
      <c r="K605" t="e">
        <f>VLOOKUP(B605,'REGISTRO ABONOS'!$B$8:$BC$10041,54,0)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hidden="1" x14ac:dyDescent="0.2">
      <c r="B606" s="31">
        <v>597</v>
      </c>
      <c r="J606">
        <f t="shared" si="12"/>
        <v>105000</v>
      </c>
      <c r="K606" t="e">
        <f>VLOOKUP(B606,'REGISTRO ABONOS'!$B$8:$BC$10041,54,0)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hidden="1" x14ac:dyDescent="0.2">
      <c r="B607" s="31">
        <v>598</v>
      </c>
      <c r="J607">
        <f t="shared" si="12"/>
        <v>105000</v>
      </c>
      <c r="K607" t="e">
        <f>VLOOKUP(B607,'REGISTRO ABONOS'!$B$8:$BC$10041,54,0)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hidden="1" x14ac:dyDescent="0.2">
      <c r="B608" s="31">
        <v>599</v>
      </c>
      <c r="J608">
        <f t="shared" si="12"/>
        <v>105000</v>
      </c>
      <c r="K608" t="e">
        <f>VLOOKUP(B608,'REGISTRO ABONOS'!$B$8:$BC$10041,54,0)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hidden="1" x14ac:dyDescent="0.2">
      <c r="B609" s="31">
        <v>600</v>
      </c>
      <c r="J609">
        <f t="shared" si="12"/>
        <v>105000</v>
      </c>
      <c r="K609" t="e">
        <f>VLOOKUP(B609,'REGISTRO ABONOS'!$B$8:$BC$10041,54,0)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hidden="1" x14ac:dyDescent="0.2">
      <c r="B610" s="31">
        <v>601</v>
      </c>
      <c r="J610">
        <f t="shared" si="12"/>
        <v>105000</v>
      </c>
      <c r="K610" t="e">
        <f>VLOOKUP(B610,'REGISTRO ABONOS'!$B$8:$BC$10041,54,0)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hidden="1" x14ac:dyDescent="0.2">
      <c r="B611" s="31">
        <v>602</v>
      </c>
      <c r="J611">
        <f t="shared" si="12"/>
        <v>105000</v>
      </c>
      <c r="K611" t="e">
        <f>VLOOKUP(B611,'REGISTRO ABONOS'!$B$8:$BC$10041,54,0)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hidden="1" x14ac:dyDescent="0.2">
      <c r="B612" s="31">
        <v>603</v>
      </c>
      <c r="J612">
        <f t="shared" si="12"/>
        <v>105000</v>
      </c>
      <c r="K612" t="e">
        <f>VLOOKUP(B612,'REGISTRO ABONOS'!$B$8:$BC$10041,54,0)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hidden="1" x14ac:dyDescent="0.2">
      <c r="B613" s="31">
        <v>604</v>
      </c>
      <c r="J613">
        <f t="shared" si="12"/>
        <v>105000</v>
      </c>
      <c r="K613" t="e">
        <f>VLOOKUP(B613,'REGISTRO ABONOS'!$B$8:$BC$10041,54,0)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hidden="1" x14ac:dyDescent="0.2">
      <c r="B614" s="31">
        <v>605</v>
      </c>
      <c r="J614">
        <f t="shared" si="12"/>
        <v>105000</v>
      </c>
      <c r="K614" t="e">
        <f>VLOOKUP(B614,'REGISTRO ABONOS'!$B$8:$BC$10041,54,0)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hidden="1" x14ac:dyDescent="0.2">
      <c r="B615" s="31">
        <v>606</v>
      </c>
      <c r="J615">
        <f t="shared" si="12"/>
        <v>105000</v>
      </c>
      <c r="K615" t="e">
        <f>VLOOKUP(B615,'REGISTRO ABONOS'!$B$8:$BC$10041,54,0)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hidden="1" x14ac:dyDescent="0.2">
      <c r="B616" s="31">
        <v>607</v>
      </c>
      <c r="J616">
        <f t="shared" si="12"/>
        <v>105000</v>
      </c>
      <c r="K616" t="e">
        <f>VLOOKUP(B616,'REGISTRO ABONOS'!$B$8:$BC$10041,54,0)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hidden="1" x14ac:dyDescent="0.2">
      <c r="B617" s="31">
        <v>608</v>
      </c>
      <c r="J617">
        <f t="shared" si="12"/>
        <v>105000</v>
      </c>
      <c r="K617" t="e">
        <f>VLOOKUP(B617,'REGISTRO ABONOS'!$B$8:$BC$10041,54,0)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hidden="1" x14ac:dyDescent="0.2">
      <c r="B618" s="31">
        <v>609</v>
      </c>
      <c r="J618">
        <f t="shared" si="12"/>
        <v>105000</v>
      </c>
      <c r="K618" t="e">
        <f>VLOOKUP(B618,'REGISTRO ABONOS'!$B$8:$BC$10041,54,0)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hidden="1" x14ac:dyDescent="0.2">
      <c r="B619" s="31">
        <v>610</v>
      </c>
      <c r="J619">
        <f t="shared" si="12"/>
        <v>105000</v>
      </c>
      <c r="K619" t="e">
        <f>VLOOKUP(B619,'REGISTRO ABONOS'!$B$8:$BC$10041,54,0)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hidden="1" x14ac:dyDescent="0.2">
      <c r="B620" s="31">
        <v>611</v>
      </c>
      <c r="J620">
        <f t="shared" si="12"/>
        <v>105000</v>
      </c>
      <c r="K620" t="e">
        <f>VLOOKUP(B620,'REGISTRO ABONOS'!$B$8:$BC$10041,54,0)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hidden="1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ABONOS'!$B$8:$BC$10041,54,0)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hidden="1" x14ac:dyDescent="0.2">
      <c r="B622" s="31">
        <v>613</v>
      </c>
      <c r="J622">
        <f t="shared" si="13"/>
        <v>105000</v>
      </c>
      <c r="K622" t="e">
        <f>VLOOKUP(B622,'REGISTRO ABONOS'!$B$8:$BC$10041,54,0)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hidden="1" x14ac:dyDescent="0.2">
      <c r="B623" s="31">
        <v>614</v>
      </c>
      <c r="J623">
        <f t="shared" si="13"/>
        <v>105000</v>
      </c>
      <c r="K623" t="e">
        <f>VLOOKUP(B623,'REGISTRO ABONOS'!$B$8:$BC$10041,54,0)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3"/>
        <v>105000</v>
      </c>
      <c r="K624">
        <f>VLOOKUP(B624,'REGISTRO ABONOS'!$B$8:$BC$10041,54,0)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hidden="1" x14ac:dyDescent="0.2">
      <c r="B625" s="31">
        <v>616</v>
      </c>
      <c r="J625">
        <f t="shared" si="13"/>
        <v>105000</v>
      </c>
      <c r="K625" t="e">
        <f>VLOOKUP(B625,'REGISTRO ABONOS'!$B$8:$BC$10041,54,0)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hidden="1" x14ac:dyDescent="0.2">
      <c r="B626" s="31">
        <v>617</v>
      </c>
      <c r="J626">
        <f t="shared" si="13"/>
        <v>105000</v>
      </c>
      <c r="K626" t="e">
        <f>VLOOKUP(B626,'REGISTRO ABONOS'!$B$8:$BC$10041,54,0)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hidden="1" x14ac:dyDescent="0.2">
      <c r="B627" s="31">
        <v>618</v>
      </c>
      <c r="J627">
        <f t="shared" si="13"/>
        <v>105000</v>
      </c>
      <c r="K627" t="e">
        <f>VLOOKUP(B627,'REGISTRO ABONOS'!$B$8:$BC$10041,54,0)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hidden="1" x14ac:dyDescent="0.2">
      <c r="B628" s="31">
        <v>619</v>
      </c>
      <c r="J628">
        <f t="shared" si="13"/>
        <v>105000</v>
      </c>
      <c r="K628" t="e">
        <f>VLOOKUP(B628,'REGISTRO ABONOS'!$B$8:$BC$10041,54,0)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hidden="1" x14ac:dyDescent="0.2">
      <c r="B629" s="31">
        <v>620</v>
      </c>
      <c r="J629">
        <f t="shared" si="13"/>
        <v>105000</v>
      </c>
      <c r="K629" t="e">
        <f>VLOOKUP(B629,'REGISTRO ABONOS'!$B$8:$BC$10041,54,0)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hidden="1" x14ac:dyDescent="0.2">
      <c r="B630" s="31">
        <v>621</v>
      </c>
      <c r="J630">
        <f t="shared" si="13"/>
        <v>105000</v>
      </c>
      <c r="K630" t="e">
        <f>VLOOKUP(B630,'REGISTRO ABONOS'!$B$8:$BC$10041,54,0)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hidden="1" x14ac:dyDescent="0.2">
      <c r="B631" s="31">
        <v>622</v>
      </c>
      <c r="J631">
        <f t="shared" si="13"/>
        <v>105000</v>
      </c>
      <c r="K631" t="e">
        <f>VLOOKUP(B631,'REGISTRO ABONOS'!$B$8:$BC$10041,54,0)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hidden="1" x14ac:dyDescent="0.2">
      <c r="B632" s="31">
        <v>623</v>
      </c>
      <c r="J632">
        <f t="shared" si="13"/>
        <v>105000</v>
      </c>
      <c r="K632" t="e">
        <f>VLOOKUP(B632,'REGISTRO ABONOS'!$B$8:$BC$10041,54,0)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hidden="1" x14ac:dyDescent="0.2">
      <c r="B633" s="31">
        <v>624</v>
      </c>
      <c r="J633">
        <f t="shared" si="13"/>
        <v>105000</v>
      </c>
      <c r="K633" t="e">
        <f>VLOOKUP(B633,'REGISTRO ABONOS'!$B$8:$BC$10041,54,0)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hidden="1" x14ac:dyDescent="0.2">
      <c r="B634" s="31">
        <v>625</v>
      </c>
      <c r="J634">
        <f t="shared" si="13"/>
        <v>105000</v>
      </c>
      <c r="K634" t="e">
        <f>VLOOKUP(B634,'REGISTRO ABONOS'!$B$8:$BC$10041,54,0)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hidden="1" x14ac:dyDescent="0.2">
      <c r="B635" s="31">
        <v>626</v>
      </c>
      <c r="J635">
        <f t="shared" si="13"/>
        <v>105000</v>
      </c>
      <c r="K635" t="e">
        <f>VLOOKUP(B635,'REGISTRO ABONOS'!$B$8:$BC$10041,54,0)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hidden="1" x14ac:dyDescent="0.2">
      <c r="B636" s="31">
        <v>627</v>
      </c>
      <c r="J636">
        <f t="shared" si="13"/>
        <v>105000</v>
      </c>
      <c r="K636" t="e">
        <f>VLOOKUP(B636,'REGISTRO ABONOS'!$B$8:$BC$10041,54,0)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hidden="1" x14ac:dyDescent="0.2">
      <c r="B637" s="31">
        <v>628</v>
      </c>
      <c r="J637">
        <f t="shared" si="13"/>
        <v>105000</v>
      </c>
      <c r="K637" t="e">
        <f>VLOOKUP(B637,'REGISTRO ABONOS'!$B$8:$BC$10041,54,0)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hidden="1" x14ac:dyDescent="0.2">
      <c r="B638" s="31">
        <v>629</v>
      </c>
      <c r="J638">
        <f t="shared" si="13"/>
        <v>105000</v>
      </c>
      <c r="K638" t="e">
        <f>VLOOKUP(B638,'REGISTRO ABONOS'!$B$8:$BC$10041,54,0)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hidden="1" x14ac:dyDescent="0.2">
      <c r="B639" s="31">
        <v>630</v>
      </c>
      <c r="J639">
        <f t="shared" si="13"/>
        <v>105000</v>
      </c>
      <c r="K639" t="e">
        <f>VLOOKUP(B639,'REGISTRO ABONOS'!$B$8:$BC$10041,54,0)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hidden="1" x14ac:dyDescent="0.2">
      <c r="B640" s="31">
        <v>631</v>
      </c>
      <c r="J640">
        <f t="shared" si="13"/>
        <v>105000</v>
      </c>
      <c r="K640" t="e">
        <f>VLOOKUP(B640,'REGISTRO ABONOS'!$B$8:$BC$10041,54,0)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hidden="1" x14ac:dyDescent="0.2">
      <c r="B641" s="31">
        <v>632</v>
      </c>
      <c r="J641">
        <f t="shared" si="13"/>
        <v>105000</v>
      </c>
      <c r="K641" t="e">
        <f>VLOOKUP(B641,'REGISTRO ABONOS'!$B$8:$BC$10041,54,0)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hidden="1" x14ac:dyDescent="0.2">
      <c r="B642" s="31">
        <v>633</v>
      </c>
      <c r="J642">
        <f t="shared" si="13"/>
        <v>105000</v>
      </c>
      <c r="K642" t="e">
        <f>VLOOKUP(B642,'REGISTRO ABONOS'!$B$8:$BC$10041,54,0)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hidden="1" x14ac:dyDescent="0.2">
      <c r="B643" s="31">
        <v>634</v>
      </c>
      <c r="J643">
        <f t="shared" si="13"/>
        <v>105000</v>
      </c>
      <c r="K643" t="e">
        <f>VLOOKUP(B643,'REGISTRO ABONOS'!$B$8:$BC$10041,54,0)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hidden="1" x14ac:dyDescent="0.2">
      <c r="B644" s="31">
        <v>635</v>
      </c>
      <c r="J644">
        <f t="shared" si="13"/>
        <v>105000</v>
      </c>
      <c r="K644" t="e">
        <f>VLOOKUP(B644,'REGISTRO ABONOS'!$B$8:$BC$10041,54,0)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hidden="1" x14ac:dyDescent="0.2">
      <c r="B645" s="31">
        <v>636</v>
      </c>
      <c r="J645">
        <f t="shared" si="13"/>
        <v>105000</v>
      </c>
      <c r="K645" t="e">
        <f>VLOOKUP(B645,'REGISTRO ABONOS'!$B$8:$BC$10041,54,0)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hidden="1" x14ac:dyDescent="0.2">
      <c r="B646" s="31">
        <v>637</v>
      </c>
      <c r="J646">
        <f t="shared" si="13"/>
        <v>105000</v>
      </c>
      <c r="K646" t="e">
        <f>VLOOKUP(B646,'REGISTRO ABONOS'!$B$8:$BC$10041,54,0)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hidden="1" x14ac:dyDescent="0.2">
      <c r="B647" s="31">
        <v>638</v>
      </c>
      <c r="J647">
        <f t="shared" si="13"/>
        <v>105000</v>
      </c>
      <c r="K647" t="e">
        <f>VLOOKUP(B647,'REGISTRO ABONOS'!$B$8:$BC$10041,54,0)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hidden="1" x14ac:dyDescent="0.2">
      <c r="B648" s="31">
        <v>639</v>
      </c>
      <c r="J648">
        <f t="shared" si="13"/>
        <v>105000</v>
      </c>
      <c r="K648" t="e">
        <f>VLOOKUP(B648,'REGISTRO ABONOS'!$B$8:$BC$10041,54,0)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hidden="1" x14ac:dyDescent="0.2">
      <c r="B649" s="31">
        <v>640</v>
      </c>
      <c r="J649">
        <f t="shared" si="13"/>
        <v>105000</v>
      </c>
      <c r="K649" t="e">
        <f>VLOOKUP(B649,'REGISTRO ABONOS'!$B$8:$BC$10041,54,0)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hidden="1" x14ac:dyDescent="0.2">
      <c r="B650" s="31">
        <v>641</v>
      </c>
      <c r="J650">
        <f t="shared" si="13"/>
        <v>105000</v>
      </c>
      <c r="K650" t="e">
        <f>VLOOKUP(B650,'REGISTRO ABONOS'!$B$8:$BC$10041,54,0)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hidden="1" x14ac:dyDescent="0.2">
      <c r="B651" s="31">
        <v>642</v>
      </c>
      <c r="J651">
        <f t="shared" si="13"/>
        <v>105000</v>
      </c>
      <c r="K651" t="e">
        <f>VLOOKUP(B651,'REGISTRO ABONOS'!$B$8:$BC$10041,54,0)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hidden="1" x14ac:dyDescent="0.2">
      <c r="B652" s="31">
        <v>643</v>
      </c>
      <c r="J652">
        <f t="shared" si="13"/>
        <v>105000</v>
      </c>
      <c r="K652" t="e">
        <f>VLOOKUP(B652,'REGISTRO ABONOS'!$B$8:$BC$10041,54,0)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hidden="1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ABONOS'!$B$8:$BC$10041,54,0)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hidden="1" x14ac:dyDescent="0.2">
      <c r="B654" s="31">
        <v>645</v>
      </c>
      <c r="J654">
        <f t="shared" si="14"/>
        <v>105000</v>
      </c>
      <c r="K654" t="e">
        <f>VLOOKUP(B654,'REGISTRO ABONOS'!$B$8:$BC$10041,54,0)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hidden="1" x14ac:dyDescent="0.2">
      <c r="B655" s="31">
        <v>646</v>
      </c>
      <c r="J655">
        <f t="shared" si="14"/>
        <v>105000</v>
      </c>
      <c r="K655" t="e">
        <f>VLOOKUP(B655,'REGISTRO ABONOS'!$B$8:$BC$10041,54,0)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hidden="1" x14ac:dyDescent="0.2">
      <c r="B656" s="31">
        <v>647</v>
      </c>
      <c r="J656">
        <f t="shared" si="14"/>
        <v>105000</v>
      </c>
      <c r="K656" t="e">
        <f>VLOOKUP(B656,'REGISTRO ABONOS'!$B$8:$BC$10041,54,0)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hidden="1" x14ac:dyDescent="0.2">
      <c r="B657" s="31">
        <v>648</v>
      </c>
      <c r="J657">
        <f t="shared" si="14"/>
        <v>105000</v>
      </c>
      <c r="K657" t="e">
        <f>VLOOKUP(B657,'REGISTRO ABONOS'!$B$8:$BC$10041,54,0)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hidden="1" x14ac:dyDescent="0.2">
      <c r="B658" s="31">
        <v>649</v>
      </c>
      <c r="J658">
        <f t="shared" si="14"/>
        <v>105000</v>
      </c>
      <c r="K658" t="e">
        <f>VLOOKUP(B658,'REGISTRO ABONOS'!$B$8:$BC$10041,54,0)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hidden="1" x14ac:dyDescent="0.2">
      <c r="B659" s="31">
        <v>650</v>
      </c>
      <c r="J659">
        <f t="shared" si="14"/>
        <v>105000</v>
      </c>
      <c r="K659" t="e">
        <f>VLOOKUP(B659,'REGISTRO ABONOS'!$B$8:$BC$10041,54,0)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hidden="1" x14ac:dyDescent="0.2">
      <c r="B660" s="31">
        <v>651</v>
      </c>
      <c r="J660">
        <f t="shared" si="14"/>
        <v>105000</v>
      </c>
      <c r="K660" t="e">
        <f>VLOOKUP(B660,'REGISTRO ABONOS'!$B$8:$BC$10041,54,0)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hidden="1" x14ac:dyDescent="0.2">
      <c r="B661" s="31">
        <v>652</v>
      </c>
      <c r="J661">
        <f t="shared" si="14"/>
        <v>105000</v>
      </c>
      <c r="K661" t="e">
        <f>VLOOKUP(B661,'REGISTRO ABONOS'!$B$8:$BC$10041,54,0)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hidden="1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ABONOS'!$B$8:$BC$10041,54,0)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hidden="1" x14ac:dyDescent="0.2">
      <c r="B663" s="31">
        <v>654</v>
      </c>
      <c r="J663">
        <f t="shared" si="15"/>
        <v>105000</v>
      </c>
      <c r="K663" t="e">
        <f>VLOOKUP(B663,'REGISTRO ABONOS'!$B$8:$BC$10041,54,0)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hidden="1" x14ac:dyDescent="0.2">
      <c r="B664" s="31">
        <v>655</v>
      </c>
      <c r="J664">
        <f t="shared" si="15"/>
        <v>105000</v>
      </c>
      <c r="K664" t="e">
        <f>VLOOKUP(B664,'REGISTRO ABONOS'!$B$8:$BC$10041,54,0)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hidden="1" x14ac:dyDescent="0.2">
      <c r="B665" s="31">
        <v>656</v>
      </c>
      <c r="J665">
        <f t="shared" si="15"/>
        <v>105000</v>
      </c>
      <c r="K665" t="e">
        <f>VLOOKUP(B665,'REGISTRO ABONOS'!$B$8:$BC$10041,54,0)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hidden="1" x14ac:dyDescent="0.2">
      <c r="B666" s="31">
        <v>657</v>
      </c>
      <c r="J666">
        <f t="shared" si="15"/>
        <v>105000</v>
      </c>
      <c r="K666" t="e">
        <f>VLOOKUP(B666,'REGISTRO ABONOS'!$B$8:$BC$10041,54,0)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5"/>
        <v>105000</v>
      </c>
      <c r="K667" t="e">
        <f>VLOOKUP(B667,'REGISTRO ABONOS'!$B$8:$BC$10041,54,0)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hidden="1" x14ac:dyDescent="0.2">
      <c r="B668" s="31">
        <v>659</v>
      </c>
      <c r="J668">
        <f t="shared" si="15"/>
        <v>105000</v>
      </c>
      <c r="K668" t="e">
        <f>VLOOKUP(B668,'REGISTRO ABONOS'!$B$8:$BC$10041,54,0)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hidden="1" x14ac:dyDescent="0.2">
      <c r="B669" s="31">
        <v>660</v>
      </c>
      <c r="J669">
        <f t="shared" si="15"/>
        <v>105000</v>
      </c>
      <c r="K669" t="e">
        <f>VLOOKUP(B669,'REGISTRO ABONOS'!$B$8:$BC$10041,54,0)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hidden="1" x14ac:dyDescent="0.2">
      <c r="B670" s="31">
        <v>661</v>
      </c>
      <c r="J670">
        <f t="shared" si="15"/>
        <v>105000</v>
      </c>
      <c r="K670" t="e">
        <f>VLOOKUP(B670,'REGISTRO ABONOS'!$B$8:$BC$10041,54,0)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hidden="1" x14ac:dyDescent="0.2">
      <c r="B671" s="31">
        <v>662</v>
      </c>
      <c r="J671">
        <f t="shared" si="15"/>
        <v>105000</v>
      </c>
      <c r="K671" t="e">
        <f>VLOOKUP(B671,'REGISTRO ABONOS'!$B$8:$BC$10041,54,0)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hidden="1" x14ac:dyDescent="0.2">
      <c r="B672" s="31">
        <v>663</v>
      </c>
      <c r="J672">
        <f t="shared" si="15"/>
        <v>105000</v>
      </c>
      <c r="K672" t="e">
        <f>VLOOKUP(B672,'REGISTRO ABONOS'!$B$8:$BC$10041,54,0)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hidden="1" x14ac:dyDescent="0.2">
      <c r="B673" s="31">
        <v>664</v>
      </c>
      <c r="J673">
        <f t="shared" si="15"/>
        <v>105000</v>
      </c>
      <c r="K673" t="e">
        <f>VLOOKUP(B673,'REGISTRO ABONOS'!$B$8:$BC$10041,54,0)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hidden="1" x14ac:dyDescent="0.2">
      <c r="B674" s="31">
        <v>665</v>
      </c>
      <c r="J674">
        <f t="shared" si="15"/>
        <v>105000</v>
      </c>
      <c r="K674" t="e">
        <f>VLOOKUP(B674,'REGISTRO ABONOS'!$B$8:$BC$10041,54,0)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hidden="1" x14ac:dyDescent="0.2">
      <c r="B675" s="31">
        <v>666</v>
      </c>
      <c r="J675">
        <f t="shared" si="15"/>
        <v>105000</v>
      </c>
      <c r="K675" t="e">
        <f>VLOOKUP(B675,'REGISTRO ABONOS'!$B$8:$BC$10041,54,0)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hidden="1" x14ac:dyDescent="0.2">
      <c r="B676" s="31">
        <v>667</v>
      </c>
      <c r="J676">
        <f t="shared" si="15"/>
        <v>105000</v>
      </c>
      <c r="K676" t="e">
        <f>VLOOKUP(B676,'REGISTRO ABONOS'!$B$8:$BC$10041,54,0)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hidden="1" x14ac:dyDescent="0.2">
      <c r="B677" s="31">
        <v>668</v>
      </c>
      <c r="J677">
        <f t="shared" si="15"/>
        <v>105000</v>
      </c>
      <c r="K677" t="e">
        <f>VLOOKUP(B677,'REGISTRO ABONOS'!$B$8:$BC$10041,54,0)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hidden="1" x14ac:dyDescent="0.2">
      <c r="B678" s="31">
        <v>669</v>
      </c>
      <c r="J678">
        <f t="shared" si="15"/>
        <v>105000</v>
      </c>
      <c r="K678" t="e">
        <f>VLOOKUP(B678,'REGISTRO ABONOS'!$B$8:$BC$10041,54,0)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hidden="1" x14ac:dyDescent="0.2">
      <c r="B679" s="31">
        <v>670</v>
      </c>
      <c r="J679">
        <f t="shared" si="15"/>
        <v>105000</v>
      </c>
      <c r="K679" t="e">
        <f>VLOOKUP(B679,'REGISTRO ABONOS'!$B$8:$BC$10041,54,0)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hidden="1" x14ac:dyDescent="0.2">
      <c r="B680" s="31">
        <v>671</v>
      </c>
      <c r="J680">
        <f t="shared" si="15"/>
        <v>105000</v>
      </c>
      <c r="K680" t="e">
        <f>VLOOKUP(B680,'REGISTRO ABONOS'!$B$8:$BC$10041,54,0)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hidden="1" x14ac:dyDescent="0.2">
      <c r="B681" s="31">
        <v>672</v>
      </c>
      <c r="J681">
        <f t="shared" si="15"/>
        <v>105000</v>
      </c>
      <c r="K681" t="e">
        <f>VLOOKUP(B681,'REGISTRO ABONOS'!$B$8:$BC$10041,54,0)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hidden="1" x14ac:dyDescent="0.2">
      <c r="B682" s="31">
        <v>673</v>
      </c>
      <c r="J682">
        <f t="shared" si="15"/>
        <v>105000</v>
      </c>
      <c r="K682" t="e">
        <f>VLOOKUP(B682,'REGISTRO ABONOS'!$B$8:$BC$10041,54,0)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hidden="1" x14ac:dyDescent="0.2">
      <c r="B683" s="31">
        <v>674</v>
      </c>
      <c r="J683">
        <f t="shared" si="15"/>
        <v>105000</v>
      </c>
      <c r="K683" t="e">
        <f>VLOOKUP(B683,'REGISTRO ABONOS'!$B$8:$BC$10041,54,0)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hidden="1" x14ac:dyDescent="0.2">
      <c r="B684" s="31">
        <v>675</v>
      </c>
      <c r="C684" s="10">
        <v>43571</v>
      </c>
      <c r="D684" t="s">
        <v>483</v>
      </c>
      <c r="H684" t="s">
        <v>483</v>
      </c>
      <c r="I684" t="s">
        <v>322</v>
      </c>
      <c r="J684">
        <f t="shared" si="15"/>
        <v>105000</v>
      </c>
      <c r="K684" t="e">
        <f>VLOOKUP(B684,'REGISTRO ABONOS'!$B$8:$BC$10041,54,0)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hidden="1" x14ac:dyDescent="0.2">
      <c r="B685" s="31">
        <v>676</v>
      </c>
      <c r="J685">
        <f t="shared" si="15"/>
        <v>105000</v>
      </c>
      <c r="K685" t="e">
        <f>VLOOKUP(B685,'REGISTRO ABONOS'!$B$8:$BC$10041,54,0)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hidden="1" x14ac:dyDescent="0.2">
      <c r="B686" s="31">
        <v>677</v>
      </c>
      <c r="J686">
        <f t="shared" si="15"/>
        <v>105000</v>
      </c>
      <c r="K686" t="e">
        <f>VLOOKUP(B686,'REGISTRO ABONOS'!$B$8:$BC$10041,54,0)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hidden="1" x14ac:dyDescent="0.2">
      <c r="B687" s="31">
        <v>678</v>
      </c>
      <c r="J687">
        <f t="shared" si="15"/>
        <v>105000</v>
      </c>
      <c r="K687" t="e">
        <f>VLOOKUP(B687,'REGISTRO ABONOS'!$B$8:$BC$10041,54,0)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hidden="1" x14ac:dyDescent="0.2">
      <c r="B688" s="31">
        <v>679</v>
      </c>
      <c r="J688">
        <f t="shared" si="15"/>
        <v>105000</v>
      </c>
      <c r="K688" t="e">
        <f>VLOOKUP(B688,'REGISTRO ABONOS'!$B$8:$BC$10041,54,0)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hidden="1" x14ac:dyDescent="0.2">
      <c r="B689" s="31">
        <v>680</v>
      </c>
      <c r="J689">
        <f t="shared" si="15"/>
        <v>105000</v>
      </c>
      <c r="K689" t="e">
        <f>VLOOKUP(B689,'REGISTRO ABONOS'!$B$8:$BC$10041,54,0)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hidden="1" x14ac:dyDescent="0.2">
      <c r="B690" s="31">
        <v>681</v>
      </c>
      <c r="J690">
        <f t="shared" si="15"/>
        <v>105000</v>
      </c>
      <c r="K690" t="e">
        <f>VLOOKUP(B690,'REGISTRO ABONOS'!$B$8:$BC$10041,54,0)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hidden="1" x14ac:dyDescent="0.2">
      <c r="B691" s="31">
        <v>682</v>
      </c>
      <c r="J691">
        <f t="shared" si="15"/>
        <v>105000</v>
      </c>
      <c r="K691" t="e">
        <f>VLOOKUP(B691,'REGISTRO ABONOS'!$B$8:$BC$10041,54,0)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hidden="1" x14ac:dyDescent="0.2">
      <c r="B692" s="31">
        <v>683</v>
      </c>
      <c r="J692">
        <f t="shared" si="15"/>
        <v>105000</v>
      </c>
      <c r="K692" t="e">
        <f>VLOOKUP(B692,'REGISTRO ABONOS'!$B$8:$BC$10041,54,0)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hidden="1" x14ac:dyDescent="0.2">
      <c r="B693" s="31">
        <v>684</v>
      </c>
      <c r="J693">
        <f t="shared" si="15"/>
        <v>105000</v>
      </c>
      <c r="K693" t="e">
        <f>VLOOKUP(B693,'REGISTRO ABONOS'!$B$8:$BC$10041,54,0)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hidden="1" x14ac:dyDescent="0.2">
      <c r="B694" s="31">
        <v>685</v>
      </c>
      <c r="J694">
        <f t="shared" si="15"/>
        <v>105000</v>
      </c>
      <c r="K694" t="e">
        <f>VLOOKUP(B694,'REGISTRO ABONOS'!$B$8:$BC$10041,54,0)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hidden="1" x14ac:dyDescent="0.2">
      <c r="B695" s="31">
        <v>686</v>
      </c>
      <c r="J695">
        <f t="shared" si="15"/>
        <v>105000</v>
      </c>
      <c r="K695" t="e">
        <f>VLOOKUP(B695,'REGISTRO ABONOS'!$B$8:$BC$10041,54,0)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hidden="1" x14ac:dyDescent="0.2">
      <c r="B696" s="31">
        <v>687</v>
      </c>
      <c r="J696">
        <f t="shared" si="15"/>
        <v>105000</v>
      </c>
      <c r="K696" t="e">
        <f>VLOOKUP(B696,'REGISTRO ABONOS'!$B$8:$BC$10041,54,0)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hidden="1" x14ac:dyDescent="0.2">
      <c r="B697" s="31">
        <v>688</v>
      </c>
      <c r="J697">
        <f t="shared" si="15"/>
        <v>105000</v>
      </c>
      <c r="K697" t="e">
        <f>VLOOKUP(B697,'REGISTRO ABONOS'!$B$8:$BC$10041,54,0)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hidden="1" x14ac:dyDescent="0.2">
      <c r="B698" s="31">
        <v>689</v>
      </c>
      <c r="J698">
        <f t="shared" si="15"/>
        <v>105000</v>
      </c>
      <c r="K698" t="e">
        <f>VLOOKUP(B698,'REGISTRO ABONOS'!$B$8:$BC$10041,54,0)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hidden="1" x14ac:dyDescent="0.2">
      <c r="B699" s="31">
        <v>690</v>
      </c>
      <c r="J699">
        <f t="shared" si="15"/>
        <v>105000</v>
      </c>
      <c r="K699" t="e">
        <f>VLOOKUP(B699,'REGISTRO ABONOS'!$B$8:$BC$10041,54,0)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hidden="1" x14ac:dyDescent="0.2">
      <c r="B700" s="31">
        <v>691</v>
      </c>
      <c r="J700">
        <f t="shared" si="15"/>
        <v>105000</v>
      </c>
      <c r="K700" t="e">
        <f>VLOOKUP(B700,'REGISTRO ABONOS'!$B$8:$BC$10041,54,0)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hidden="1" x14ac:dyDescent="0.2">
      <c r="B701" s="31">
        <v>692</v>
      </c>
      <c r="J701">
        <f t="shared" si="15"/>
        <v>105000</v>
      </c>
      <c r="K701" t="e">
        <f>VLOOKUP(B701,'REGISTRO ABONOS'!$B$8:$BC$10041,54,0)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hidden="1" x14ac:dyDescent="0.2">
      <c r="B702" s="31">
        <v>693</v>
      </c>
      <c r="J702">
        <f t="shared" si="15"/>
        <v>105000</v>
      </c>
      <c r="K702" t="e">
        <f>VLOOKUP(B702,'REGISTRO ABONOS'!$B$8:$BC$10041,54,0)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hidden="1" x14ac:dyDescent="0.2">
      <c r="B703" s="31">
        <v>694</v>
      </c>
      <c r="J703">
        <f t="shared" si="15"/>
        <v>105000</v>
      </c>
      <c r="K703" t="e">
        <f>VLOOKUP(B703,'REGISTRO ABONOS'!$B$8:$BC$10041,54,0)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hidden="1" x14ac:dyDescent="0.2">
      <c r="B704" s="31">
        <v>695</v>
      </c>
      <c r="J704">
        <f t="shared" si="15"/>
        <v>105000</v>
      </c>
      <c r="K704" t="e">
        <f>VLOOKUP(B704,'REGISTRO ABONOS'!$B$8:$BC$10041,54,0)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hidden="1" x14ac:dyDescent="0.2">
      <c r="B705" s="31">
        <v>696</v>
      </c>
      <c r="J705">
        <f t="shared" si="15"/>
        <v>105000</v>
      </c>
      <c r="K705" t="e">
        <f>VLOOKUP(B705,'REGISTRO ABONOS'!$B$8:$BC$10041,54,0)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hidden="1" x14ac:dyDescent="0.2">
      <c r="B706" s="31">
        <v>697</v>
      </c>
      <c r="J706">
        <f t="shared" si="15"/>
        <v>105000</v>
      </c>
      <c r="K706" t="e">
        <f>VLOOKUP(B706,'REGISTRO ABONOS'!$B$8:$BC$10041,54,0)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hidden="1" x14ac:dyDescent="0.2">
      <c r="B707" s="31">
        <v>698</v>
      </c>
      <c r="J707">
        <f t="shared" si="15"/>
        <v>105000</v>
      </c>
      <c r="K707" t="e">
        <f>VLOOKUP(B707,'REGISTRO ABONOS'!$B$8:$BC$10041,54,0)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hidden="1" x14ac:dyDescent="0.2">
      <c r="B708" s="31">
        <v>699</v>
      </c>
      <c r="J708">
        <f t="shared" si="15"/>
        <v>105000</v>
      </c>
      <c r="K708" t="e">
        <f>VLOOKUP(B708,'REGISTRO ABONOS'!$B$8:$BC$10041,54,0)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hidden="1" x14ac:dyDescent="0.2">
      <c r="B709" s="31">
        <v>700</v>
      </c>
      <c r="J709">
        <f t="shared" si="15"/>
        <v>105000</v>
      </c>
      <c r="K709" t="e">
        <f>VLOOKUP(B709,'REGISTRO ABONOS'!$B$8:$BC$10041,54,0)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hidden="1" x14ac:dyDescent="0.2">
      <c r="B710" s="31">
        <v>701</v>
      </c>
      <c r="J710">
        <f t="shared" si="15"/>
        <v>105000</v>
      </c>
      <c r="K710" t="e">
        <f>VLOOKUP(B710,'REGISTRO ABONOS'!$B$8:$BC$10041,54,0)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hidden="1" x14ac:dyDescent="0.2">
      <c r="B711" s="31">
        <v>702</v>
      </c>
      <c r="J711">
        <f t="shared" si="15"/>
        <v>105000</v>
      </c>
      <c r="K711" t="e">
        <f>VLOOKUP(B711,'REGISTRO ABONOS'!$B$8:$BC$10041,54,0)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hidden="1" x14ac:dyDescent="0.2">
      <c r="B712" s="31">
        <v>703</v>
      </c>
      <c r="J712">
        <f t="shared" si="15"/>
        <v>105000</v>
      </c>
      <c r="K712" t="e">
        <f>VLOOKUP(B712,'REGISTRO ABONOS'!$B$8:$BC$10041,54,0)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hidden="1" x14ac:dyDescent="0.2">
      <c r="B713" s="31">
        <v>704</v>
      </c>
      <c r="J713">
        <f t="shared" si="15"/>
        <v>105000</v>
      </c>
      <c r="K713" t="e">
        <f>VLOOKUP(B713,'REGISTRO ABONOS'!$B$8:$BC$10041,54,0)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hidden="1" x14ac:dyDescent="0.2">
      <c r="B714" s="31">
        <v>705</v>
      </c>
      <c r="J714">
        <f t="shared" si="15"/>
        <v>105000</v>
      </c>
      <c r="K714" t="e">
        <f>VLOOKUP(B714,'REGISTRO ABONOS'!$B$8:$BC$10041,54,0)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hidden="1" x14ac:dyDescent="0.2">
      <c r="B715" s="31">
        <v>706</v>
      </c>
      <c r="J715">
        <f t="shared" si="15"/>
        <v>105000</v>
      </c>
      <c r="K715" t="e">
        <f>VLOOKUP(B715,'REGISTRO ABONOS'!$B$8:$BC$10041,54,0)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hidden="1" x14ac:dyDescent="0.2">
      <c r="B716" s="31">
        <v>707</v>
      </c>
      <c r="J716">
        <f t="shared" si="15"/>
        <v>105000</v>
      </c>
      <c r="K716" t="e">
        <f>VLOOKUP(B716,'REGISTRO ABONOS'!$B$8:$BC$10041,54,0)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hidden="1" x14ac:dyDescent="0.2">
      <c r="B717" s="31">
        <v>708</v>
      </c>
      <c r="J717">
        <f t="shared" si="15"/>
        <v>105000</v>
      </c>
      <c r="K717" t="e">
        <f>VLOOKUP(B717,'REGISTRO ABONOS'!$B$8:$BC$10041,54,0)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hidden="1" x14ac:dyDescent="0.2">
      <c r="B718" s="31">
        <v>709</v>
      </c>
      <c r="J718">
        <f t="shared" si="15"/>
        <v>105000</v>
      </c>
      <c r="K718" t="e">
        <f>VLOOKUP(B718,'REGISTRO ABONOS'!$B$8:$BC$10041,54,0)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5"/>
        <v>105000</v>
      </c>
      <c r="K719" t="e">
        <f>VLOOKUP(B719,'REGISTRO ABONOS'!$B$8:$BC$10041,54,0)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hidden="1" x14ac:dyDescent="0.2">
      <c r="B720" s="31">
        <v>711</v>
      </c>
      <c r="J720">
        <f t="shared" si="15"/>
        <v>105000</v>
      </c>
      <c r="K720" t="e">
        <f>VLOOKUP(B720,'REGISTRO ABONOS'!$B$8:$BC$10041,54,0)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hidden="1" x14ac:dyDescent="0.2">
      <c r="B721" s="31">
        <v>712</v>
      </c>
      <c r="J721">
        <f t="shared" si="15"/>
        <v>105000</v>
      </c>
      <c r="K721" t="e">
        <f>VLOOKUP(B721,'REGISTRO ABONOS'!$B$8:$BC$10041,54,0)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hidden="1" x14ac:dyDescent="0.2">
      <c r="B722" s="31">
        <v>713</v>
      </c>
      <c r="J722">
        <f t="shared" si="15"/>
        <v>105000</v>
      </c>
      <c r="K722" t="e">
        <f>VLOOKUP(B722,'REGISTRO ABONOS'!$B$8:$BC$10041,54,0)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hidden="1" x14ac:dyDescent="0.2">
      <c r="B723" s="31">
        <v>714</v>
      </c>
      <c r="J723">
        <f t="shared" si="15"/>
        <v>105000</v>
      </c>
      <c r="K723" t="e">
        <f>VLOOKUP(B723,'REGISTRO ABONOS'!$B$8:$BC$10041,54,0)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5"/>
        <v>105000</v>
      </c>
      <c r="K724" t="e">
        <f>VLOOKUP(B724,'REGISTRO ABONOS'!$B$8:$BC$10041,54,0)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hidden="1" x14ac:dyDescent="0.2">
      <c r="B725" s="31">
        <v>716</v>
      </c>
      <c r="J725">
        <f t="shared" si="15"/>
        <v>105000</v>
      </c>
      <c r="K725" t="e">
        <f>VLOOKUP(B725,'REGISTRO ABONOS'!$B$8:$BC$10041,54,0)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hidden="1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ABONOS'!$B$8:$BC$10041,54,0)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hidden="1" x14ac:dyDescent="0.2">
      <c r="B727" s="31">
        <v>718</v>
      </c>
      <c r="J727">
        <f t="shared" si="16"/>
        <v>105000</v>
      </c>
      <c r="K727" t="e">
        <f>VLOOKUP(B727,'REGISTRO ABONOS'!$B$8:$BC$10041,54,0)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hidden="1" x14ac:dyDescent="0.2">
      <c r="B728" s="31">
        <v>719</v>
      </c>
      <c r="J728">
        <f t="shared" si="16"/>
        <v>105000</v>
      </c>
      <c r="K728" t="e">
        <f>VLOOKUP(B728,'REGISTRO ABONOS'!$B$8:$BC$10041,54,0)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hidden="1" x14ac:dyDescent="0.2">
      <c r="B729" s="31">
        <v>720</v>
      </c>
      <c r="J729">
        <f t="shared" si="16"/>
        <v>105000</v>
      </c>
      <c r="K729" t="e">
        <f>VLOOKUP(B729,'REGISTRO ABONOS'!$B$8:$BC$10041,54,0)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hidden="1" x14ac:dyDescent="0.2">
      <c r="B730" s="31">
        <v>721</v>
      </c>
      <c r="J730">
        <f t="shared" si="16"/>
        <v>105000</v>
      </c>
      <c r="K730" t="e">
        <f>VLOOKUP(B730,'REGISTRO ABONOS'!$B$8:$BC$10041,54,0)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hidden="1" x14ac:dyDescent="0.2">
      <c r="B731" s="31">
        <v>722</v>
      </c>
      <c r="J731">
        <f t="shared" si="16"/>
        <v>105000</v>
      </c>
      <c r="K731" t="e">
        <f>VLOOKUP(B731,'REGISTRO ABONOS'!$B$8:$BC$10041,54,0)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hidden="1" x14ac:dyDescent="0.2">
      <c r="B732" s="31">
        <v>723</v>
      </c>
      <c r="J732">
        <f t="shared" si="16"/>
        <v>105000</v>
      </c>
      <c r="K732" t="e">
        <f>VLOOKUP(B732,'REGISTRO ABONOS'!$B$8:$BC$10041,54,0)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hidden="1" x14ac:dyDescent="0.2">
      <c r="B733" s="31">
        <v>724</v>
      </c>
      <c r="J733">
        <f t="shared" si="16"/>
        <v>105000</v>
      </c>
      <c r="K733" t="e">
        <f>VLOOKUP(B733,'REGISTRO ABONOS'!$B$8:$BC$10041,54,0)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hidden="1" x14ac:dyDescent="0.2">
      <c r="B734" s="31">
        <v>725</v>
      </c>
      <c r="J734">
        <f t="shared" si="16"/>
        <v>105000</v>
      </c>
      <c r="K734" t="e">
        <f>VLOOKUP(B734,'REGISTRO ABONOS'!$B$8:$BC$10041,54,0)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hidden="1" x14ac:dyDescent="0.2">
      <c r="B735" s="31">
        <v>726</v>
      </c>
      <c r="J735">
        <f t="shared" si="16"/>
        <v>105000</v>
      </c>
      <c r="K735" t="e">
        <f>VLOOKUP(B735,'REGISTRO ABONOS'!$B$8:$BC$10041,54,0)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hidden="1" x14ac:dyDescent="0.2">
      <c r="B736" s="31">
        <v>727</v>
      </c>
      <c r="J736">
        <f t="shared" si="16"/>
        <v>105000</v>
      </c>
      <c r="K736" t="e">
        <f>VLOOKUP(B736,'REGISTRO ABONOS'!$B$8:$BC$10041,54,0)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hidden="1" x14ac:dyDescent="0.2">
      <c r="B737" s="31">
        <v>728</v>
      </c>
      <c r="J737">
        <f t="shared" si="16"/>
        <v>105000</v>
      </c>
      <c r="K737" t="e">
        <f>VLOOKUP(B737,'REGISTRO ABONOS'!$B$8:$BC$10041,54,0)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hidden="1" x14ac:dyDescent="0.2">
      <c r="B738" s="31">
        <v>729</v>
      </c>
      <c r="J738">
        <f t="shared" si="16"/>
        <v>105000</v>
      </c>
      <c r="K738" t="e">
        <f>VLOOKUP(B738,'REGISTRO ABONOS'!$B$8:$BC$10041,54,0)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hidden="1" x14ac:dyDescent="0.2">
      <c r="B739" s="31">
        <v>730</v>
      </c>
      <c r="J739">
        <f t="shared" si="16"/>
        <v>105000</v>
      </c>
      <c r="K739" t="e">
        <f>VLOOKUP(B739,'REGISTRO ABONOS'!$B$8:$BC$10041,54,0)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hidden="1" x14ac:dyDescent="0.2">
      <c r="B740" s="31">
        <v>731</v>
      </c>
      <c r="J740">
        <f t="shared" si="16"/>
        <v>105000</v>
      </c>
      <c r="K740" t="e">
        <f>VLOOKUP(B740,'REGISTRO ABONOS'!$B$8:$BC$10041,54,0)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hidden="1" x14ac:dyDescent="0.2">
      <c r="B741" s="31">
        <v>732</v>
      </c>
      <c r="J741">
        <f t="shared" si="16"/>
        <v>105000</v>
      </c>
      <c r="K741" t="e">
        <f>VLOOKUP(B741,'REGISTRO ABONOS'!$B$8:$BC$10041,54,0)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hidden="1" x14ac:dyDescent="0.2">
      <c r="B742" s="31">
        <v>733</v>
      </c>
      <c r="J742">
        <f t="shared" si="16"/>
        <v>105000</v>
      </c>
      <c r="K742" t="e">
        <f>VLOOKUP(B742,'REGISTRO ABONOS'!$B$8:$BC$10041,54,0)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hidden="1" x14ac:dyDescent="0.2">
      <c r="B743" s="31">
        <v>734</v>
      </c>
      <c r="J743">
        <f t="shared" si="16"/>
        <v>105000</v>
      </c>
      <c r="K743" t="e">
        <f>VLOOKUP(B743,'REGISTRO ABONOS'!$B$8:$BC$10041,54,0)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hidden="1" x14ac:dyDescent="0.2">
      <c r="B744" s="31">
        <v>735</v>
      </c>
      <c r="J744">
        <f t="shared" si="16"/>
        <v>105000</v>
      </c>
      <c r="K744" t="e">
        <f>VLOOKUP(B744,'REGISTRO ABONOS'!$B$8:$BC$10041,54,0)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hidden="1" x14ac:dyDescent="0.2">
      <c r="B745" s="31">
        <v>736</v>
      </c>
      <c r="J745">
        <f t="shared" si="16"/>
        <v>105000</v>
      </c>
      <c r="K745" t="e">
        <f>VLOOKUP(B745,'REGISTRO ABONOS'!$B$8:$BC$10041,54,0)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hidden="1" x14ac:dyDescent="0.2">
      <c r="B746" s="31">
        <v>737</v>
      </c>
      <c r="J746">
        <f t="shared" si="16"/>
        <v>105000</v>
      </c>
      <c r="K746" t="e">
        <f>VLOOKUP(B746,'REGISTRO ABONOS'!$B$8:$BC$10041,54,0)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hidden="1" x14ac:dyDescent="0.2">
      <c r="B747" s="31">
        <v>738</v>
      </c>
      <c r="J747">
        <f t="shared" si="16"/>
        <v>105000</v>
      </c>
      <c r="K747" t="e">
        <f>VLOOKUP(B747,'REGISTRO ABONOS'!$B$8:$BC$10041,54,0)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hidden="1" x14ac:dyDescent="0.2">
      <c r="B748" s="31">
        <v>739</v>
      </c>
      <c r="J748">
        <f t="shared" si="16"/>
        <v>105000</v>
      </c>
      <c r="K748" t="e">
        <f>VLOOKUP(B748,'REGISTRO ABONOS'!$B$8:$BC$10041,54,0)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hidden="1" x14ac:dyDescent="0.2">
      <c r="B749" s="31">
        <v>740</v>
      </c>
      <c r="J749">
        <f t="shared" si="16"/>
        <v>105000</v>
      </c>
      <c r="K749" t="e">
        <f>VLOOKUP(B749,'REGISTRO ABONOS'!$B$8:$BC$10041,54,0)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hidden="1" x14ac:dyDescent="0.2">
      <c r="B750" s="31">
        <v>741</v>
      </c>
      <c r="J750">
        <f t="shared" si="16"/>
        <v>105000</v>
      </c>
      <c r="K750" t="e">
        <f>VLOOKUP(B750,'REGISTRO ABONOS'!$B$8:$BC$10041,54,0)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hidden="1" x14ac:dyDescent="0.2">
      <c r="B751" s="31">
        <v>742</v>
      </c>
      <c r="J751">
        <f t="shared" si="16"/>
        <v>105000</v>
      </c>
      <c r="K751" t="e">
        <f>VLOOKUP(B751,'REGISTRO ABONOS'!$B$8:$BC$10041,54,0)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6"/>
        <v>105000</v>
      </c>
      <c r="K752" t="e">
        <f>VLOOKUP(B752,'REGISTRO ABONOS'!$B$8:$BC$10041,54,0)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hidden="1" x14ac:dyDescent="0.2">
      <c r="B753" s="31">
        <v>744</v>
      </c>
      <c r="J753">
        <f t="shared" si="16"/>
        <v>105000</v>
      </c>
      <c r="K753" t="e">
        <f>VLOOKUP(B753,'REGISTRO ABONOS'!$B$8:$BC$10041,54,0)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hidden="1" x14ac:dyDescent="0.2">
      <c r="B754" s="31">
        <v>745</v>
      </c>
      <c r="J754">
        <f t="shared" si="16"/>
        <v>105000</v>
      </c>
      <c r="K754" t="e">
        <f>VLOOKUP(B754,'REGISTRO ABONOS'!$B$8:$BC$10041,54,0)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hidden="1" x14ac:dyDescent="0.2">
      <c r="B755" s="31">
        <v>746</v>
      </c>
      <c r="J755">
        <f t="shared" si="16"/>
        <v>105000</v>
      </c>
      <c r="K755" t="e">
        <f>VLOOKUP(B755,'REGISTRO ABONOS'!$B$8:$BC$10041,54,0)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hidden="1" x14ac:dyDescent="0.2">
      <c r="B756" s="31">
        <v>747</v>
      </c>
      <c r="J756">
        <f t="shared" si="16"/>
        <v>105000</v>
      </c>
      <c r="K756" t="e">
        <f>VLOOKUP(B756,'REGISTRO ABONOS'!$B$8:$BC$10041,54,0)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hidden="1" x14ac:dyDescent="0.2">
      <c r="B757" s="31">
        <v>748</v>
      </c>
      <c r="J757">
        <f t="shared" si="16"/>
        <v>105000</v>
      </c>
      <c r="K757" t="e">
        <f>VLOOKUP(B757,'REGISTRO ABONOS'!$B$8:$BC$10041,54,0)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hidden="1" x14ac:dyDescent="0.2">
      <c r="B758" s="31">
        <v>749</v>
      </c>
      <c r="J758">
        <f t="shared" si="16"/>
        <v>105000</v>
      </c>
      <c r="K758" t="e">
        <f>VLOOKUP(B758,'REGISTRO ABONOS'!$B$8:$BC$10041,54,0)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hidden="1" x14ac:dyDescent="0.2">
      <c r="B759" s="31">
        <v>750</v>
      </c>
      <c r="J759">
        <f t="shared" si="16"/>
        <v>105000</v>
      </c>
      <c r="K759" t="e">
        <f>VLOOKUP(B759,'REGISTRO ABONOS'!$B$8:$BC$10041,54,0)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hidden="1" x14ac:dyDescent="0.2">
      <c r="B760" s="31">
        <v>751</v>
      </c>
      <c r="J760">
        <f t="shared" si="16"/>
        <v>105000</v>
      </c>
      <c r="K760" t="e">
        <f>VLOOKUP(B760,'REGISTRO ABONOS'!$B$8:$BC$10041,54,0)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hidden="1" x14ac:dyDescent="0.2">
      <c r="B761" s="31">
        <v>752</v>
      </c>
      <c r="J761">
        <f t="shared" si="16"/>
        <v>105000</v>
      </c>
      <c r="K761" t="e">
        <f>VLOOKUP(B761,'REGISTRO ABONOS'!$B$8:$BC$10041,54,0)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hidden="1" x14ac:dyDescent="0.2">
      <c r="B762" s="31">
        <v>753</v>
      </c>
      <c r="J762">
        <f t="shared" si="16"/>
        <v>105000</v>
      </c>
      <c r="K762" t="e">
        <f>VLOOKUP(B762,'REGISTRO ABONOS'!$B$8:$BC$10041,54,0)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hidden="1" x14ac:dyDescent="0.2">
      <c r="B763" s="31">
        <v>754</v>
      </c>
      <c r="J763">
        <f t="shared" si="16"/>
        <v>105000</v>
      </c>
      <c r="K763" t="e">
        <f>VLOOKUP(B763,'REGISTRO ABONOS'!$B$8:$BC$10041,54,0)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hidden="1" x14ac:dyDescent="0.2">
      <c r="B764" s="31">
        <v>755</v>
      </c>
      <c r="J764">
        <f t="shared" si="16"/>
        <v>105000</v>
      </c>
      <c r="K764" t="e">
        <f>VLOOKUP(B764,'REGISTRO ABONOS'!$B$8:$BC$10041,54,0)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hidden="1" x14ac:dyDescent="0.2">
      <c r="B765" s="31">
        <v>756</v>
      </c>
      <c r="J765">
        <f t="shared" si="16"/>
        <v>105000</v>
      </c>
      <c r="K765" t="e">
        <f>VLOOKUP(B765,'REGISTRO ABONOS'!$B$8:$BC$10041,54,0)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hidden="1" x14ac:dyDescent="0.2">
      <c r="B766" s="31">
        <v>757</v>
      </c>
      <c r="J766">
        <f t="shared" si="16"/>
        <v>105000</v>
      </c>
      <c r="K766" t="e">
        <f>VLOOKUP(B766,'REGISTRO ABONOS'!$B$8:$BC$10041,54,0)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hidden="1" x14ac:dyDescent="0.2">
      <c r="B767" s="31">
        <v>758</v>
      </c>
      <c r="J767">
        <f t="shared" si="16"/>
        <v>105000</v>
      </c>
      <c r="K767" t="e">
        <f>VLOOKUP(B767,'REGISTRO ABONOS'!$B$8:$BC$10041,54,0)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hidden="1" x14ac:dyDescent="0.2">
      <c r="B768" s="31">
        <v>759</v>
      </c>
      <c r="J768">
        <f t="shared" si="16"/>
        <v>105000</v>
      </c>
      <c r="K768" t="e">
        <f>VLOOKUP(B768,'REGISTRO ABONOS'!$B$8:$BC$10041,54,0)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hidden="1" x14ac:dyDescent="0.2">
      <c r="B769" s="31">
        <v>760</v>
      </c>
      <c r="J769">
        <f t="shared" si="16"/>
        <v>105000</v>
      </c>
      <c r="K769" t="e">
        <f>VLOOKUP(B769,'REGISTRO ABONOS'!$B$8:$BC$10041,54,0)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hidden="1" x14ac:dyDescent="0.2">
      <c r="B770" s="31">
        <v>761</v>
      </c>
      <c r="J770">
        <f t="shared" si="16"/>
        <v>105000</v>
      </c>
      <c r="K770" t="e">
        <f>VLOOKUP(B770,'REGISTRO ABONOS'!$B$8:$BC$10041,54,0)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hidden="1" x14ac:dyDescent="0.2">
      <c r="B771" s="31">
        <v>762</v>
      </c>
      <c r="J771">
        <f t="shared" si="16"/>
        <v>105000</v>
      </c>
      <c r="K771" t="e">
        <f>VLOOKUP(B771,'REGISTRO ABONOS'!$B$8:$BC$10041,54,0)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hidden="1" x14ac:dyDescent="0.2">
      <c r="B772" s="31">
        <v>763</v>
      </c>
      <c r="J772">
        <f t="shared" si="16"/>
        <v>105000</v>
      </c>
      <c r="K772" t="e">
        <f>VLOOKUP(B772,'REGISTRO ABONOS'!$B$8:$BC$10041,54,0)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hidden="1" x14ac:dyDescent="0.2">
      <c r="B773" s="31">
        <v>764</v>
      </c>
      <c r="J773">
        <f t="shared" si="16"/>
        <v>105000</v>
      </c>
      <c r="K773" t="e">
        <f>VLOOKUP(B773,'REGISTRO ABONOS'!$B$8:$BC$10041,54,0)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hidden="1" x14ac:dyDescent="0.2">
      <c r="B774" s="31">
        <v>765</v>
      </c>
      <c r="J774">
        <f t="shared" si="16"/>
        <v>105000</v>
      </c>
      <c r="K774" t="e">
        <f>VLOOKUP(B774,'REGISTRO ABONOS'!$B$8:$BC$10041,54,0)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hidden="1" x14ac:dyDescent="0.2">
      <c r="B775" s="31">
        <v>766</v>
      </c>
      <c r="J775">
        <f t="shared" si="16"/>
        <v>105000</v>
      </c>
      <c r="K775" t="e">
        <f>VLOOKUP(B775,'REGISTRO ABONOS'!$B$8:$BC$10041,54,0)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hidden="1" x14ac:dyDescent="0.2">
      <c r="B776" s="31">
        <v>767</v>
      </c>
      <c r="J776">
        <f t="shared" si="16"/>
        <v>105000</v>
      </c>
      <c r="K776" t="e">
        <f>VLOOKUP(B776,'REGISTRO ABONOS'!$B$8:$BC$10041,54,0)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hidden="1" x14ac:dyDescent="0.2">
      <c r="B777" s="31">
        <v>768</v>
      </c>
      <c r="J777">
        <f t="shared" si="16"/>
        <v>105000</v>
      </c>
      <c r="K777" t="e">
        <f>VLOOKUP(B777,'REGISTRO ABONOS'!$B$8:$BC$10041,54,0)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hidden="1" x14ac:dyDescent="0.2">
      <c r="B778" s="31">
        <v>769</v>
      </c>
      <c r="J778">
        <f t="shared" si="16"/>
        <v>105000</v>
      </c>
      <c r="K778" t="e">
        <f>VLOOKUP(B778,'REGISTRO ABONOS'!$B$8:$BC$10041,54,0)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hidden="1" x14ac:dyDescent="0.2">
      <c r="B779" s="31">
        <v>770</v>
      </c>
      <c r="J779">
        <f t="shared" si="16"/>
        <v>105000</v>
      </c>
      <c r="K779" t="e">
        <f>VLOOKUP(B779,'REGISTRO ABONOS'!$B$8:$BC$10041,54,0)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hidden="1" x14ac:dyDescent="0.2">
      <c r="B780" s="31">
        <v>771</v>
      </c>
      <c r="J780">
        <f t="shared" si="16"/>
        <v>105000</v>
      </c>
      <c r="K780" t="e">
        <f>VLOOKUP(B780,'REGISTRO ABONOS'!$B$8:$BC$10041,54,0)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hidden="1" x14ac:dyDescent="0.2">
      <c r="B781" s="31">
        <v>772</v>
      </c>
      <c r="J781">
        <f t="shared" si="16"/>
        <v>105000</v>
      </c>
      <c r="K781" t="e">
        <f>VLOOKUP(B781,'REGISTRO ABONOS'!$B$8:$BC$10041,54,0)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hidden="1" x14ac:dyDescent="0.2">
      <c r="B782" s="31">
        <v>773</v>
      </c>
      <c r="J782">
        <f t="shared" si="16"/>
        <v>105000</v>
      </c>
      <c r="K782" t="e">
        <f>VLOOKUP(B782,'REGISTRO ABONOS'!$B$8:$BC$10041,54,0)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hidden="1" x14ac:dyDescent="0.2">
      <c r="B783" s="31">
        <v>774</v>
      </c>
      <c r="J783">
        <f t="shared" si="16"/>
        <v>105000</v>
      </c>
      <c r="K783" t="e">
        <f>VLOOKUP(B783,'REGISTRO ABONOS'!$B$8:$BC$10041,54,0)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hidden="1" x14ac:dyDescent="0.2">
      <c r="B784" s="31">
        <v>775</v>
      </c>
      <c r="J784">
        <f t="shared" si="16"/>
        <v>105000</v>
      </c>
      <c r="K784" t="e">
        <f>VLOOKUP(B784,'REGISTRO ABONOS'!$B$8:$BC$10041,54,0)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hidden="1" x14ac:dyDescent="0.2">
      <c r="B785" s="31">
        <v>776</v>
      </c>
      <c r="J785">
        <f t="shared" si="16"/>
        <v>105000</v>
      </c>
      <c r="K785" t="e">
        <f>VLOOKUP(B785,'REGISTRO ABONOS'!$B$8:$BC$10041,54,0)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hidden="1" x14ac:dyDescent="0.2">
      <c r="B786" s="31">
        <v>777</v>
      </c>
      <c r="J786">
        <f t="shared" si="16"/>
        <v>105000</v>
      </c>
      <c r="K786" t="e">
        <f>VLOOKUP(B786,'REGISTRO ABONOS'!$B$8:$BC$10041,54,0)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hidden="1" x14ac:dyDescent="0.2">
      <c r="B787" s="31">
        <v>778</v>
      </c>
      <c r="J787">
        <f t="shared" si="16"/>
        <v>105000</v>
      </c>
      <c r="K787" t="e">
        <f>VLOOKUP(B787,'REGISTRO ABONOS'!$B$8:$BC$10041,54,0)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hidden="1" x14ac:dyDescent="0.2">
      <c r="B788" s="31">
        <v>779</v>
      </c>
      <c r="J788">
        <f t="shared" si="16"/>
        <v>105000</v>
      </c>
      <c r="K788" t="e">
        <f>VLOOKUP(B788,'REGISTRO ABONOS'!$B$8:$BC$10041,54,0)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hidden="1" x14ac:dyDescent="0.2">
      <c r="B789" s="31">
        <v>780</v>
      </c>
      <c r="J789">
        <f t="shared" si="16"/>
        <v>105000</v>
      </c>
      <c r="K789" t="e">
        <f>VLOOKUP(B789,'REGISTRO ABONOS'!$B$8:$BC$10041,54,0)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hidden="1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ABONOS'!$B$8:$BC$10041,54,0)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hidden="1" x14ac:dyDescent="0.2">
      <c r="B791" s="31">
        <v>782</v>
      </c>
      <c r="J791">
        <f t="shared" si="17"/>
        <v>105000</v>
      </c>
      <c r="K791" t="e">
        <f>VLOOKUP(B791,'REGISTRO ABONOS'!$B$8:$BC$10041,54,0)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hidden="1" x14ac:dyDescent="0.2">
      <c r="B792" s="31">
        <v>783</v>
      </c>
      <c r="J792">
        <f t="shared" si="17"/>
        <v>105000</v>
      </c>
      <c r="K792" t="e">
        <f>VLOOKUP(B792,'REGISTRO ABONOS'!$B$8:$BC$10041,54,0)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hidden="1" x14ac:dyDescent="0.2">
      <c r="B793" s="31">
        <v>784</v>
      </c>
      <c r="J793">
        <f t="shared" si="17"/>
        <v>105000</v>
      </c>
      <c r="K793" t="e">
        <f>VLOOKUP(B793,'REGISTRO ABONOS'!$B$8:$BC$10041,54,0)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hidden="1" x14ac:dyDescent="0.2">
      <c r="B794" s="31">
        <v>785</v>
      </c>
      <c r="J794">
        <f t="shared" si="17"/>
        <v>105000</v>
      </c>
      <c r="K794" t="e">
        <f>VLOOKUP(B794,'REGISTRO ABONOS'!$B$8:$BC$10041,54,0)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hidden="1" x14ac:dyDescent="0.2">
      <c r="B795" s="31">
        <v>786</v>
      </c>
      <c r="J795">
        <f t="shared" si="17"/>
        <v>105000</v>
      </c>
      <c r="K795" t="e">
        <f>VLOOKUP(B795,'REGISTRO ABONOS'!$B$8:$BC$10041,54,0)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hidden="1" x14ac:dyDescent="0.2">
      <c r="B796" s="31">
        <v>787</v>
      </c>
      <c r="J796">
        <f t="shared" si="17"/>
        <v>105000</v>
      </c>
      <c r="K796" t="e">
        <f>VLOOKUP(B796,'REGISTRO ABONOS'!$B$8:$BC$10041,54,0)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hidden="1" x14ac:dyDescent="0.2">
      <c r="B797" s="31">
        <v>788</v>
      </c>
      <c r="J797">
        <f t="shared" si="17"/>
        <v>105000</v>
      </c>
      <c r="K797" t="e">
        <f>VLOOKUP(B797,'REGISTRO ABONOS'!$B$8:$BC$10041,54,0)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hidden="1" x14ac:dyDescent="0.2">
      <c r="B798" s="31">
        <v>789</v>
      </c>
      <c r="J798">
        <f t="shared" si="17"/>
        <v>105000</v>
      </c>
      <c r="K798" t="e">
        <f>VLOOKUP(B798,'REGISTRO ABONOS'!$B$8:$BC$10041,54,0)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hidden="1" x14ac:dyDescent="0.2">
      <c r="B799" s="31">
        <v>790</v>
      </c>
      <c r="J799">
        <f t="shared" si="17"/>
        <v>105000</v>
      </c>
      <c r="K799" t="e">
        <f>VLOOKUP(B799,'REGISTRO ABONOS'!$B$8:$BC$10041,54,0)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hidden="1" x14ac:dyDescent="0.2">
      <c r="B800" s="31">
        <v>791</v>
      </c>
      <c r="J800">
        <f t="shared" si="17"/>
        <v>105000</v>
      </c>
      <c r="K800" t="e">
        <f>VLOOKUP(B800,'REGISTRO ABONOS'!$B$8:$BC$10041,54,0)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hidden="1" x14ac:dyDescent="0.2">
      <c r="B801" s="31">
        <v>792</v>
      </c>
      <c r="J801">
        <f t="shared" si="17"/>
        <v>105000</v>
      </c>
      <c r="K801" t="e">
        <f>VLOOKUP(B801,'REGISTRO ABONOS'!$B$8:$BC$10041,54,0)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hidden="1" x14ac:dyDescent="0.2">
      <c r="B802" s="31">
        <v>793</v>
      </c>
      <c r="J802">
        <f t="shared" si="17"/>
        <v>105000</v>
      </c>
      <c r="K802" t="e">
        <f>VLOOKUP(B802,'REGISTRO ABONOS'!$B$8:$BC$10041,54,0)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hidden="1" x14ac:dyDescent="0.2">
      <c r="B803" s="31">
        <v>794</v>
      </c>
      <c r="J803">
        <f t="shared" si="17"/>
        <v>105000</v>
      </c>
      <c r="K803" t="e">
        <f>VLOOKUP(B803,'REGISTRO ABONOS'!$B$8:$BC$10041,54,0)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hidden="1" x14ac:dyDescent="0.2">
      <c r="B804" s="31">
        <v>795</v>
      </c>
      <c r="J804">
        <f t="shared" si="17"/>
        <v>105000</v>
      </c>
      <c r="K804" t="e">
        <f>VLOOKUP(B804,'REGISTRO ABONOS'!$B$8:$BC$10041,54,0)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hidden="1" x14ac:dyDescent="0.2">
      <c r="B805" s="31">
        <v>796</v>
      </c>
      <c r="J805">
        <f t="shared" si="17"/>
        <v>105000</v>
      </c>
      <c r="K805" t="e">
        <f>VLOOKUP(B805,'REGISTRO ABONOS'!$B$8:$BC$10041,54,0)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hidden="1" x14ac:dyDescent="0.2">
      <c r="B806" s="31">
        <v>797</v>
      </c>
      <c r="J806">
        <f t="shared" si="17"/>
        <v>105000</v>
      </c>
      <c r="K806" t="e">
        <f>VLOOKUP(B806,'REGISTRO ABONOS'!$B$8:$BC$10041,54,0)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hidden="1" x14ac:dyDescent="0.2">
      <c r="B807" s="31">
        <v>798</v>
      </c>
      <c r="J807">
        <f t="shared" si="17"/>
        <v>105000</v>
      </c>
      <c r="K807" t="e">
        <f>VLOOKUP(B807,'REGISTRO ABONOS'!$B$8:$BC$10041,54,0)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hidden="1" x14ac:dyDescent="0.2">
      <c r="B808" s="31">
        <v>799</v>
      </c>
      <c r="J808">
        <f t="shared" si="17"/>
        <v>105000</v>
      </c>
      <c r="K808" t="e">
        <f>VLOOKUP(B808,'REGISTRO ABONOS'!$B$8:$BC$10041,54,0)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hidden="1" x14ac:dyDescent="0.2">
      <c r="B809" s="31">
        <v>800</v>
      </c>
      <c r="J809">
        <f t="shared" si="17"/>
        <v>105000</v>
      </c>
      <c r="K809" t="e">
        <f>VLOOKUP(B809,'REGISTRO ABONOS'!$B$8:$BC$10041,54,0)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hidden="1" x14ac:dyDescent="0.2">
      <c r="B810" s="31">
        <v>801</v>
      </c>
      <c r="J810">
        <f t="shared" si="17"/>
        <v>105000</v>
      </c>
      <c r="K810" t="e">
        <f>VLOOKUP(B810,'REGISTRO ABONOS'!$B$8:$BC$10041,54,0)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hidden="1" x14ac:dyDescent="0.2">
      <c r="B811" s="31">
        <v>802</v>
      </c>
      <c r="J811">
        <f t="shared" si="17"/>
        <v>105000</v>
      </c>
      <c r="K811" t="e">
        <f>VLOOKUP(B811,'REGISTRO ABONOS'!$B$8:$BC$10041,54,0)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hidden="1" x14ac:dyDescent="0.2">
      <c r="B812" s="31">
        <v>803</v>
      </c>
      <c r="J812">
        <f t="shared" si="17"/>
        <v>105000</v>
      </c>
      <c r="K812" t="e">
        <f>VLOOKUP(B812,'REGISTRO ABONOS'!$B$8:$BC$10041,54,0)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hidden="1" x14ac:dyDescent="0.2">
      <c r="B813" s="31">
        <v>804</v>
      </c>
      <c r="J813">
        <f t="shared" si="17"/>
        <v>105000</v>
      </c>
      <c r="K813" t="e">
        <f>VLOOKUP(B813,'REGISTRO ABONOS'!$B$8:$BC$10041,54,0)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hidden="1" x14ac:dyDescent="0.2">
      <c r="B814" s="31">
        <v>805</v>
      </c>
      <c r="J814">
        <f t="shared" si="17"/>
        <v>105000</v>
      </c>
      <c r="K814" t="e">
        <f>VLOOKUP(B814,'REGISTRO ABONOS'!$B$8:$BC$10041,54,0)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hidden="1" x14ac:dyDescent="0.2">
      <c r="B815" s="31">
        <v>806</v>
      </c>
      <c r="J815">
        <f t="shared" si="17"/>
        <v>105000</v>
      </c>
      <c r="K815" t="e">
        <f>VLOOKUP(B815,'REGISTRO ABONOS'!$B$8:$BC$10041,54,0)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hidden="1" x14ac:dyDescent="0.2">
      <c r="B816" s="31">
        <v>807</v>
      </c>
      <c r="J816">
        <f t="shared" si="17"/>
        <v>105000</v>
      </c>
      <c r="K816" t="e">
        <f>VLOOKUP(B816,'REGISTRO ABONOS'!$B$8:$BC$10041,54,0)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hidden="1" x14ac:dyDescent="0.2">
      <c r="B817" s="31">
        <v>808</v>
      </c>
      <c r="J817">
        <f t="shared" si="17"/>
        <v>105000</v>
      </c>
      <c r="K817" t="e">
        <f>VLOOKUP(B817,'REGISTRO ABONOS'!$B$8:$BC$10041,54,0)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hidden="1" x14ac:dyDescent="0.2">
      <c r="B818" s="31">
        <v>809</v>
      </c>
      <c r="J818">
        <f t="shared" si="17"/>
        <v>105000</v>
      </c>
      <c r="K818" t="e">
        <f>VLOOKUP(B818,'REGISTRO ABONOS'!$B$8:$BC$10041,54,0)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hidden="1" x14ac:dyDescent="0.2">
      <c r="B819" s="31">
        <v>810</v>
      </c>
      <c r="J819">
        <f t="shared" si="17"/>
        <v>105000</v>
      </c>
      <c r="K819" t="e">
        <f>VLOOKUP(B819,'REGISTRO ABONOS'!$B$8:$BC$10041,54,0)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hidden="1" x14ac:dyDescent="0.2">
      <c r="B820" s="31">
        <v>811</v>
      </c>
      <c r="J820">
        <f t="shared" si="17"/>
        <v>105000</v>
      </c>
      <c r="K820" t="e">
        <f>VLOOKUP(B820,'REGISTRO ABONOS'!$B$8:$BC$10041,54,0)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hidden="1" x14ac:dyDescent="0.2">
      <c r="B821" s="31">
        <v>812</v>
      </c>
      <c r="J821">
        <f t="shared" si="17"/>
        <v>105000</v>
      </c>
      <c r="K821" t="e">
        <f>VLOOKUP(B821,'REGISTRO ABONOS'!$B$8:$BC$10041,54,0)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hidden="1" x14ac:dyDescent="0.2">
      <c r="B822" s="31">
        <v>813</v>
      </c>
      <c r="J822">
        <f t="shared" si="17"/>
        <v>105000</v>
      </c>
      <c r="K822" t="e">
        <f>VLOOKUP(B822,'REGISTRO ABONOS'!$B$8:$BC$10041,54,0)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I823" t="s">
        <v>281</v>
      </c>
      <c r="J823">
        <f t="shared" si="17"/>
        <v>105000</v>
      </c>
      <c r="K823">
        <f>VLOOKUP(B823,'REGISTRO ABONOS'!$B$8:$BC$10041,54,0)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hidden="1" x14ac:dyDescent="0.2">
      <c r="B824" s="31">
        <v>815</v>
      </c>
      <c r="J824">
        <f t="shared" si="17"/>
        <v>105000</v>
      </c>
      <c r="K824" t="e">
        <f>VLOOKUP(B824,'REGISTRO ABONOS'!$B$8:$BC$10041,54,0)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hidden="1" x14ac:dyDescent="0.2">
      <c r="B825" s="31">
        <v>816</v>
      </c>
      <c r="J825">
        <f t="shared" si="17"/>
        <v>105000</v>
      </c>
      <c r="K825" t="e">
        <f>VLOOKUP(B825,'REGISTRO ABONOS'!$B$8:$BC$10041,54,0)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hidden="1" x14ac:dyDescent="0.2">
      <c r="B826" s="31">
        <v>817</v>
      </c>
      <c r="J826">
        <f t="shared" si="17"/>
        <v>105000</v>
      </c>
      <c r="K826" t="e">
        <f>VLOOKUP(B826,'REGISTRO ABONOS'!$B$8:$BC$10041,54,0)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hidden="1" x14ac:dyDescent="0.2">
      <c r="B827" s="31">
        <v>818</v>
      </c>
      <c r="J827">
        <f t="shared" si="17"/>
        <v>105000</v>
      </c>
      <c r="K827" t="e">
        <f>VLOOKUP(B827,'REGISTRO ABONOS'!$B$8:$BC$10041,54,0)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hidden="1" x14ac:dyDescent="0.2">
      <c r="B828" s="31">
        <v>819</v>
      </c>
      <c r="J828">
        <f t="shared" si="17"/>
        <v>105000</v>
      </c>
      <c r="K828" t="e">
        <f>VLOOKUP(B828,'REGISTRO ABONOS'!$B$8:$BC$10041,54,0)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hidden="1" x14ac:dyDescent="0.2">
      <c r="B829" s="31">
        <v>820</v>
      </c>
      <c r="J829">
        <f t="shared" si="17"/>
        <v>105000</v>
      </c>
      <c r="K829" t="e">
        <f>VLOOKUP(B829,'REGISTRO ABONOS'!$B$8:$BC$10041,54,0)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hidden="1" x14ac:dyDescent="0.2">
      <c r="B830" s="31">
        <v>821</v>
      </c>
      <c r="J830">
        <f t="shared" si="17"/>
        <v>105000</v>
      </c>
      <c r="K830" t="e">
        <f>VLOOKUP(B830,'REGISTRO ABONOS'!$B$8:$BC$10041,54,0)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hidden="1" x14ac:dyDescent="0.2">
      <c r="B831" s="31">
        <v>822</v>
      </c>
      <c r="J831">
        <f t="shared" si="17"/>
        <v>105000</v>
      </c>
      <c r="K831" t="e">
        <f>VLOOKUP(B831,'REGISTRO ABONOS'!$B$8:$BC$10041,54,0)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hidden="1" x14ac:dyDescent="0.2">
      <c r="B832" s="31">
        <v>823</v>
      </c>
      <c r="J832">
        <f t="shared" si="17"/>
        <v>105000</v>
      </c>
      <c r="K832" t="e">
        <f>VLOOKUP(B832,'REGISTRO ABONOS'!$B$8:$BC$10041,54,0)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hidden="1" x14ac:dyDescent="0.2">
      <c r="B833" s="31">
        <v>824</v>
      </c>
      <c r="J833">
        <f t="shared" si="17"/>
        <v>105000</v>
      </c>
      <c r="K833" t="e">
        <f>VLOOKUP(B833,'REGISTRO ABONOS'!$B$8:$BC$10041,54,0)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hidden="1" x14ac:dyDescent="0.2">
      <c r="B834" s="31">
        <v>825</v>
      </c>
      <c r="J834">
        <f t="shared" si="17"/>
        <v>105000</v>
      </c>
      <c r="K834" t="e">
        <f>VLOOKUP(B834,'REGISTRO ABONOS'!$B$8:$BC$10041,54,0)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hidden="1" x14ac:dyDescent="0.2">
      <c r="B835" s="31">
        <v>826</v>
      </c>
      <c r="J835">
        <f t="shared" si="17"/>
        <v>105000</v>
      </c>
      <c r="K835" t="e">
        <f>VLOOKUP(B835,'REGISTRO ABONOS'!$B$8:$BC$10041,54,0)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hidden="1" x14ac:dyDescent="0.2">
      <c r="B836" s="31">
        <v>827</v>
      </c>
      <c r="J836">
        <f t="shared" si="17"/>
        <v>105000</v>
      </c>
      <c r="K836" t="e">
        <f>VLOOKUP(B836,'REGISTRO ABONOS'!$B$8:$BC$10041,54,0)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hidden="1" x14ac:dyDescent="0.2">
      <c r="B837" s="31">
        <v>828</v>
      </c>
      <c r="J837">
        <f t="shared" si="17"/>
        <v>105000</v>
      </c>
      <c r="K837" t="e">
        <f>VLOOKUP(B837,'REGISTRO ABONOS'!$B$8:$BC$10041,54,0)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hidden="1" x14ac:dyDescent="0.2">
      <c r="B838" s="31">
        <v>829</v>
      </c>
      <c r="J838">
        <f t="shared" si="17"/>
        <v>105000</v>
      </c>
      <c r="K838" t="e">
        <f>VLOOKUP(B838,'REGISTRO ABONOS'!$B$8:$BC$10041,54,0)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hidden="1" x14ac:dyDescent="0.2">
      <c r="B839" s="31">
        <v>830</v>
      </c>
      <c r="J839">
        <f t="shared" si="17"/>
        <v>105000</v>
      </c>
      <c r="K839" t="e">
        <f>VLOOKUP(B839,'REGISTRO ABONOS'!$B$8:$BC$10041,54,0)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hidden="1" x14ac:dyDescent="0.2">
      <c r="B840" s="31">
        <v>831</v>
      </c>
      <c r="J840">
        <f t="shared" si="17"/>
        <v>105000</v>
      </c>
      <c r="K840" t="e">
        <f>VLOOKUP(B840,'REGISTRO ABONOS'!$B$8:$BC$10041,54,0)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hidden="1" x14ac:dyDescent="0.2">
      <c r="B841" s="31">
        <v>832</v>
      </c>
      <c r="J841">
        <f t="shared" si="17"/>
        <v>105000</v>
      </c>
      <c r="K841" t="e">
        <f>VLOOKUP(B841,'REGISTRO ABONOS'!$B$8:$BC$10041,54,0)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hidden="1" x14ac:dyDescent="0.2">
      <c r="B842" s="31">
        <v>833</v>
      </c>
      <c r="J842">
        <f t="shared" si="17"/>
        <v>105000</v>
      </c>
      <c r="K842" t="e">
        <f>VLOOKUP(B842,'REGISTRO ABONOS'!$B$8:$BC$10041,54,0)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hidden="1" x14ac:dyDescent="0.2">
      <c r="B843" s="31">
        <v>834</v>
      </c>
      <c r="J843">
        <f t="shared" si="17"/>
        <v>105000</v>
      </c>
      <c r="K843" t="e">
        <f>VLOOKUP(B843,'REGISTRO ABONOS'!$B$8:$BC$10041,54,0)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hidden="1" x14ac:dyDescent="0.2">
      <c r="B844" s="31">
        <v>835</v>
      </c>
      <c r="J844">
        <f t="shared" si="17"/>
        <v>105000</v>
      </c>
      <c r="K844" t="e">
        <f>VLOOKUP(B844,'REGISTRO ABONOS'!$B$8:$BC$10041,54,0)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hidden="1" x14ac:dyDescent="0.2">
      <c r="B845" s="31">
        <v>836</v>
      </c>
      <c r="J845">
        <f t="shared" si="17"/>
        <v>105000</v>
      </c>
      <c r="K845" t="e">
        <f>VLOOKUP(B845,'REGISTRO ABONOS'!$B$8:$BC$10041,54,0)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7"/>
        <v>105000</v>
      </c>
      <c r="K846" t="e">
        <f>VLOOKUP(B846,'REGISTRO ABONOS'!$B$8:$BC$10041,54,0)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hidden="1" x14ac:dyDescent="0.2">
      <c r="B847" s="31">
        <v>838</v>
      </c>
      <c r="J847">
        <f t="shared" si="17"/>
        <v>105000</v>
      </c>
      <c r="K847" t="e">
        <f>VLOOKUP(B847,'REGISTRO ABONOS'!$B$8:$BC$10041,54,0)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hidden="1" x14ac:dyDescent="0.2">
      <c r="B848" s="31">
        <v>839</v>
      </c>
      <c r="J848">
        <f t="shared" si="17"/>
        <v>105000</v>
      </c>
      <c r="K848" t="e">
        <f>VLOOKUP(B848,'REGISTRO ABONOS'!$B$8:$BC$10041,54,0)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hidden="1" x14ac:dyDescent="0.2">
      <c r="B849" s="31">
        <v>840</v>
      </c>
      <c r="J849">
        <f t="shared" si="17"/>
        <v>105000</v>
      </c>
      <c r="K849" t="e">
        <f>VLOOKUP(B849,'REGISTRO ABONOS'!$B$8:$BC$10041,54,0)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hidden="1" x14ac:dyDescent="0.2">
      <c r="B850" s="31">
        <v>841</v>
      </c>
      <c r="J850">
        <f t="shared" si="17"/>
        <v>105000</v>
      </c>
      <c r="K850" t="e">
        <f>VLOOKUP(B850,'REGISTRO ABONOS'!$B$8:$BC$10041,54,0)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hidden="1" x14ac:dyDescent="0.2">
      <c r="B851" s="31">
        <v>842</v>
      </c>
      <c r="J851">
        <f t="shared" si="17"/>
        <v>105000</v>
      </c>
      <c r="K851" t="e">
        <f>VLOOKUP(B851,'REGISTRO ABONOS'!$B$8:$BC$10041,54,0)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hidden="1" x14ac:dyDescent="0.2">
      <c r="B852" s="31">
        <v>843</v>
      </c>
      <c r="J852">
        <f t="shared" si="17"/>
        <v>105000</v>
      </c>
      <c r="K852" t="e">
        <f>VLOOKUP(B852,'REGISTRO ABONOS'!$B$8:$BC$10041,54,0)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hidden="1" x14ac:dyDescent="0.2">
      <c r="B853" s="31">
        <v>844</v>
      </c>
      <c r="J853">
        <f t="shared" si="17"/>
        <v>105000</v>
      </c>
      <c r="K853" t="e">
        <f>VLOOKUP(B853,'REGISTRO ABONOS'!$B$8:$BC$10041,54,0)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hidden="1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ABONOS'!$B$8:$BC$10041,54,0)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hidden="1" x14ac:dyDescent="0.2">
      <c r="B855" s="31">
        <v>846</v>
      </c>
      <c r="J855">
        <f t="shared" si="18"/>
        <v>105000</v>
      </c>
      <c r="K855" t="e">
        <f>VLOOKUP(B855,'REGISTRO ABONOS'!$B$8:$BC$10041,54,0)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hidden="1" x14ac:dyDescent="0.2">
      <c r="B856" s="31">
        <v>847</v>
      </c>
      <c r="J856">
        <f t="shared" si="18"/>
        <v>105000</v>
      </c>
      <c r="K856" t="e">
        <f>VLOOKUP(B856,'REGISTRO ABONOS'!$B$8:$BC$10041,54,0)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hidden="1" x14ac:dyDescent="0.2">
      <c r="B857" s="31">
        <v>848</v>
      </c>
      <c r="J857">
        <f t="shared" si="18"/>
        <v>105000</v>
      </c>
      <c r="K857" t="e">
        <f>VLOOKUP(B857,'REGISTRO ABONOS'!$B$8:$BC$10041,54,0)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hidden="1" x14ac:dyDescent="0.2">
      <c r="B858" s="31">
        <v>849</v>
      </c>
      <c r="J858">
        <f t="shared" si="18"/>
        <v>105000</v>
      </c>
      <c r="K858" t="e">
        <f>VLOOKUP(B858,'REGISTRO ABONOS'!$B$8:$BC$10041,54,0)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hidden="1" x14ac:dyDescent="0.2">
      <c r="B859" s="31">
        <v>850</v>
      </c>
      <c r="C859" s="10">
        <v>43571</v>
      </c>
      <c r="D859" t="s">
        <v>526</v>
      </c>
      <c r="H859" t="s">
        <v>526</v>
      </c>
      <c r="I859" t="s">
        <v>322</v>
      </c>
      <c r="J859">
        <f t="shared" si="18"/>
        <v>105000</v>
      </c>
      <c r="K859" t="e">
        <f>VLOOKUP(B859,'REGISTRO ABONOS'!$B$8:$BC$10041,54,0)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hidden="1" x14ac:dyDescent="0.2">
      <c r="B860" s="31">
        <v>851</v>
      </c>
      <c r="J860">
        <f t="shared" si="18"/>
        <v>105000</v>
      </c>
      <c r="K860" t="e">
        <f>VLOOKUP(B860,'REGISTRO ABONOS'!$B$8:$BC$10041,54,0)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hidden="1" x14ac:dyDescent="0.2">
      <c r="B861" s="31">
        <v>852</v>
      </c>
      <c r="J861">
        <f t="shared" si="18"/>
        <v>105000</v>
      </c>
      <c r="K861" t="e">
        <f>VLOOKUP(B861,'REGISTRO ABONOS'!$B$8:$BC$10041,54,0)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hidden="1" x14ac:dyDescent="0.2">
      <c r="B862" s="31">
        <v>853</v>
      </c>
      <c r="J862">
        <f t="shared" si="18"/>
        <v>105000</v>
      </c>
      <c r="K862" t="e">
        <f>VLOOKUP(B862,'REGISTRO ABONOS'!$B$8:$BC$10041,54,0)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hidden="1" x14ac:dyDescent="0.2">
      <c r="B863" s="31">
        <v>854</v>
      </c>
      <c r="J863">
        <f t="shared" si="18"/>
        <v>105000</v>
      </c>
      <c r="K863" t="e">
        <f>VLOOKUP(B863,'REGISTRO ABONOS'!$B$8:$BC$10041,54,0)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hidden="1" x14ac:dyDescent="0.2">
      <c r="B864" s="31">
        <v>855</v>
      </c>
      <c r="J864">
        <f t="shared" si="18"/>
        <v>105000</v>
      </c>
      <c r="K864" t="e">
        <f>VLOOKUP(B864,'REGISTRO ABONOS'!$B$8:$BC$10041,54,0)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hidden="1" x14ac:dyDescent="0.2">
      <c r="B865" s="31">
        <v>856</v>
      </c>
      <c r="J865">
        <f t="shared" si="18"/>
        <v>105000</v>
      </c>
      <c r="K865" t="e">
        <f>VLOOKUP(B865,'REGISTRO ABONOS'!$B$8:$BC$10041,54,0)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hidden="1" x14ac:dyDescent="0.2">
      <c r="B866" s="31">
        <v>857</v>
      </c>
      <c r="J866">
        <f t="shared" si="18"/>
        <v>105000</v>
      </c>
      <c r="K866" t="e">
        <f>VLOOKUP(B866,'REGISTRO ABONOS'!$B$8:$BC$10041,54,0)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hidden="1" x14ac:dyDescent="0.2">
      <c r="B867" s="31">
        <v>858</v>
      </c>
      <c r="J867">
        <f t="shared" si="18"/>
        <v>105000</v>
      </c>
      <c r="K867" t="e">
        <f>VLOOKUP(B867,'REGISTRO ABONOS'!$B$8:$BC$10041,54,0)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8"/>
        <v>105000</v>
      </c>
      <c r="K868" t="e">
        <f>VLOOKUP(B868,'REGISTRO ABONOS'!$B$8:$BC$10041,54,0)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hidden="1" x14ac:dyDescent="0.2">
      <c r="B869" s="31">
        <v>860</v>
      </c>
      <c r="J869">
        <f t="shared" si="18"/>
        <v>105000</v>
      </c>
      <c r="K869" t="e">
        <f>VLOOKUP(B869,'REGISTRO ABONOS'!$B$8:$BC$10041,54,0)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hidden="1" x14ac:dyDescent="0.2">
      <c r="B870" s="31">
        <v>861</v>
      </c>
      <c r="J870">
        <f t="shared" si="18"/>
        <v>105000</v>
      </c>
      <c r="K870" t="e">
        <f>VLOOKUP(B870,'REGISTRO ABONOS'!$B$8:$BC$10041,54,0)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hidden="1" x14ac:dyDescent="0.2">
      <c r="B871" s="31">
        <v>862</v>
      </c>
      <c r="J871">
        <f t="shared" si="18"/>
        <v>105000</v>
      </c>
      <c r="K871" t="e">
        <f>VLOOKUP(B871,'REGISTRO ABONOS'!$B$8:$BC$10041,54,0)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hidden="1" x14ac:dyDescent="0.2">
      <c r="B872" s="31">
        <v>863</v>
      </c>
      <c r="J872">
        <f t="shared" si="18"/>
        <v>105000</v>
      </c>
      <c r="K872" t="e">
        <f>VLOOKUP(B872,'REGISTRO ABONOS'!$B$8:$BC$10041,54,0)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hidden="1" x14ac:dyDescent="0.2">
      <c r="B873" s="31">
        <v>864</v>
      </c>
      <c r="J873">
        <f t="shared" si="18"/>
        <v>105000</v>
      </c>
      <c r="K873" t="e">
        <f>VLOOKUP(B873,'REGISTRO ABONOS'!$B$8:$BC$10041,54,0)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hidden="1" x14ac:dyDescent="0.2">
      <c r="B874" s="31">
        <v>865</v>
      </c>
      <c r="J874">
        <f t="shared" si="18"/>
        <v>105000</v>
      </c>
      <c r="K874" t="e">
        <f>VLOOKUP(B874,'REGISTRO ABONOS'!$B$8:$BC$10041,54,0)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hidden="1" x14ac:dyDescent="0.2">
      <c r="B875" s="31">
        <v>866</v>
      </c>
      <c r="J875">
        <f t="shared" si="18"/>
        <v>105000</v>
      </c>
      <c r="K875" t="e">
        <f>VLOOKUP(B875,'REGISTRO ABONOS'!$B$8:$BC$10041,54,0)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hidden="1" x14ac:dyDescent="0.2">
      <c r="B876" s="31">
        <v>867</v>
      </c>
      <c r="J876">
        <f t="shared" si="18"/>
        <v>105000</v>
      </c>
      <c r="K876" t="e">
        <f>VLOOKUP(B876,'REGISTRO ABONOS'!$B$8:$BC$10041,54,0)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hidden="1" x14ac:dyDescent="0.2">
      <c r="B877" s="31">
        <v>868</v>
      </c>
      <c r="J877">
        <f t="shared" si="18"/>
        <v>105000</v>
      </c>
      <c r="K877" t="e">
        <f>VLOOKUP(B877,'REGISTRO ABONOS'!$B$8:$BC$10041,54,0)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hidden="1" x14ac:dyDescent="0.2">
      <c r="B878" s="31">
        <v>869</v>
      </c>
      <c r="J878">
        <f t="shared" si="18"/>
        <v>105000</v>
      </c>
      <c r="K878" t="e">
        <f>VLOOKUP(B878,'REGISTRO ABONOS'!$B$8:$BC$10041,54,0)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hidden="1" x14ac:dyDescent="0.2">
      <c r="B879" s="31">
        <v>870</v>
      </c>
      <c r="J879">
        <f t="shared" si="18"/>
        <v>105000</v>
      </c>
      <c r="K879" t="e">
        <f>VLOOKUP(B879,'REGISTRO ABONOS'!$B$8:$BC$10041,54,0)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hidden="1" x14ac:dyDescent="0.2">
      <c r="B880" s="31">
        <v>871</v>
      </c>
      <c r="J880">
        <f t="shared" si="18"/>
        <v>105000</v>
      </c>
      <c r="K880" t="e">
        <f>VLOOKUP(B880,'REGISTRO ABONOS'!$B$8:$BC$10041,54,0)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hidden="1" x14ac:dyDescent="0.2">
      <c r="B881" s="31">
        <v>872</v>
      </c>
      <c r="J881">
        <f t="shared" si="18"/>
        <v>105000</v>
      </c>
      <c r="K881" t="e">
        <f>VLOOKUP(B881,'REGISTRO ABONOS'!$B$8:$BC$10041,54,0)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hidden="1" x14ac:dyDescent="0.2">
      <c r="B882" s="31">
        <v>873</v>
      </c>
      <c r="J882">
        <f t="shared" si="18"/>
        <v>105000</v>
      </c>
      <c r="K882" t="e">
        <f>VLOOKUP(B882,'REGISTRO ABONOS'!$B$8:$BC$10041,54,0)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hidden="1" x14ac:dyDescent="0.2">
      <c r="B883" s="31">
        <v>874</v>
      </c>
      <c r="J883">
        <f t="shared" si="18"/>
        <v>105000</v>
      </c>
      <c r="K883" t="e">
        <f>VLOOKUP(B883,'REGISTRO ABONOS'!$B$8:$BC$10041,54,0)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hidden="1" x14ac:dyDescent="0.2">
      <c r="B884" s="31">
        <v>875</v>
      </c>
      <c r="J884">
        <f t="shared" si="18"/>
        <v>105000</v>
      </c>
      <c r="K884" t="e">
        <f>VLOOKUP(B884,'REGISTRO ABONOS'!$B$8:$BC$10041,54,0)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hidden="1" x14ac:dyDescent="0.2">
      <c r="B885" s="31">
        <v>876</v>
      </c>
      <c r="J885">
        <f t="shared" si="18"/>
        <v>105000</v>
      </c>
      <c r="K885" t="e">
        <f>VLOOKUP(B885,'REGISTRO ABONOS'!$B$8:$BC$10041,54,0)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hidden="1" x14ac:dyDescent="0.2">
      <c r="B886" s="31">
        <v>877</v>
      </c>
      <c r="J886">
        <f t="shared" si="18"/>
        <v>105000</v>
      </c>
      <c r="K886" t="e">
        <f>VLOOKUP(B886,'REGISTRO ABONOS'!$B$8:$BC$10041,54,0)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hidden="1" x14ac:dyDescent="0.2">
      <c r="B887" s="31">
        <v>878</v>
      </c>
      <c r="J887">
        <f t="shared" si="18"/>
        <v>105000</v>
      </c>
      <c r="K887" t="e">
        <f>VLOOKUP(B887,'REGISTRO ABONOS'!$B$8:$BC$10041,54,0)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hidden="1" x14ac:dyDescent="0.2">
      <c r="B888" s="31">
        <v>879</v>
      </c>
      <c r="J888">
        <f t="shared" si="18"/>
        <v>105000</v>
      </c>
      <c r="K888" t="e">
        <f>VLOOKUP(B888,'REGISTRO ABONOS'!$B$8:$BC$10041,54,0)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hidden="1" x14ac:dyDescent="0.2">
      <c r="B889" s="31">
        <v>880</v>
      </c>
      <c r="J889">
        <f t="shared" si="18"/>
        <v>105000</v>
      </c>
      <c r="K889" t="e">
        <f>VLOOKUP(B889,'REGISTRO ABONOS'!$B$8:$BC$10041,54,0)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hidden="1" x14ac:dyDescent="0.2">
      <c r="B890" s="31">
        <v>881</v>
      </c>
      <c r="J890">
        <f t="shared" si="18"/>
        <v>105000</v>
      </c>
      <c r="K890" t="e">
        <f>VLOOKUP(B890,'REGISTRO ABONOS'!$B$8:$BC$10041,54,0)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hidden="1" x14ac:dyDescent="0.2">
      <c r="B891" s="31">
        <v>882</v>
      </c>
      <c r="J891">
        <f t="shared" si="18"/>
        <v>105000</v>
      </c>
      <c r="K891" t="e">
        <f>VLOOKUP(B891,'REGISTRO ABONOS'!$B$8:$BC$10041,54,0)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hidden="1" x14ac:dyDescent="0.2">
      <c r="B892" s="31">
        <v>883</v>
      </c>
      <c r="J892">
        <f t="shared" si="18"/>
        <v>105000</v>
      </c>
      <c r="K892" t="e">
        <f>VLOOKUP(B892,'REGISTRO ABONOS'!$B$8:$BC$10041,54,0)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hidden="1" x14ac:dyDescent="0.2">
      <c r="B893" s="31">
        <v>884</v>
      </c>
      <c r="J893">
        <f t="shared" si="18"/>
        <v>105000</v>
      </c>
      <c r="K893" t="e">
        <f>VLOOKUP(B893,'REGISTRO ABONOS'!$B$8:$BC$10041,54,0)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hidden="1" x14ac:dyDescent="0.2">
      <c r="B894" s="31">
        <v>885</v>
      </c>
      <c r="J894">
        <f t="shared" si="18"/>
        <v>105000</v>
      </c>
      <c r="K894" t="e">
        <f>VLOOKUP(B894,'REGISTRO ABONOS'!$B$8:$BC$10041,54,0)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hidden="1" x14ac:dyDescent="0.2">
      <c r="B895" s="31">
        <v>886</v>
      </c>
      <c r="J895">
        <f t="shared" si="18"/>
        <v>105000</v>
      </c>
      <c r="K895" t="e">
        <f>VLOOKUP(B895,'REGISTRO ABONOS'!$B$8:$BC$10041,54,0)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hidden="1" x14ac:dyDescent="0.2">
      <c r="B896" s="31">
        <v>887</v>
      </c>
      <c r="J896">
        <f t="shared" si="18"/>
        <v>105000</v>
      </c>
      <c r="K896" t="e">
        <f>VLOOKUP(B896,'REGISTRO ABONOS'!$B$8:$BC$10041,54,0)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hidden="1" x14ac:dyDescent="0.2">
      <c r="B897" s="31">
        <v>888</v>
      </c>
      <c r="J897">
        <f t="shared" si="18"/>
        <v>105000</v>
      </c>
      <c r="K897" t="e">
        <f>VLOOKUP(B897,'REGISTRO ABONOS'!$B$8:$BC$10041,54,0)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hidden="1" x14ac:dyDescent="0.2">
      <c r="B898" s="31">
        <v>889</v>
      </c>
      <c r="J898">
        <f t="shared" si="18"/>
        <v>105000</v>
      </c>
      <c r="K898" t="e">
        <f>VLOOKUP(B898,'REGISTRO ABONOS'!$B$8:$BC$10041,54,0)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hidden="1" x14ac:dyDescent="0.2">
      <c r="B899" s="31">
        <v>890</v>
      </c>
      <c r="J899">
        <f t="shared" si="18"/>
        <v>105000</v>
      </c>
      <c r="K899" t="e">
        <f>VLOOKUP(B899,'REGISTRO ABONOS'!$B$8:$BC$10041,54,0)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hidden="1" x14ac:dyDescent="0.2">
      <c r="B900" s="31">
        <v>891</v>
      </c>
      <c r="J900">
        <f t="shared" si="18"/>
        <v>105000</v>
      </c>
      <c r="K900" t="e">
        <f>VLOOKUP(B900,'REGISTRO ABONOS'!$B$8:$BC$10041,54,0)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hidden="1" x14ac:dyDescent="0.2">
      <c r="B901" s="31">
        <v>892</v>
      </c>
      <c r="J901">
        <f t="shared" si="18"/>
        <v>105000</v>
      </c>
      <c r="K901" t="e">
        <f>VLOOKUP(B901,'REGISTRO ABONOS'!$B$8:$BC$10041,54,0)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hidden="1" x14ac:dyDescent="0.2">
      <c r="B902" s="31">
        <v>893</v>
      </c>
      <c r="J902">
        <f t="shared" si="18"/>
        <v>105000</v>
      </c>
      <c r="K902" t="e">
        <f>VLOOKUP(B902,'REGISTRO ABONOS'!$B$8:$BC$10041,54,0)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hidden="1" x14ac:dyDescent="0.2">
      <c r="B903" s="31">
        <v>894</v>
      </c>
      <c r="J903">
        <f t="shared" si="18"/>
        <v>105000</v>
      </c>
      <c r="K903" t="e">
        <f>VLOOKUP(B903,'REGISTRO ABONOS'!$B$8:$BC$10041,54,0)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hidden="1" x14ac:dyDescent="0.2">
      <c r="B904" s="31">
        <v>895</v>
      </c>
      <c r="J904">
        <f t="shared" si="18"/>
        <v>105000</v>
      </c>
      <c r="K904" t="e">
        <f>VLOOKUP(B904,'REGISTRO ABONOS'!$B$8:$BC$10041,54,0)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hidden="1" x14ac:dyDescent="0.2">
      <c r="B905" s="31">
        <v>896</v>
      </c>
      <c r="J905">
        <f t="shared" si="18"/>
        <v>105000</v>
      </c>
      <c r="K905" t="e">
        <f>VLOOKUP(B905,'REGISTRO ABONOS'!$B$8:$BC$10041,54,0)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hidden="1" x14ac:dyDescent="0.2">
      <c r="B906" s="31">
        <v>897</v>
      </c>
      <c r="J906">
        <f t="shared" si="18"/>
        <v>105000</v>
      </c>
      <c r="K906" t="e">
        <f>VLOOKUP(B906,'REGISTRO ABONOS'!$B$8:$BC$10041,54,0)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hidden="1" x14ac:dyDescent="0.2">
      <c r="B907" s="31">
        <v>898</v>
      </c>
      <c r="J907">
        <f t="shared" si="18"/>
        <v>105000</v>
      </c>
      <c r="K907" t="e">
        <f>VLOOKUP(B907,'REGISTRO ABONOS'!$B$8:$BC$10041,54,0)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hidden="1" x14ac:dyDescent="0.2">
      <c r="B908" s="31">
        <v>899</v>
      </c>
      <c r="J908">
        <f t="shared" si="18"/>
        <v>105000</v>
      </c>
      <c r="K908" t="e">
        <f>VLOOKUP(B908,'REGISTRO ABONOS'!$B$8:$BC$10041,54,0)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hidden="1" x14ac:dyDescent="0.2">
      <c r="B909" s="31">
        <v>900</v>
      </c>
      <c r="J909">
        <f t="shared" si="18"/>
        <v>105000</v>
      </c>
      <c r="K909" t="e">
        <f>VLOOKUP(B909,'REGISTRO ABONOS'!$B$8:$BC$10041,54,0)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hidden="1" x14ac:dyDescent="0.2">
      <c r="B910" s="31">
        <v>901</v>
      </c>
      <c r="J910">
        <f t="shared" si="18"/>
        <v>105000</v>
      </c>
      <c r="K910" t="e">
        <f>VLOOKUP(B910,'REGISTRO ABONOS'!$B$8:$BC$10041,54,0)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hidden="1" x14ac:dyDescent="0.2">
      <c r="B911" s="31">
        <v>902</v>
      </c>
      <c r="J911">
        <f t="shared" si="18"/>
        <v>105000</v>
      </c>
      <c r="K911" t="e">
        <f>VLOOKUP(B911,'REGISTRO ABONOS'!$B$8:$BC$10041,54,0)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hidden="1" x14ac:dyDescent="0.2">
      <c r="B912" s="31">
        <v>903</v>
      </c>
      <c r="J912">
        <f t="shared" si="18"/>
        <v>105000</v>
      </c>
      <c r="K912" t="e">
        <f>VLOOKUP(B912,'REGISTRO ABONOS'!$B$8:$BC$10041,54,0)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hidden="1" x14ac:dyDescent="0.2">
      <c r="B913" s="31">
        <v>904</v>
      </c>
      <c r="J913">
        <f t="shared" si="18"/>
        <v>105000</v>
      </c>
      <c r="K913" t="e">
        <f>VLOOKUP(B913,'REGISTRO ABONOS'!$B$8:$BC$10041,54,0)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hidden="1" x14ac:dyDescent="0.2">
      <c r="B914" s="31">
        <v>905</v>
      </c>
      <c r="J914">
        <f t="shared" si="18"/>
        <v>105000</v>
      </c>
      <c r="K914" t="e">
        <f>VLOOKUP(B914,'REGISTRO ABONOS'!$B$8:$BC$10041,54,0)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hidden="1" x14ac:dyDescent="0.2">
      <c r="B915" s="31">
        <v>906</v>
      </c>
      <c r="J915">
        <f t="shared" si="18"/>
        <v>105000</v>
      </c>
      <c r="K915" t="e">
        <f>VLOOKUP(B915,'REGISTRO ABONOS'!$B$8:$BC$10041,54,0)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hidden="1" x14ac:dyDescent="0.2">
      <c r="B916" s="31">
        <v>907</v>
      </c>
      <c r="J916">
        <f t="shared" si="18"/>
        <v>105000</v>
      </c>
      <c r="K916" t="e">
        <f>VLOOKUP(B916,'REGISTRO ABONOS'!$B$8:$BC$10041,54,0)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hidden="1" x14ac:dyDescent="0.2">
      <c r="B917" s="31">
        <v>908</v>
      </c>
      <c r="J917">
        <f t="shared" si="18"/>
        <v>105000</v>
      </c>
      <c r="K917" t="e">
        <f>VLOOKUP(B917,'REGISTRO ABONOS'!$B$8:$BC$10041,54,0)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hidden="1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ABONOS'!$B$8:$BC$10041,54,0)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hidden="1" x14ac:dyDescent="0.2">
      <c r="B919" s="31">
        <v>910</v>
      </c>
      <c r="J919">
        <f t="shared" si="19"/>
        <v>105000</v>
      </c>
      <c r="K919" t="e">
        <f>VLOOKUP(B919,'REGISTRO ABONOS'!$B$8:$BC$10041,54,0)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hidden="1" x14ac:dyDescent="0.2">
      <c r="B920" s="31">
        <v>911</v>
      </c>
      <c r="J920">
        <f t="shared" si="19"/>
        <v>105000</v>
      </c>
      <c r="K920" t="e">
        <f>VLOOKUP(B920,'REGISTRO ABONOS'!$B$8:$BC$10041,54,0)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hidden="1" x14ac:dyDescent="0.2">
      <c r="B921" s="31">
        <v>912</v>
      </c>
      <c r="J921">
        <f t="shared" si="19"/>
        <v>105000</v>
      </c>
      <c r="K921" t="e">
        <f>VLOOKUP(B921,'REGISTRO ABONOS'!$B$8:$BC$10041,54,0)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hidden="1" x14ac:dyDescent="0.2">
      <c r="B922" s="31">
        <v>913</v>
      </c>
      <c r="J922">
        <f t="shared" si="19"/>
        <v>105000</v>
      </c>
      <c r="K922" t="e">
        <f>VLOOKUP(B922,'REGISTRO ABONOS'!$B$8:$BC$10041,54,0)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hidden="1" x14ac:dyDescent="0.2">
      <c r="B923" s="31">
        <v>914</v>
      </c>
      <c r="J923">
        <f t="shared" si="19"/>
        <v>105000</v>
      </c>
      <c r="K923" t="e">
        <f>VLOOKUP(B923,'REGISTRO ABONOS'!$B$8:$BC$10041,54,0)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hidden="1" x14ac:dyDescent="0.2">
      <c r="B924" s="31">
        <v>915</v>
      </c>
      <c r="J924">
        <f t="shared" si="19"/>
        <v>105000</v>
      </c>
      <c r="K924" t="e">
        <f>VLOOKUP(B924,'REGISTRO ABONOS'!$B$8:$BC$10041,54,0)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hidden="1" x14ac:dyDescent="0.2">
      <c r="B925" s="31">
        <v>916</v>
      </c>
      <c r="J925">
        <f t="shared" si="19"/>
        <v>105000</v>
      </c>
      <c r="K925" t="e">
        <f>VLOOKUP(B925,'REGISTRO ABONOS'!$B$8:$BC$10041,54,0)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hidden="1" x14ac:dyDescent="0.2">
      <c r="B926" s="31">
        <v>917</v>
      </c>
      <c r="J926">
        <f t="shared" si="19"/>
        <v>105000</v>
      </c>
      <c r="K926" t="e">
        <f>VLOOKUP(B926,'REGISTRO ABONOS'!$B$8:$BC$10041,54,0)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hidden="1" x14ac:dyDescent="0.2">
      <c r="B927" s="31">
        <v>918</v>
      </c>
      <c r="C927" s="10">
        <v>43571</v>
      </c>
      <c r="D927" t="s">
        <v>480</v>
      </c>
      <c r="H927" t="s">
        <v>480</v>
      </c>
      <c r="I927" t="s">
        <v>322</v>
      </c>
      <c r="J927">
        <f t="shared" si="19"/>
        <v>105000</v>
      </c>
      <c r="K927" t="e">
        <f>VLOOKUP(B927,'REGISTRO ABONOS'!$B$8:$BC$10041,54,0)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hidden="1" x14ac:dyDescent="0.2">
      <c r="B928" s="31">
        <v>919</v>
      </c>
      <c r="J928">
        <f t="shared" si="19"/>
        <v>105000</v>
      </c>
      <c r="K928" t="e">
        <f>VLOOKUP(B928,'REGISTRO ABONOS'!$B$8:$BC$10041,54,0)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hidden="1" x14ac:dyDescent="0.2">
      <c r="B929" s="31">
        <v>920</v>
      </c>
      <c r="J929">
        <f t="shared" si="19"/>
        <v>105000</v>
      </c>
      <c r="K929" t="e">
        <f>VLOOKUP(B929,'REGISTRO ABONOS'!$B$8:$BC$10041,54,0)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hidden="1" x14ac:dyDescent="0.2">
      <c r="B930" s="31">
        <v>921</v>
      </c>
      <c r="J930">
        <f t="shared" si="19"/>
        <v>105000</v>
      </c>
      <c r="K930" t="e">
        <f>VLOOKUP(B930,'REGISTRO ABONOS'!$B$8:$BC$10041,54,0)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hidden="1" x14ac:dyDescent="0.2">
      <c r="B931" s="31">
        <v>922</v>
      </c>
      <c r="J931">
        <f t="shared" si="19"/>
        <v>105000</v>
      </c>
      <c r="K931" t="e">
        <f>VLOOKUP(B931,'REGISTRO ABONOS'!$B$8:$BC$10041,54,0)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hidden="1" x14ac:dyDescent="0.2">
      <c r="B932" s="31">
        <v>923</v>
      </c>
      <c r="J932">
        <f t="shared" si="19"/>
        <v>105000</v>
      </c>
      <c r="K932" t="e">
        <f>VLOOKUP(B932,'REGISTRO ABONOS'!$B$8:$BC$10041,54,0)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hidden="1" x14ac:dyDescent="0.2">
      <c r="B933" s="31">
        <v>924</v>
      </c>
      <c r="J933">
        <f t="shared" si="19"/>
        <v>105000</v>
      </c>
      <c r="K933" t="e">
        <f>VLOOKUP(B933,'REGISTRO ABONOS'!$B$8:$BC$10041,54,0)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hidden="1" x14ac:dyDescent="0.2">
      <c r="B934" s="31">
        <v>925</v>
      </c>
      <c r="J934">
        <f t="shared" si="19"/>
        <v>105000</v>
      </c>
      <c r="K934" t="e">
        <f>VLOOKUP(B934,'REGISTRO ABONOS'!$B$8:$BC$10041,54,0)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hidden="1" x14ac:dyDescent="0.2">
      <c r="B935" s="31">
        <v>926</v>
      </c>
      <c r="J935">
        <f t="shared" si="19"/>
        <v>105000</v>
      </c>
      <c r="K935" t="e">
        <f>VLOOKUP(B935,'REGISTRO ABONOS'!$B$8:$BC$10041,54,0)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hidden="1" x14ac:dyDescent="0.2">
      <c r="B936" s="31">
        <v>927</v>
      </c>
      <c r="J936">
        <f t="shared" si="19"/>
        <v>105000</v>
      </c>
      <c r="K936" t="e">
        <f>VLOOKUP(B936,'REGISTRO ABONOS'!$B$8:$BC$10041,54,0)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hidden="1" x14ac:dyDescent="0.2">
      <c r="B937" s="31">
        <v>928</v>
      </c>
      <c r="J937">
        <f t="shared" si="19"/>
        <v>105000</v>
      </c>
      <c r="K937" t="e">
        <f>VLOOKUP(B937,'REGISTRO ABONOS'!$B$8:$BC$10041,54,0)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hidden="1" x14ac:dyDescent="0.2">
      <c r="B938" s="31">
        <v>929</v>
      </c>
      <c r="J938">
        <f t="shared" si="19"/>
        <v>105000</v>
      </c>
      <c r="K938" t="e">
        <f>VLOOKUP(B938,'REGISTRO ABONOS'!$B$8:$BC$10041,54,0)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hidden="1" x14ac:dyDescent="0.2">
      <c r="B939" s="31">
        <v>930</v>
      </c>
      <c r="J939">
        <f t="shared" si="19"/>
        <v>105000</v>
      </c>
      <c r="K939" t="e">
        <f>VLOOKUP(B939,'REGISTRO ABONOS'!$B$8:$BC$10041,54,0)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hidden="1" x14ac:dyDescent="0.2">
      <c r="B940" s="31">
        <v>931</v>
      </c>
      <c r="J940">
        <f t="shared" si="19"/>
        <v>105000</v>
      </c>
      <c r="K940" t="e">
        <f>VLOOKUP(B940,'REGISTRO ABONOS'!$B$8:$BC$10041,54,0)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hidden="1" x14ac:dyDescent="0.2">
      <c r="B941" s="31">
        <v>932</v>
      </c>
      <c r="J941">
        <f t="shared" si="19"/>
        <v>105000</v>
      </c>
      <c r="K941" t="e">
        <f>VLOOKUP(B941,'REGISTRO ABONOS'!$B$8:$BC$10041,54,0)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hidden="1" x14ac:dyDescent="0.2">
      <c r="B942" s="31">
        <v>933</v>
      </c>
      <c r="J942">
        <f t="shared" si="19"/>
        <v>105000</v>
      </c>
      <c r="K942" t="e">
        <f>VLOOKUP(B942,'REGISTRO ABONOS'!$B$8:$BC$10041,54,0)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hidden="1" x14ac:dyDescent="0.2">
      <c r="B943" s="31">
        <v>934</v>
      </c>
      <c r="J943">
        <f t="shared" si="19"/>
        <v>105000</v>
      </c>
      <c r="K943" t="e">
        <f>VLOOKUP(B943,'REGISTRO ABONOS'!$B$8:$BC$10041,54,0)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hidden="1" x14ac:dyDescent="0.2">
      <c r="B944" s="31">
        <v>935</v>
      </c>
      <c r="J944">
        <f t="shared" si="19"/>
        <v>105000</v>
      </c>
      <c r="K944" t="e">
        <f>VLOOKUP(B944,'REGISTRO ABONOS'!$B$8:$BC$10041,54,0)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hidden="1" x14ac:dyDescent="0.2">
      <c r="B945" s="31">
        <v>936</v>
      </c>
      <c r="J945">
        <f t="shared" si="19"/>
        <v>105000</v>
      </c>
      <c r="K945" t="e">
        <f>VLOOKUP(B945,'REGISTRO ABONOS'!$B$8:$BC$10041,54,0)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hidden="1" x14ac:dyDescent="0.2">
      <c r="B946" s="31">
        <v>937</v>
      </c>
      <c r="J946">
        <f t="shared" si="19"/>
        <v>105000</v>
      </c>
      <c r="K946" t="e">
        <f>VLOOKUP(B946,'REGISTRO ABONOS'!$B$8:$BC$10041,54,0)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hidden="1" x14ac:dyDescent="0.2">
      <c r="B947" s="31">
        <v>938</v>
      </c>
      <c r="J947">
        <f t="shared" si="19"/>
        <v>105000</v>
      </c>
      <c r="K947" t="e">
        <f>VLOOKUP(B947,'REGISTRO ABONOS'!$B$8:$BC$10041,54,0)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hidden="1" x14ac:dyDescent="0.2">
      <c r="B948" s="31">
        <v>939</v>
      </c>
      <c r="J948">
        <f t="shared" si="19"/>
        <v>105000</v>
      </c>
      <c r="K948" t="e">
        <f>VLOOKUP(B948,'REGISTRO ABONOS'!$B$8:$BC$10041,54,0)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hidden="1" x14ac:dyDescent="0.2">
      <c r="B949" s="31">
        <v>940</v>
      </c>
      <c r="J949">
        <f t="shared" si="19"/>
        <v>105000</v>
      </c>
      <c r="K949" t="e">
        <f>VLOOKUP(B949,'REGISTRO ABONOS'!$B$8:$BC$10041,54,0)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hidden="1" x14ac:dyDescent="0.2">
      <c r="B950" s="31">
        <v>941</v>
      </c>
      <c r="J950">
        <f t="shared" si="19"/>
        <v>105000</v>
      </c>
      <c r="K950" t="e">
        <f>VLOOKUP(B950,'REGISTRO ABONOS'!$B$8:$BC$10041,54,0)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hidden="1" x14ac:dyDescent="0.2">
      <c r="B951" s="31">
        <v>942</v>
      </c>
      <c r="J951">
        <f t="shared" si="19"/>
        <v>105000</v>
      </c>
      <c r="K951" t="e">
        <f>VLOOKUP(B951,'REGISTRO ABONOS'!$B$8:$BC$10041,54,0)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hidden="1" x14ac:dyDescent="0.2">
      <c r="B952" s="31">
        <v>943</v>
      </c>
      <c r="J952">
        <f t="shared" si="19"/>
        <v>105000</v>
      </c>
      <c r="K952" t="e">
        <f>VLOOKUP(B952,'REGISTRO ABONOS'!$B$8:$BC$10041,54,0)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hidden="1" x14ac:dyDescent="0.2">
      <c r="B953" s="31">
        <v>944</v>
      </c>
      <c r="J953">
        <f t="shared" si="19"/>
        <v>105000</v>
      </c>
      <c r="K953" t="e">
        <f>VLOOKUP(B953,'REGISTRO ABONOS'!$B$8:$BC$10041,54,0)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hidden="1" x14ac:dyDescent="0.2">
      <c r="B954" s="31">
        <v>945</v>
      </c>
      <c r="J954">
        <f t="shared" si="19"/>
        <v>105000</v>
      </c>
      <c r="K954" t="e">
        <f>VLOOKUP(B954,'REGISTRO ABONOS'!$B$8:$BC$10041,54,0)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hidden="1" x14ac:dyDescent="0.2">
      <c r="B955" s="31">
        <v>946</v>
      </c>
      <c r="J955">
        <f t="shared" si="19"/>
        <v>105000</v>
      </c>
      <c r="K955" t="e">
        <f>VLOOKUP(B955,'REGISTRO ABONOS'!$B$8:$BC$10041,54,0)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hidden="1" x14ac:dyDescent="0.2">
      <c r="B956" s="31">
        <v>947</v>
      </c>
      <c r="J956">
        <f t="shared" si="19"/>
        <v>105000</v>
      </c>
      <c r="K956" t="e">
        <f>VLOOKUP(B956,'REGISTRO ABONOS'!$B$8:$BC$10041,54,0)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hidden="1" x14ac:dyDescent="0.2">
      <c r="B957" s="31">
        <v>948</v>
      </c>
      <c r="J957">
        <f t="shared" si="19"/>
        <v>105000</v>
      </c>
      <c r="K957" t="e">
        <f>VLOOKUP(B957,'REGISTRO ABONOS'!$B$8:$BC$10041,54,0)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hidden="1" x14ac:dyDescent="0.2">
      <c r="B958" s="31">
        <v>949</v>
      </c>
      <c r="J958">
        <f t="shared" si="19"/>
        <v>105000</v>
      </c>
      <c r="K958" t="e">
        <f>VLOOKUP(B958,'REGISTRO ABONOS'!$B$8:$BC$10041,54,0)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hidden="1" x14ac:dyDescent="0.2">
      <c r="B959" s="31">
        <v>950</v>
      </c>
      <c r="J959">
        <f t="shared" si="19"/>
        <v>105000</v>
      </c>
      <c r="K959" t="e">
        <f>VLOOKUP(B959,'REGISTRO ABONOS'!$B$8:$BC$10041,54,0)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hidden="1" x14ac:dyDescent="0.2">
      <c r="B960" s="31">
        <v>951</v>
      </c>
      <c r="J960">
        <f t="shared" si="19"/>
        <v>105000</v>
      </c>
      <c r="K960" t="e">
        <f>VLOOKUP(B960,'REGISTRO ABONOS'!$B$8:$BC$10041,54,0)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hidden="1" x14ac:dyDescent="0.2">
      <c r="B961" s="31">
        <v>952</v>
      </c>
      <c r="J961">
        <f t="shared" si="19"/>
        <v>105000</v>
      </c>
      <c r="K961" t="e">
        <f>VLOOKUP(B961,'REGISTRO ABONOS'!$B$8:$BC$10041,54,0)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hidden="1" x14ac:dyDescent="0.2">
      <c r="B962" s="31">
        <v>953</v>
      </c>
      <c r="J962">
        <f t="shared" si="19"/>
        <v>105000</v>
      </c>
      <c r="K962" t="e">
        <f>VLOOKUP(B962,'REGISTRO ABONOS'!$B$8:$BC$10041,54,0)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hidden="1" x14ac:dyDescent="0.2">
      <c r="B963" s="31">
        <v>954</v>
      </c>
      <c r="J963">
        <f t="shared" si="19"/>
        <v>105000</v>
      </c>
      <c r="K963" t="e">
        <f>VLOOKUP(B963,'REGISTRO ABONOS'!$B$8:$BC$10041,54,0)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hidden="1" x14ac:dyDescent="0.2">
      <c r="B964" s="31">
        <v>955</v>
      </c>
      <c r="J964">
        <f t="shared" si="19"/>
        <v>105000</v>
      </c>
      <c r="K964" t="e">
        <f>VLOOKUP(B964,'REGISTRO ABONOS'!$B$8:$BC$10041,54,0)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hidden="1" x14ac:dyDescent="0.2">
      <c r="B965" s="31">
        <v>956</v>
      </c>
      <c r="J965">
        <f t="shared" si="19"/>
        <v>105000</v>
      </c>
      <c r="K965" t="e">
        <f>VLOOKUP(B965,'REGISTRO ABONOS'!$B$8:$BC$10041,54,0)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hidden="1" x14ac:dyDescent="0.2">
      <c r="B966" s="31">
        <v>957</v>
      </c>
      <c r="J966">
        <f t="shared" si="19"/>
        <v>105000</v>
      </c>
      <c r="K966" t="e">
        <f>VLOOKUP(B966,'REGISTRO ABONOS'!$B$8:$BC$10041,54,0)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hidden="1" x14ac:dyDescent="0.2">
      <c r="B967" s="31">
        <v>958</v>
      </c>
      <c r="J967">
        <f t="shared" si="19"/>
        <v>105000</v>
      </c>
      <c r="K967" t="e">
        <f>VLOOKUP(B967,'REGISTRO ABONOS'!$B$8:$BC$10041,54,0)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hidden="1" x14ac:dyDescent="0.2">
      <c r="B968" s="31">
        <v>959</v>
      </c>
      <c r="J968">
        <f t="shared" si="19"/>
        <v>105000</v>
      </c>
      <c r="K968" t="e">
        <f>VLOOKUP(B968,'REGISTRO ABONOS'!$B$8:$BC$10041,54,0)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hidden="1" x14ac:dyDescent="0.2">
      <c r="B969" s="31">
        <v>960</v>
      </c>
      <c r="J969">
        <f t="shared" si="19"/>
        <v>105000</v>
      </c>
      <c r="K969" t="e">
        <f>VLOOKUP(B969,'REGISTRO ABONOS'!$B$8:$BC$10041,54,0)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hidden="1" x14ac:dyDescent="0.2">
      <c r="B970" s="31">
        <v>961</v>
      </c>
      <c r="J970">
        <f t="shared" si="19"/>
        <v>105000</v>
      </c>
      <c r="K970" t="e">
        <f>VLOOKUP(B970,'REGISTRO ABONOS'!$B$8:$BC$10041,54,0)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hidden="1" x14ac:dyDescent="0.2">
      <c r="B971" s="31">
        <v>962</v>
      </c>
      <c r="J971">
        <f t="shared" si="19"/>
        <v>105000</v>
      </c>
      <c r="K971" t="e">
        <f>VLOOKUP(B971,'REGISTRO ABONOS'!$B$8:$BC$10041,54,0)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hidden="1" x14ac:dyDescent="0.2">
      <c r="B972" s="31">
        <v>963</v>
      </c>
      <c r="J972">
        <f t="shared" si="19"/>
        <v>105000</v>
      </c>
      <c r="K972" t="e">
        <f>VLOOKUP(B972,'REGISTRO ABONOS'!$B$8:$BC$10041,54,0)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hidden="1" x14ac:dyDescent="0.2">
      <c r="B973" s="31">
        <v>964</v>
      </c>
      <c r="J973">
        <f t="shared" si="19"/>
        <v>105000</v>
      </c>
      <c r="K973" t="e">
        <f>VLOOKUP(B973,'REGISTRO ABONOS'!$B$8:$BC$10041,54,0)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hidden="1" x14ac:dyDescent="0.2">
      <c r="B974" s="31">
        <v>965</v>
      </c>
      <c r="J974">
        <f t="shared" si="19"/>
        <v>105000</v>
      </c>
      <c r="K974" t="e">
        <f>VLOOKUP(B974,'REGISTRO ABONOS'!$B$8:$BC$10041,54,0)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hidden="1" x14ac:dyDescent="0.2">
      <c r="B975" s="31">
        <v>966</v>
      </c>
      <c r="J975">
        <f t="shared" si="19"/>
        <v>105000</v>
      </c>
      <c r="K975" t="e">
        <f>VLOOKUP(B975,'REGISTRO ABONOS'!$B$8:$BC$10041,54,0)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hidden="1" x14ac:dyDescent="0.2">
      <c r="B976" s="31">
        <v>967</v>
      </c>
      <c r="J976">
        <f t="shared" si="19"/>
        <v>105000</v>
      </c>
      <c r="K976" t="e">
        <f>VLOOKUP(B976,'REGISTRO ABONOS'!$B$8:$BC$10041,54,0)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hidden="1" x14ac:dyDescent="0.2">
      <c r="B977" s="31">
        <v>968</v>
      </c>
      <c r="J977">
        <f t="shared" si="19"/>
        <v>105000</v>
      </c>
      <c r="K977" t="e">
        <f>VLOOKUP(B977,'REGISTRO ABONOS'!$B$8:$BC$10041,54,0)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hidden="1" x14ac:dyDescent="0.2">
      <c r="B978" s="31">
        <v>969</v>
      </c>
      <c r="J978">
        <f t="shared" si="19"/>
        <v>105000</v>
      </c>
      <c r="K978" t="e">
        <f>VLOOKUP(B978,'REGISTRO ABONOS'!$B$8:$BC$10041,54,0)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hidden="1" x14ac:dyDescent="0.2">
      <c r="B979" s="31">
        <v>970</v>
      </c>
      <c r="J979">
        <f t="shared" si="19"/>
        <v>105000</v>
      </c>
      <c r="K979" t="e">
        <f>VLOOKUP(B979,'REGISTRO ABONOS'!$B$8:$BC$10041,54,0)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hidden="1" x14ac:dyDescent="0.2">
      <c r="B980" s="31">
        <v>971</v>
      </c>
      <c r="J980">
        <f t="shared" si="19"/>
        <v>105000</v>
      </c>
      <c r="K980" t="e">
        <f>VLOOKUP(B980,'REGISTRO ABONOS'!$B$8:$BC$10041,54,0)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hidden="1" x14ac:dyDescent="0.2">
      <c r="B981" s="31">
        <v>972</v>
      </c>
      <c r="J981">
        <f t="shared" si="19"/>
        <v>105000</v>
      </c>
      <c r="K981" t="e">
        <f>VLOOKUP(B981,'REGISTRO ABONOS'!$B$8:$BC$10041,54,0)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hidden="1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ABONOS'!$B$8:$BC$10041,54,0)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hidden="1" x14ac:dyDescent="0.2">
      <c r="B983" s="31">
        <v>974</v>
      </c>
      <c r="J983">
        <f t="shared" si="20"/>
        <v>105000</v>
      </c>
      <c r="K983" t="e">
        <f>VLOOKUP(B983,'REGISTRO ABONOS'!$B$8:$BC$10041,54,0)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hidden="1" x14ac:dyDescent="0.2">
      <c r="B984" s="31">
        <v>975</v>
      </c>
      <c r="J984">
        <f t="shared" si="20"/>
        <v>105000</v>
      </c>
      <c r="K984" t="e">
        <f>VLOOKUP(B984,'REGISTRO ABONOS'!$B$8:$BC$10041,54,0)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hidden="1" x14ac:dyDescent="0.2">
      <c r="B985" s="31">
        <v>976</v>
      </c>
      <c r="J985">
        <f t="shared" si="20"/>
        <v>105000</v>
      </c>
      <c r="K985" t="e">
        <f>VLOOKUP(B985,'REGISTRO ABONOS'!$B$8:$BC$10041,54,0)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hidden="1" x14ac:dyDescent="0.2">
      <c r="B986" s="31">
        <v>977</v>
      </c>
      <c r="J986">
        <f t="shared" si="20"/>
        <v>105000</v>
      </c>
      <c r="K986" t="e">
        <f>VLOOKUP(B986,'REGISTRO ABONOS'!$B$8:$BC$10041,54,0)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hidden="1" x14ac:dyDescent="0.2">
      <c r="B987" s="31">
        <v>978</v>
      </c>
      <c r="J987">
        <f t="shared" si="20"/>
        <v>105000</v>
      </c>
      <c r="K987" t="e">
        <f>VLOOKUP(B987,'REGISTRO ABONOS'!$B$8:$BC$10041,54,0)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hidden="1" x14ac:dyDescent="0.2">
      <c r="B988" s="31">
        <v>979</v>
      </c>
      <c r="J988">
        <f t="shared" si="20"/>
        <v>105000</v>
      </c>
      <c r="K988" t="e">
        <f>VLOOKUP(B988,'REGISTRO ABONOS'!$B$8:$BC$10041,54,0)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hidden="1" x14ac:dyDescent="0.2">
      <c r="B989" s="31">
        <v>980</v>
      </c>
      <c r="J989">
        <f t="shared" si="20"/>
        <v>105000</v>
      </c>
      <c r="K989" t="e">
        <f>VLOOKUP(B989,'REGISTRO ABONOS'!$B$8:$BC$10041,54,0)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hidden="1" x14ac:dyDescent="0.2">
      <c r="B990" s="31">
        <v>981</v>
      </c>
      <c r="J990">
        <f t="shared" si="20"/>
        <v>105000</v>
      </c>
      <c r="K990" t="e">
        <f>VLOOKUP(B990,'REGISTRO ABONOS'!$B$8:$BC$10041,54,0)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hidden="1" x14ac:dyDescent="0.2">
      <c r="B991" s="31">
        <v>982</v>
      </c>
      <c r="J991">
        <f t="shared" si="20"/>
        <v>105000</v>
      </c>
      <c r="K991" t="e">
        <f>VLOOKUP(B991,'REGISTRO ABONOS'!$B$8:$BC$10041,54,0)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hidden="1" x14ac:dyDescent="0.2">
      <c r="B992" s="31">
        <v>983</v>
      </c>
      <c r="J992">
        <f t="shared" si="20"/>
        <v>105000</v>
      </c>
      <c r="K992" t="e">
        <f>VLOOKUP(B992,'REGISTRO ABONOS'!$B$8:$BC$10041,54,0)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hidden="1" x14ac:dyDescent="0.2">
      <c r="B993" s="31">
        <v>984</v>
      </c>
      <c r="J993">
        <f t="shared" si="20"/>
        <v>105000</v>
      </c>
      <c r="K993" t="e">
        <f>VLOOKUP(B993,'REGISTRO ABONOS'!$B$8:$BC$10041,54,0)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hidden="1" x14ac:dyDescent="0.2">
      <c r="B994" s="31">
        <v>985</v>
      </c>
      <c r="J994">
        <f t="shared" si="20"/>
        <v>105000</v>
      </c>
      <c r="K994" t="e">
        <f>VLOOKUP(B994,'REGISTRO ABONOS'!$B$8:$BC$10041,54,0)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hidden="1" x14ac:dyDescent="0.2">
      <c r="B995" s="31">
        <v>986</v>
      </c>
      <c r="J995">
        <f t="shared" si="20"/>
        <v>105000</v>
      </c>
      <c r="K995" t="e">
        <f>VLOOKUP(B995,'REGISTRO ABONOS'!$B$8:$BC$10041,54,0)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hidden="1" x14ac:dyDescent="0.2">
      <c r="B996" s="31">
        <v>987</v>
      </c>
      <c r="J996">
        <f t="shared" si="20"/>
        <v>105000</v>
      </c>
      <c r="K996" t="e">
        <f>VLOOKUP(B996,'REGISTRO ABONOS'!$B$8:$BC$10041,54,0)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hidden="1" x14ac:dyDescent="0.2">
      <c r="B997" s="31">
        <v>988</v>
      </c>
      <c r="J997">
        <f t="shared" si="20"/>
        <v>105000</v>
      </c>
      <c r="K997" t="e">
        <f>VLOOKUP(B997,'REGISTRO ABONOS'!$B$8:$BC$10041,54,0)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hidden="1" x14ac:dyDescent="0.2">
      <c r="B998" s="31">
        <v>989</v>
      </c>
      <c r="J998">
        <f t="shared" si="20"/>
        <v>105000</v>
      </c>
      <c r="K998" t="e">
        <f>VLOOKUP(B998,'REGISTRO ABONOS'!$B$8:$BC$10041,54,0)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hidden="1" x14ac:dyDescent="0.2">
      <c r="B999" s="31">
        <v>990</v>
      </c>
      <c r="J999">
        <f t="shared" si="20"/>
        <v>105000</v>
      </c>
      <c r="K999" t="e">
        <f>VLOOKUP(B999,'REGISTRO ABONOS'!$B$8:$BC$10041,54,0)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hidden="1" x14ac:dyDescent="0.2">
      <c r="B1000" s="31">
        <v>991</v>
      </c>
      <c r="J1000">
        <f t="shared" si="20"/>
        <v>105000</v>
      </c>
      <c r="K1000" t="e">
        <f>VLOOKUP(B1000,'REGISTRO ABONOS'!$B$8:$BC$10041,54,0)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hidden="1" x14ac:dyDescent="0.2">
      <c r="B1001" s="31">
        <v>992</v>
      </c>
      <c r="J1001">
        <f t="shared" si="20"/>
        <v>105000</v>
      </c>
      <c r="K1001" t="e">
        <f>VLOOKUP(B1001,'REGISTRO ABONOS'!$B$8:$BC$10041,54,0)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hidden="1" x14ac:dyDescent="0.2">
      <c r="B1002" s="31">
        <v>993</v>
      </c>
      <c r="J1002">
        <f t="shared" si="20"/>
        <v>105000</v>
      </c>
      <c r="K1002" t="e">
        <f>VLOOKUP(B1002,'REGISTRO ABONOS'!$B$8:$BC$10041,54,0)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hidden="1" x14ac:dyDescent="0.2">
      <c r="B1003" s="31">
        <v>994</v>
      </c>
      <c r="J1003">
        <f t="shared" si="20"/>
        <v>105000</v>
      </c>
      <c r="K1003" t="e">
        <f>VLOOKUP(B1003,'REGISTRO ABONOS'!$B$8:$BC$10041,54,0)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hidden="1" x14ac:dyDescent="0.2">
      <c r="B1004" s="31">
        <v>995</v>
      </c>
      <c r="J1004">
        <f t="shared" si="20"/>
        <v>105000</v>
      </c>
      <c r="K1004" t="e">
        <f>VLOOKUP(B1004,'REGISTRO ABONOS'!$B$8:$BC$10041,54,0)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hidden="1" x14ac:dyDescent="0.2">
      <c r="B1005" s="31">
        <v>996</v>
      </c>
      <c r="J1005">
        <f t="shared" si="20"/>
        <v>105000</v>
      </c>
      <c r="K1005" t="e">
        <f>VLOOKUP(B1005,'REGISTRO ABONOS'!$B$8:$BC$10041,54,0)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hidden="1" x14ac:dyDescent="0.2">
      <c r="B1006" s="31">
        <v>997</v>
      </c>
      <c r="J1006">
        <f t="shared" si="20"/>
        <v>105000</v>
      </c>
      <c r="K1006" t="e">
        <f>VLOOKUP(B1006,'REGISTRO ABONOS'!$B$8:$BC$10041,54,0)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hidden="1" x14ac:dyDescent="0.2">
      <c r="B1007" s="31">
        <v>998</v>
      </c>
      <c r="J1007">
        <f t="shared" si="20"/>
        <v>105000</v>
      </c>
      <c r="K1007" t="e">
        <f>VLOOKUP(B1007,'REGISTRO ABONOS'!$B$8:$BC$10041,54,0)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hidden="1" x14ac:dyDescent="0.2">
      <c r="B1008" s="31">
        <v>999</v>
      </c>
      <c r="J1008">
        <f t="shared" si="20"/>
        <v>105000</v>
      </c>
      <c r="K1008" t="e">
        <f>VLOOKUP(B1008,'REGISTRO ABONOS'!$B$8:$BC$10041,54,0)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hidden="1" x14ac:dyDescent="0.2">
      <c r="B1009" s="31">
        <v>1000</v>
      </c>
      <c r="J1009">
        <f t="shared" si="20"/>
        <v>105000</v>
      </c>
      <c r="K1009" t="e">
        <f>VLOOKUP(B1009,'REGISTRO ABONOS'!$B$8:$BC$10041,54,0)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hidden="1" x14ac:dyDescent="0.2">
      <c r="B1010" s="31">
        <v>1001</v>
      </c>
      <c r="J1010">
        <f t="shared" si="20"/>
        <v>105000</v>
      </c>
      <c r="K1010" t="e">
        <f>VLOOKUP(B1010,'REGISTRO ABONOS'!$B$8:$BC$10041,54,0)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hidden="1" x14ac:dyDescent="0.2">
      <c r="B1011" s="31">
        <v>1002</v>
      </c>
      <c r="J1011">
        <f t="shared" si="20"/>
        <v>105000</v>
      </c>
      <c r="K1011" t="e">
        <f>VLOOKUP(B1011,'REGISTRO ABONOS'!$B$8:$BC$10041,54,0)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hidden="1" x14ac:dyDescent="0.2">
      <c r="B1012" s="31">
        <v>1003</v>
      </c>
      <c r="J1012">
        <f t="shared" si="20"/>
        <v>105000</v>
      </c>
      <c r="K1012" t="e">
        <f>VLOOKUP(B1012,'REGISTRO ABONOS'!$B$8:$BC$10041,54,0)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hidden="1" x14ac:dyDescent="0.2">
      <c r="B1013" s="31">
        <v>1004</v>
      </c>
      <c r="J1013">
        <f t="shared" si="20"/>
        <v>105000</v>
      </c>
      <c r="K1013" t="e">
        <f>VLOOKUP(B1013,'REGISTRO ABONOS'!$B$8:$BC$10041,54,0)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hidden="1" x14ac:dyDescent="0.2">
      <c r="B1014" s="31">
        <v>1005</v>
      </c>
      <c r="J1014">
        <f t="shared" si="20"/>
        <v>105000</v>
      </c>
      <c r="K1014" t="e">
        <f>VLOOKUP(B1014,'REGISTRO ABONOS'!$B$8:$BC$10041,54,0)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hidden="1" x14ac:dyDescent="0.2">
      <c r="B1015" s="31">
        <v>1006</v>
      </c>
      <c r="J1015">
        <f t="shared" si="20"/>
        <v>105000</v>
      </c>
      <c r="K1015" t="e">
        <f>VLOOKUP(B1015,'REGISTRO ABONOS'!$B$8:$BC$10041,54,0)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hidden="1" x14ac:dyDescent="0.2">
      <c r="B1016" s="31">
        <v>1007</v>
      </c>
      <c r="J1016">
        <f t="shared" si="20"/>
        <v>105000</v>
      </c>
      <c r="K1016" t="e">
        <f>VLOOKUP(B1016,'REGISTRO ABONOS'!$B$8:$BC$10041,54,0)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hidden="1" x14ac:dyDescent="0.2">
      <c r="B1017" s="31">
        <v>1008</v>
      </c>
      <c r="J1017">
        <f t="shared" si="20"/>
        <v>105000</v>
      </c>
      <c r="K1017" t="e">
        <f>VLOOKUP(B1017,'REGISTRO ABONOS'!$B$8:$BC$10041,54,0)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hidden="1" x14ac:dyDescent="0.2">
      <c r="B1018" s="31">
        <v>1009</v>
      </c>
      <c r="J1018">
        <f t="shared" si="20"/>
        <v>105000</v>
      </c>
      <c r="K1018" t="e">
        <f>VLOOKUP(B1018,'REGISTRO ABONOS'!$B$8:$BC$10041,54,0)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hidden="1" x14ac:dyDescent="0.2">
      <c r="B1019" s="31">
        <v>1010</v>
      </c>
      <c r="J1019">
        <f t="shared" si="20"/>
        <v>105000</v>
      </c>
      <c r="K1019" t="e">
        <f>VLOOKUP(B1019,'REGISTRO ABONOS'!$B$8:$BC$10041,54,0)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hidden="1" x14ac:dyDescent="0.2">
      <c r="B1020" s="31">
        <v>1011</v>
      </c>
      <c r="J1020">
        <f t="shared" si="20"/>
        <v>105000</v>
      </c>
      <c r="K1020" t="e">
        <f>VLOOKUP(B1020,'REGISTRO ABONOS'!$B$8:$BC$10041,54,0)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hidden="1" x14ac:dyDescent="0.2">
      <c r="B1021" s="31">
        <v>1012</v>
      </c>
      <c r="J1021">
        <f t="shared" si="20"/>
        <v>105000</v>
      </c>
      <c r="K1021" t="e">
        <f>VLOOKUP(B1021,'REGISTRO ABONOS'!$B$8:$BC$10041,54,0)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hidden="1" x14ac:dyDescent="0.2">
      <c r="B1022" s="31">
        <v>1013</v>
      </c>
      <c r="J1022">
        <f t="shared" si="20"/>
        <v>105000</v>
      </c>
      <c r="K1022" t="e">
        <f>VLOOKUP(B1022,'REGISTRO ABONOS'!$B$8:$BC$10041,54,0)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hidden="1" x14ac:dyDescent="0.2">
      <c r="B1023" s="31">
        <v>1014</v>
      </c>
      <c r="J1023">
        <f t="shared" si="20"/>
        <v>105000</v>
      </c>
      <c r="K1023" t="e">
        <f>VLOOKUP(B1023,'REGISTRO ABONOS'!$B$8:$BC$10041,54,0)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hidden="1" x14ac:dyDescent="0.2">
      <c r="B1024" s="31">
        <v>1015</v>
      </c>
      <c r="J1024">
        <f t="shared" si="20"/>
        <v>105000</v>
      </c>
      <c r="K1024" t="e">
        <f>VLOOKUP(B1024,'REGISTRO ABONOS'!$B$8:$BC$10041,54,0)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hidden="1" x14ac:dyDescent="0.2">
      <c r="B1025" s="31">
        <v>1016</v>
      </c>
      <c r="J1025">
        <f t="shared" si="20"/>
        <v>105000</v>
      </c>
      <c r="K1025" t="e">
        <f>VLOOKUP(B1025,'REGISTRO ABONOS'!$B$8:$BC$10041,54,0)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hidden="1" x14ac:dyDescent="0.2">
      <c r="B1026" s="31">
        <v>1017</v>
      </c>
      <c r="J1026">
        <f t="shared" si="20"/>
        <v>105000</v>
      </c>
      <c r="K1026" t="e">
        <f>VLOOKUP(B1026,'REGISTRO ABONOS'!$B$8:$BC$10041,54,0)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hidden="1" x14ac:dyDescent="0.2">
      <c r="B1027" s="31">
        <v>1018</v>
      </c>
      <c r="J1027">
        <f t="shared" si="20"/>
        <v>105000</v>
      </c>
      <c r="K1027" t="e">
        <f>VLOOKUP(B1027,'REGISTRO ABONOS'!$B$8:$BC$10041,54,0)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hidden="1" x14ac:dyDescent="0.2">
      <c r="B1028" s="31">
        <v>1019</v>
      </c>
      <c r="J1028">
        <f t="shared" si="20"/>
        <v>105000</v>
      </c>
      <c r="K1028" t="e">
        <f>VLOOKUP(B1028,'REGISTRO ABONOS'!$B$8:$BC$10041,54,0)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hidden="1" x14ac:dyDescent="0.2">
      <c r="B1029" s="31">
        <v>1020</v>
      </c>
      <c r="J1029">
        <f t="shared" si="20"/>
        <v>105000</v>
      </c>
      <c r="K1029" t="e">
        <f>VLOOKUP(B1029,'REGISTRO ABONOS'!$B$8:$BC$10041,54,0)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hidden="1" x14ac:dyDescent="0.2">
      <c r="B1030" s="31">
        <v>1021</v>
      </c>
      <c r="J1030">
        <f t="shared" si="20"/>
        <v>105000</v>
      </c>
      <c r="K1030" t="e">
        <f>VLOOKUP(B1030,'REGISTRO ABONOS'!$B$8:$BC$10041,54,0)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hidden="1" x14ac:dyDescent="0.2">
      <c r="B1031" s="31">
        <v>1022</v>
      </c>
      <c r="J1031">
        <f t="shared" si="20"/>
        <v>105000</v>
      </c>
      <c r="K1031" t="e">
        <f>VLOOKUP(B1031,'REGISTRO ABONOS'!$B$8:$BC$10041,54,0)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hidden="1" x14ac:dyDescent="0.2">
      <c r="B1032" s="31">
        <v>1023</v>
      </c>
      <c r="J1032">
        <f t="shared" si="20"/>
        <v>105000</v>
      </c>
      <c r="K1032" t="e">
        <f>VLOOKUP(B1032,'REGISTRO ABONOS'!$B$8:$BC$10041,54,0)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20"/>
        <v>105000</v>
      </c>
      <c r="K1033" t="e">
        <f>VLOOKUP(B1033,'REGISTRO ABONOS'!$B$8:$BC$10041,54,0)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hidden="1" x14ac:dyDescent="0.2">
      <c r="B1034" s="31">
        <v>1025</v>
      </c>
      <c r="J1034">
        <f t="shared" si="20"/>
        <v>105000</v>
      </c>
      <c r="K1034" t="e">
        <f>VLOOKUP(B1034,'REGISTRO ABONOS'!$B$8:$BC$10041,54,0)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hidden="1" x14ac:dyDescent="0.2">
      <c r="B1035" s="31">
        <v>1026</v>
      </c>
      <c r="J1035">
        <f t="shared" si="20"/>
        <v>105000</v>
      </c>
      <c r="K1035" t="e">
        <f>VLOOKUP(B1035,'REGISTRO ABONOS'!$B$8:$BC$10041,54,0)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hidden="1" x14ac:dyDescent="0.2">
      <c r="B1036" s="31">
        <v>1027</v>
      </c>
      <c r="J1036">
        <f t="shared" si="20"/>
        <v>105000</v>
      </c>
      <c r="K1036" t="e">
        <f>VLOOKUP(B1036,'REGISTRO ABONOS'!$B$8:$BC$10041,54,0)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hidden="1" x14ac:dyDescent="0.2">
      <c r="B1037" s="31">
        <v>1028</v>
      </c>
      <c r="J1037">
        <f t="shared" si="20"/>
        <v>105000</v>
      </c>
      <c r="K1037" t="e">
        <f>VLOOKUP(B1037,'REGISTRO ABONOS'!$B$8:$BC$10041,54,0)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hidden="1" x14ac:dyDescent="0.2">
      <c r="B1038" s="31">
        <v>1029</v>
      </c>
      <c r="J1038">
        <f t="shared" si="20"/>
        <v>105000</v>
      </c>
      <c r="K1038" t="e">
        <f>VLOOKUP(B1038,'REGISTRO ABONOS'!$B$8:$BC$10041,54,0)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hidden="1" x14ac:dyDescent="0.2">
      <c r="B1039" s="31">
        <v>1030</v>
      </c>
      <c r="J1039">
        <f t="shared" si="20"/>
        <v>105000</v>
      </c>
      <c r="K1039" t="e">
        <f>VLOOKUP(B1039,'REGISTRO ABONOS'!$B$8:$BC$10041,54,0)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hidden="1" x14ac:dyDescent="0.2">
      <c r="B1040" s="31">
        <v>1031</v>
      </c>
      <c r="J1040">
        <f t="shared" si="20"/>
        <v>105000</v>
      </c>
      <c r="K1040" t="e">
        <f>VLOOKUP(B1040,'REGISTRO ABONOS'!$B$8:$BC$10041,54,0)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hidden="1" x14ac:dyDescent="0.2">
      <c r="B1041" s="31">
        <v>1032</v>
      </c>
      <c r="J1041">
        <f t="shared" si="20"/>
        <v>105000</v>
      </c>
      <c r="K1041" t="e">
        <f>VLOOKUP(B1041,'REGISTRO ABONOS'!$B$8:$BC$10041,54,0)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hidden="1" x14ac:dyDescent="0.2">
      <c r="B1042" s="31">
        <v>1033</v>
      </c>
      <c r="J1042">
        <f t="shared" si="20"/>
        <v>105000</v>
      </c>
      <c r="K1042" t="e">
        <f>VLOOKUP(B1042,'REGISTRO ABONOS'!$B$8:$BC$10041,54,0)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hidden="1" x14ac:dyDescent="0.2">
      <c r="B1043" s="31">
        <v>1034</v>
      </c>
      <c r="J1043">
        <f t="shared" si="20"/>
        <v>105000</v>
      </c>
      <c r="K1043" t="e">
        <f>VLOOKUP(B1043,'REGISTRO ABONOS'!$B$8:$BC$10041,54,0)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hidden="1" x14ac:dyDescent="0.2">
      <c r="B1044" s="31">
        <v>1035</v>
      </c>
      <c r="J1044">
        <f t="shared" si="20"/>
        <v>105000</v>
      </c>
      <c r="K1044" t="e">
        <f>VLOOKUP(B1044,'REGISTRO ABONOS'!$B$8:$BC$10041,54,0)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hidden="1" x14ac:dyDescent="0.2">
      <c r="B1045" s="31">
        <v>1036</v>
      </c>
      <c r="J1045">
        <f t="shared" si="20"/>
        <v>105000</v>
      </c>
      <c r="K1045" t="e">
        <f>VLOOKUP(B1045,'REGISTRO ABONOS'!$B$8:$BC$10041,54,0)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hidden="1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ABONOS'!$B$8:$BC$10041,54,0)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hidden="1" x14ac:dyDescent="0.2">
      <c r="B1047" s="31">
        <v>1038</v>
      </c>
      <c r="J1047">
        <f t="shared" si="21"/>
        <v>105000</v>
      </c>
      <c r="K1047" t="e">
        <f>VLOOKUP(B1047,'REGISTRO ABONOS'!$B$8:$BC$10041,54,0)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hidden="1" x14ac:dyDescent="0.2">
      <c r="B1048" s="31">
        <v>1039</v>
      </c>
      <c r="J1048">
        <f t="shared" si="21"/>
        <v>105000</v>
      </c>
      <c r="K1048" t="e">
        <f>VLOOKUP(B1048,'REGISTRO ABONOS'!$B$8:$BC$10041,54,0)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hidden="1" x14ac:dyDescent="0.2">
      <c r="B1049" s="31">
        <v>1040</v>
      </c>
      <c r="J1049">
        <f t="shared" si="21"/>
        <v>105000</v>
      </c>
      <c r="K1049" t="e">
        <f>VLOOKUP(B1049,'REGISTRO ABONOS'!$B$8:$BC$10041,54,0)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hidden="1" x14ac:dyDescent="0.2">
      <c r="B1050" s="31">
        <v>1041</v>
      </c>
      <c r="J1050">
        <f t="shared" si="21"/>
        <v>105000</v>
      </c>
      <c r="K1050" t="e">
        <f>VLOOKUP(B1050,'REGISTRO ABONOS'!$B$8:$BC$10041,54,0)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hidden="1" x14ac:dyDescent="0.2">
      <c r="B1051" s="31">
        <v>1042</v>
      </c>
      <c r="J1051">
        <f t="shared" si="21"/>
        <v>105000</v>
      </c>
      <c r="K1051" t="e">
        <f>VLOOKUP(B1051,'REGISTRO ABONOS'!$B$8:$BC$10041,54,0)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hidden="1" x14ac:dyDescent="0.2">
      <c r="B1052" s="31">
        <v>1043</v>
      </c>
      <c r="J1052">
        <f t="shared" si="21"/>
        <v>105000</v>
      </c>
      <c r="K1052" t="e">
        <f>VLOOKUP(B1052,'REGISTRO ABONOS'!$B$8:$BC$10041,54,0)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hidden="1" x14ac:dyDescent="0.2">
      <c r="B1053" s="31">
        <v>1044</v>
      </c>
      <c r="J1053">
        <f t="shared" si="21"/>
        <v>105000</v>
      </c>
      <c r="K1053" t="e">
        <f>VLOOKUP(B1053,'REGISTRO ABONOS'!$B$8:$BC$10041,54,0)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hidden="1" x14ac:dyDescent="0.2">
      <c r="B1054" s="31">
        <v>1045</v>
      </c>
      <c r="J1054">
        <f t="shared" si="21"/>
        <v>105000</v>
      </c>
      <c r="K1054" t="e">
        <f>VLOOKUP(B1054,'REGISTRO ABONOS'!$B$8:$BC$10041,54,0)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hidden="1" x14ac:dyDescent="0.2">
      <c r="B1055" s="31">
        <v>1046</v>
      </c>
      <c r="J1055">
        <f t="shared" si="21"/>
        <v>105000</v>
      </c>
      <c r="K1055" t="e">
        <f>VLOOKUP(B1055,'REGISTRO ABONOS'!$B$8:$BC$10041,54,0)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hidden="1" x14ac:dyDescent="0.2">
      <c r="B1056" s="31">
        <v>1047</v>
      </c>
      <c r="J1056">
        <f t="shared" si="21"/>
        <v>105000</v>
      </c>
      <c r="K1056" t="e">
        <f>VLOOKUP(B1056,'REGISTRO ABONOS'!$B$8:$BC$10041,54,0)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hidden="1" x14ac:dyDescent="0.2">
      <c r="B1057" s="31">
        <v>1048</v>
      </c>
      <c r="J1057">
        <f t="shared" si="21"/>
        <v>105000</v>
      </c>
      <c r="K1057" t="e">
        <f>VLOOKUP(B1057,'REGISTRO ABONOS'!$B$8:$BC$10041,54,0)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hidden="1" x14ac:dyDescent="0.2">
      <c r="B1058" s="31">
        <v>1049</v>
      </c>
      <c r="J1058">
        <f t="shared" si="21"/>
        <v>105000</v>
      </c>
      <c r="K1058" t="e">
        <f>VLOOKUP(B1058,'REGISTRO ABONOS'!$B$8:$BC$10041,54,0)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hidden="1" x14ac:dyDescent="0.2">
      <c r="B1059" s="31">
        <v>1050</v>
      </c>
      <c r="J1059">
        <f t="shared" si="21"/>
        <v>105000</v>
      </c>
      <c r="K1059" t="e">
        <f>VLOOKUP(B1059,'REGISTRO ABONOS'!$B$8:$BC$10041,54,0)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hidden="1" x14ac:dyDescent="0.2">
      <c r="B1060" s="31">
        <v>1051</v>
      </c>
      <c r="J1060">
        <f t="shared" si="21"/>
        <v>105000</v>
      </c>
      <c r="K1060" t="e">
        <f>VLOOKUP(B1060,'REGISTRO ABONOS'!$B$8:$BC$10041,54,0)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hidden="1" x14ac:dyDescent="0.2">
      <c r="B1061" s="31">
        <v>1052</v>
      </c>
      <c r="J1061">
        <f t="shared" si="21"/>
        <v>105000</v>
      </c>
      <c r="K1061" t="e">
        <f>VLOOKUP(B1061,'REGISTRO ABONOS'!$B$8:$BC$10041,54,0)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hidden="1" x14ac:dyDescent="0.2">
      <c r="B1062" s="31">
        <v>1053</v>
      </c>
      <c r="J1062">
        <f t="shared" si="21"/>
        <v>105000</v>
      </c>
      <c r="K1062" t="e">
        <f>VLOOKUP(B1062,'REGISTRO ABONOS'!$B$8:$BC$10041,54,0)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hidden="1" x14ac:dyDescent="0.2">
      <c r="B1063" s="31">
        <v>1054</v>
      </c>
      <c r="J1063">
        <f t="shared" si="21"/>
        <v>105000</v>
      </c>
      <c r="K1063" t="e">
        <f>VLOOKUP(B1063,'REGISTRO ABONOS'!$B$8:$BC$10041,54,0)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hidden="1" x14ac:dyDescent="0.2">
      <c r="B1064" s="31">
        <v>1055</v>
      </c>
      <c r="J1064">
        <f t="shared" si="21"/>
        <v>105000</v>
      </c>
      <c r="K1064" t="e">
        <f>VLOOKUP(B1064,'REGISTRO ABONOS'!$B$8:$BC$10041,54,0)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hidden="1" x14ac:dyDescent="0.2">
      <c r="B1065" s="31">
        <v>1056</v>
      </c>
      <c r="J1065">
        <f t="shared" si="21"/>
        <v>105000</v>
      </c>
      <c r="K1065" t="e">
        <f>VLOOKUP(B1065,'REGISTRO ABONOS'!$B$8:$BC$10041,54,0)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hidden="1" x14ac:dyDescent="0.2">
      <c r="B1066" s="31">
        <v>1057</v>
      </c>
      <c r="J1066">
        <f t="shared" si="21"/>
        <v>105000</v>
      </c>
      <c r="K1066" t="e">
        <f>VLOOKUP(B1066,'REGISTRO ABONOS'!$B$8:$BC$10041,54,0)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hidden="1" x14ac:dyDescent="0.2">
      <c r="B1067" s="31">
        <v>1058</v>
      </c>
      <c r="J1067">
        <f t="shared" si="21"/>
        <v>105000</v>
      </c>
      <c r="K1067" t="e">
        <f>VLOOKUP(B1067,'REGISTRO ABONOS'!$B$8:$BC$10041,54,0)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hidden="1" x14ac:dyDescent="0.2">
      <c r="B1068" s="31">
        <v>1059</v>
      </c>
      <c r="J1068">
        <f t="shared" si="21"/>
        <v>105000</v>
      </c>
      <c r="K1068" t="e">
        <f>VLOOKUP(B1068,'REGISTRO ABONOS'!$B$8:$BC$10041,54,0)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hidden="1" x14ac:dyDescent="0.2">
      <c r="B1069" s="31">
        <v>1060</v>
      </c>
      <c r="J1069">
        <f t="shared" si="21"/>
        <v>105000</v>
      </c>
      <c r="K1069" t="e">
        <f>VLOOKUP(B1069,'REGISTRO ABONOS'!$B$8:$BC$10041,54,0)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hidden="1" x14ac:dyDescent="0.2">
      <c r="B1070" s="31">
        <v>1061</v>
      </c>
      <c r="J1070">
        <f t="shared" si="21"/>
        <v>105000</v>
      </c>
      <c r="K1070" t="e">
        <f>VLOOKUP(B1070,'REGISTRO ABONOS'!$B$8:$BC$10041,54,0)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hidden="1" x14ac:dyDescent="0.2">
      <c r="B1071" s="31">
        <v>1062</v>
      </c>
      <c r="J1071">
        <f t="shared" si="21"/>
        <v>105000</v>
      </c>
      <c r="K1071" t="e">
        <f>VLOOKUP(B1071,'REGISTRO ABONOS'!$B$8:$BC$10041,54,0)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hidden="1" x14ac:dyDescent="0.2">
      <c r="B1072" s="31">
        <v>1063</v>
      </c>
      <c r="J1072">
        <f t="shared" si="21"/>
        <v>105000</v>
      </c>
      <c r="K1072" t="e">
        <f>VLOOKUP(B1072,'REGISTRO ABONOS'!$B$8:$BC$10041,54,0)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hidden="1" x14ac:dyDescent="0.2">
      <c r="B1073" s="31">
        <v>1064</v>
      </c>
      <c r="J1073">
        <f t="shared" si="21"/>
        <v>105000</v>
      </c>
      <c r="K1073" t="e">
        <f>VLOOKUP(B1073,'REGISTRO ABONOS'!$B$8:$BC$10041,54,0)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hidden="1" x14ac:dyDescent="0.2">
      <c r="B1074" s="31">
        <v>1065</v>
      </c>
      <c r="J1074">
        <f t="shared" si="21"/>
        <v>105000</v>
      </c>
      <c r="K1074" t="e">
        <f>VLOOKUP(B1074,'REGISTRO ABONOS'!$B$8:$BC$10041,54,0)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hidden="1" x14ac:dyDescent="0.2">
      <c r="B1075" s="31">
        <v>1066</v>
      </c>
      <c r="J1075">
        <f t="shared" si="21"/>
        <v>105000</v>
      </c>
      <c r="K1075" t="e">
        <f>VLOOKUP(B1075,'REGISTRO ABONOS'!$B$8:$BC$10041,54,0)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hidden="1" x14ac:dyDescent="0.2">
      <c r="B1076" s="31">
        <v>1067</v>
      </c>
      <c r="J1076">
        <f t="shared" si="21"/>
        <v>105000</v>
      </c>
      <c r="K1076" t="e">
        <f>VLOOKUP(B1076,'REGISTRO ABONOS'!$B$8:$BC$10041,54,0)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hidden="1" x14ac:dyDescent="0.2">
      <c r="B1077" s="31">
        <v>1068</v>
      </c>
      <c r="J1077">
        <f t="shared" si="21"/>
        <v>105000</v>
      </c>
      <c r="K1077" t="e">
        <f>VLOOKUP(B1077,'REGISTRO ABONOS'!$B$8:$BC$10041,54,0)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hidden="1" x14ac:dyDescent="0.2">
      <c r="B1078" s="31">
        <v>1069</v>
      </c>
      <c r="J1078">
        <f t="shared" si="21"/>
        <v>105000</v>
      </c>
      <c r="K1078" t="e">
        <f>VLOOKUP(B1078,'REGISTRO ABONOS'!$B$8:$BC$10041,54,0)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hidden="1" x14ac:dyDescent="0.2">
      <c r="B1079" s="31">
        <v>1070</v>
      </c>
      <c r="J1079">
        <f t="shared" si="21"/>
        <v>105000</v>
      </c>
      <c r="K1079" t="e">
        <f>VLOOKUP(B1079,'REGISTRO ABONOS'!$B$8:$BC$10041,54,0)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hidden="1" x14ac:dyDescent="0.2">
      <c r="B1080" s="31">
        <v>1071</v>
      </c>
      <c r="J1080">
        <f t="shared" si="21"/>
        <v>105000</v>
      </c>
      <c r="K1080" t="e">
        <f>VLOOKUP(B1080,'REGISTRO ABONOS'!$B$8:$BC$10041,54,0)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hidden="1" x14ac:dyDescent="0.2">
      <c r="B1081" s="31">
        <v>1072</v>
      </c>
      <c r="J1081">
        <f t="shared" si="21"/>
        <v>105000</v>
      </c>
      <c r="K1081" t="e">
        <f>VLOOKUP(B1081,'REGISTRO ABONOS'!$B$8:$BC$10041,54,0)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hidden="1" x14ac:dyDescent="0.2">
      <c r="B1082" s="31">
        <v>1073</v>
      </c>
      <c r="J1082">
        <f t="shared" si="21"/>
        <v>105000</v>
      </c>
      <c r="K1082" t="e">
        <f>VLOOKUP(B1082,'REGISTRO ABONOS'!$B$8:$BC$10041,54,0)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hidden="1" x14ac:dyDescent="0.2">
      <c r="B1083" s="31">
        <v>1074</v>
      </c>
      <c r="J1083">
        <f t="shared" si="21"/>
        <v>105000</v>
      </c>
      <c r="K1083" t="e">
        <f>VLOOKUP(B1083,'REGISTRO ABONOS'!$B$8:$BC$10041,54,0)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hidden="1" x14ac:dyDescent="0.2">
      <c r="B1084" s="31">
        <v>1075</v>
      </c>
      <c r="J1084">
        <f t="shared" si="21"/>
        <v>105000</v>
      </c>
      <c r="K1084" t="e">
        <f>VLOOKUP(B1084,'REGISTRO ABONOS'!$B$8:$BC$10041,54,0)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hidden="1" x14ac:dyDescent="0.2">
      <c r="B1085" s="31">
        <v>1076</v>
      </c>
      <c r="J1085">
        <f t="shared" si="21"/>
        <v>105000</v>
      </c>
      <c r="K1085" t="e">
        <f>VLOOKUP(B1085,'REGISTRO ABONOS'!$B$8:$BC$10041,54,0)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hidden="1" x14ac:dyDescent="0.2">
      <c r="B1086" s="31">
        <v>1077</v>
      </c>
      <c r="J1086">
        <f t="shared" si="21"/>
        <v>105000</v>
      </c>
      <c r="K1086" t="e">
        <f>VLOOKUP(B1086,'REGISTRO ABONOS'!$B$8:$BC$10041,54,0)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hidden="1" x14ac:dyDescent="0.2">
      <c r="B1087" s="31">
        <v>1078</v>
      </c>
      <c r="J1087">
        <f t="shared" si="21"/>
        <v>105000</v>
      </c>
      <c r="K1087" t="e">
        <f>VLOOKUP(B1087,'REGISTRO ABONOS'!$B$8:$BC$10041,54,0)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hidden="1" x14ac:dyDescent="0.2">
      <c r="B1088" s="31">
        <v>1079</v>
      </c>
      <c r="J1088">
        <f t="shared" si="21"/>
        <v>105000</v>
      </c>
      <c r="K1088" t="e">
        <f>VLOOKUP(B1088,'REGISTRO ABONOS'!$B$8:$BC$10041,54,0)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hidden="1" x14ac:dyDescent="0.2">
      <c r="B1089" s="31">
        <v>1080</v>
      </c>
      <c r="J1089">
        <f t="shared" si="21"/>
        <v>105000</v>
      </c>
      <c r="K1089" t="e">
        <f>VLOOKUP(B1089,'REGISTRO ABONOS'!$B$8:$BC$10041,54,0)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hidden="1" x14ac:dyDescent="0.2">
      <c r="B1090" s="31">
        <v>1081</v>
      </c>
      <c r="J1090">
        <f t="shared" si="21"/>
        <v>105000</v>
      </c>
      <c r="K1090" t="e">
        <f>VLOOKUP(B1090,'REGISTRO ABONOS'!$B$8:$BC$10041,54,0)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336</v>
      </c>
      <c r="J1091">
        <f t="shared" si="21"/>
        <v>105000</v>
      </c>
      <c r="K1091" t="e">
        <f>VLOOKUP(B1091,'REGISTRO ABONOS'!$B$8:$BC$10041,54,0)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hidden="1" x14ac:dyDescent="0.2">
      <c r="B1092" s="31">
        <v>1083</v>
      </c>
      <c r="J1092">
        <f t="shared" si="21"/>
        <v>105000</v>
      </c>
      <c r="K1092" t="e">
        <f>VLOOKUP(B1092,'REGISTRO ABONOS'!$B$8:$BC$10041,54,0)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hidden="1" x14ac:dyDescent="0.2">
      <c r="B1093" s="31">
        <v>1084</v>
      </c>
      <c r="J1093">
        <f t="shared" si="21"/>
        <v>105000</v>
      </c>
      <c r="K1093" t="e">
        <f>VLOOKUP(B1093,'REGISTRO ABONOS'!$B$8:$BC$10041,54,0)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hidden="1" x14ac:dyDescent="0.2">
      <c r="B1094" s="31">
        <v>1085</v>
      </c>
      <c r="J1094">
        <f t="shared" si="21"/>
        <v>105000</v>
      </c>
      <c r="K1094" t="e">
        <f>VLOOKUP(B1094,'REGISTRO ABONOS'!$B$8:$BC$10041,54,0)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hidden="1" x14ac:dyDescent="0.2">
      <c r="B1095" s="31">
        <v>1086</v>
      </c>
      <c r="J1095">
        <f t="shared" si="21"/>
        <v>105000</v>
      </c>
      <c r="K1095" t="e">
        <f>VLOOKUP(B1095,'REGISTRO ABONOS'!$B$8:$BC$10041,54,0)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hidden="1" x14ac:dyDescent="0.2">
      <c r="B1096" s="31">
        <v>1087</v>
      </c>
      <c r="J1096">
        <f t="shared" si="21"/>
        <v>105000</v>
      </c>
      <c r="K1096" t="e">
        <f>VLOOKUP(B1096,'REGISTRO ABONOS'!$B$8:$BC$10041,54,0)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hidden="1" x14ac:dyDescent="0.2">
      <c r="B1097" s="31">
        <v>1088</v>
      </c>
      <c r="J1097">
        <f t="shared" si="21"/>
        <v>105000</v>
      </c>
      <c r="K1097" t="e">
        <f>VLOOKUP(B1097,'REGISTRO ABONOS'!$B$8:$BC$10041,54,0)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hidden="1" x14ac:dyDescent="0.2">
      <c r="B1098" s="31">
        <v>1089</v>
      </c>
      <c r="J1098">
        <f t="shared" si="21"/>
        <v>105000</v>
      </c>
      <c r="K1098" t="e">
        <f>VLOOKUP(B1098,'REGISTRO ABONOS'!$B$8:$BC$10041,54,0)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hidden="1" x14ac:dyDescent="0.2">
      <c r="B1099" s="31">
        <v>1090</v>
      </c>
      <c r="J1099">
        <f t="shared" si="21"/>
        <v>105000</v>
      </c>
      <c r="K1099" t="e">
        <f>VLOOKUP(B1099,'REGISTRO ABONOS'!$B$8:$BC$10041,54,0)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hidden="1" x14ac:dyDescent="0.2">
      <c r="B1100" s="31">
        <v>1091</v>
      </c>
      <c r="J1100">
        <f t="shared" si="21"/>
        <v>105000</v>
      </c>
      <c r="K1100" t="e">
        <f>VLOOKUP(B1100,'REGISTRO ABONOS'!$B$8:$BC$10041,54,0)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hidden="1" x14ac:dyDescent="0.2">
      <c r="B1101" s="31">
        <v>1092</v>
      </c>
      <c r="J1101">
        <f t="shared" si="21"/>
        <v>105000</v>
      </c>
      <c r="K1101" t="e">
        <f>VLOOKUP(B1101,'REGISTRO ABONOS'!$B$8:$BC$10041,54,0)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hidden="1" x14ac:dyDescent="0.2">
      <c r="B1102" s="31">
        <v>1093</v>
      </c>
      <c r="J1102">
        <f t="shared" si="21"/>
        <v>105000</v>
      </c>
      <c r="K1102" t="e">
        <f>VLOOKUP(B1102,'REGISTRO ABONOS'!$B$8:$BC$10041,54,0)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hidden="1" x14ac:dyDescent="0.2">
      <c r="B1103" s="31">
        <v>1094</v>
      </c>
      <c r="J1103">
        <f t="shared" si="21"/>
        <v>105000</v>
      </c>
      <c r="K1103" t="e">
        <f>VLOOKUP(B1103,'REGISTRO ABONOS'!$B$8:$BC$10041,54,0)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hidden="1" x14ac:dyDescent="0.2">
      <c r="B1104" s="31">
        <v>1095</v>
      </c>
      <c r="J1104">
        <f t="shared" si="21"/>
        <v>105000</v>
      </c>
      <c r="K1104" t="e">
        <f>VLOOKUP(B1104,'REGISTRO ABONOS'!$B$8:$BC$10041,54,0)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hidden="1" x14ac:dyDescent="0.2">
      <c r="B1105" s="31">
        <v>1096</v>
      </c>
      <c r="J1105">
        <f t="shared" si="21"/>
        <v>105000</v>
      </c>
      <c r="K1105" t="e">
        <f>VLOOKUP(B1105,'REGISTRO ABONOS'!$B$8:$BC$10041,54,0)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hidden="1" x14ac:dyDescent="0.2">
      <c r="B1106" s="31">
        <v>1097</v>
      </c>
      <c r="J1106">
        <f t="shared" si="21"/>
        <v>105000</v>
      </c>
      <c r="K1106" t="e">
        <f>VLOOKUP(B1106,'REGISTRO ABONOS'!$B$8:$BC$10041,54,0)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hidden="1" x14ac:dyDescent="0.2">
      <c r="B1107" s="31">
        <v>1098</v>
      </c>
      <c r="J1107">
        <f t="shared" si="21"/>
        <v>105000</v>
      </c>
      <c r="K1107" t="e">
        <f>VLOOKUP(B1107,'REGISTRO ABONOS'!$B$8:$BC$10041,54,0)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hidden="1" x14ac:dyDescent="0.2">
      <c r="B1108" s="31">
        <v>1099</v>
      </c>
      <c r="J1108">
        <f t="shared" si="21"/>
        <v>105000</v>
      </c>
      <c r="K1108" t="e">
        <f>VLOOKUP(B1108,'REGISTRO ABONOS'!$B$8:$BC$10041,54,0)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hidden="1" x14ac:dyDescent="0.2">
      <c r="B1109" s="31">
        <v>1100</v>
      </c>
      <c r="J1109">
        <f t="shared" si="21"/>
        <v>105000</v>
      </c>
      <c r="K1109" t="e">
        <f>VLOOKUP(B1109,'REGISTRO ABONOS'!$B$8:$BC$10041,54,0)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hidden="1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ABONOS'!$B$8:$BC$10041,54,0)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hidden="1" x14ac:dyDescent="0.2">
      <c r="B1111" s="31">
        <v>1102</v>
      </c>
      <c r="J1111">
        <f t="shared" si="22"/>
        <v>105000</v>
      </c>
      <c r="K1111" t="e">
        <f>VLOOKUP(B1111,'REGISTRO ABONOS'!$B$8:$BC$10041,54,0)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hidden="1" x14ac:dyDescent="0.2">
      <c r="B1112" s="31">
        <v>1103</v>
      </c>
      <c r="J1112">
        <f t="shared" si="22"/>
        <v>105000</v>
      </c>
      <c r="K1112" t="e">
        <f>VLOOKUP(B1112,'REGISTRO ABONOS'!$B$8:$BC$10041,54,0)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hidden="1" x14ac:dyDescent="0.2">
      <c r="B1113" s="31">
        <v>1104</v>
      </c>
      <c r="J1113">
        <f t="shared" si="22"/>
        <v>105000</v>
      </c>
      <c r="K1113" t="e">
        <f>VLOOKUP(B1113,'REGISTRO ABONOS'!$B$8:$BC$10041,54,0)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hidden="1" x14ac:dyDescent="0.2">
      <c r="B1114" s="31">
        <v>1105</v>
      </c>
      <c r="J1114">
        <f t="shared" si="22"/>
        <v>105000</v>
      </c>
      <c r="K1114" t="e">
        <f>VLOOKUP(B1114,'REGISTRO ABONOS'!$B$8:$BC$10041,54,0)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hidden="1" x14ac:dyDescent="0.2">
      <c r="B1115" s="31">
        <v>1106</v>
      </c>
      <c r="J1115">
        <f t="shared" si="22"/>
        <v>105000</v>
      </c>
      <c r="K1115" t="e">
        <f>VLOOKUP(B1115,'REGISTRO ABONOS'!$B$8:$BC$10041,54,0)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hidden="1" x14ac:dyDescent="0.2">
      <c r="B1116" s="31">
        <v>1107</v>
      </c>
      <c r="J1116">
        <f t="shared" si="22"/>
        <v>105000</v>
      </c>
      <c r="K1116" t="e">
        <f>VLOOKUP(B1116,'REGISTRO ABONOS'!$B$8:$BC$10041,54,0)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hidden="1" x14ac:dyDescent="0.2">
      <c r="B1117" s="31">
        <v>1108</v>
      </c>
      <c r="J1117">
        <f t="shared" si="22"/>
        <v>105000</v>
      </c>
      <c r="K1117" t="e">
        <f>VLOOKUP(B1117,'REGISTRO ABONOS'!$B$8:$BC$10041,54,0)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hidden="1" x14ac:dyDescent="0.2">
      <c r="B1118" s="31">
        <v>1109</v>
      </c>
      <c r="J1118">
        <f t="shared" si="22"/>
        <v>105000</v>
      </c>
      <c r="K1118" t="e">
        <f>VLOOKUP(B1118,'REGISTRO ABONOS'!$B$8:$BC$10041,54,0)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hidden="1" x14ac:dyDescent="0.2">
      <c r="B1119" s="31">
        <v>1110</v>
      </c>
      <c r="J1119">
        <f t="shared" si="22"/>
        <v>105000</v>
      </c>
      <c r="K1119" t="e">
        <f>VLOOKUP(B1119,'REGISTRO ABONOS'!$B$8:$BC$10041,54,0)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2"/>
        <v>105000</v>
      </c>
      <c r="K1120" t="e">
        <f>VLOOKUP(B1120,'REGISTRO ABONOS'!$B$8:$BC$10041,54,0)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hidden="1" x14ac:dyDescent="0.2">
      <c r="B1121" s="31">
        <v>1112</v>
      </c>
      <c r="J1121">
        <f t="shared" si="22"/>
        <v>105000</v>
      </c>
      <c r="K1121" t="e">
        <f>VLOOKUP(B1121,'REGISTRO ABONOS'!$B$8:$BC$10041,54,0)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hidden="1" x14ac:dyDescent="0.2">
      <c r="B1122" s="31">
        <v>1113</v>
      </c>
      <c r="J1122">
        <f t="shared" si="22"/>
        <v>105000</v>
      </c>
      <c r="K1122" t="e">
        <f>VLOOKUP(B1122,'REGISTRO ABONOS'!$B$8:$BC$10041,54,0)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hidden="1" x14ac:dyDescent="0.2">
      <c r="B1123" s="31">
        <v>1114</v>
      </c>
      <c r="J1123">
        <f t="shared" si="22"/>
        <v>105000</v>
      </c>
      <c r="K1123" t="e">
        <f>VLOOKUP(B1123,'REGISTRO ABONOS'!$B$8:$BC$10041,54,0)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hidden="1" x14ac:dyDescent="0.2">
      <c r="B1124" s="31">
        <v>1115</v>
      </c>
      <c r="J1124">
        <f t="shared" si="22"/>
        <v>105000</v>
      </c>
      <c r="K1124" t="e">
        <f>VLOOKUP(B1124,'REGISTRO ABONOS'!$B$8:$BC$10041,54,0)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hidden="1" x14ac:dyDescent="0.2">
      <c r="B1125" s="31">
        <v>1116</v>
      </c>
      <c r="J1125">
        <f t="shared" si="22"/>
        <v>105000</v>
      </c>
      <c r="K1125" t="e">
        <f>VLOOKUP(B1125,'REGISTRO ABONOS'!$B$8:$BC$10041,54,0)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hidden="1" x14ac:dyDescent="0.2">
      <c r="B1126" s="31">
        <v>1117</v>
      </c>
      <c r="J1126">
        <f t="shared" si="22"/>
        <v>105000</v>
      </c>
      <c r="K1126" t="e">
        <f>VLOOKUP(B1126,'REGISTRO ABONOS'!$B$8:$BC$10041,54,0)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hidden="1" x14ac:dyDescent="0.2">
      <c r="B1127" s="31">
        <v>1118</v>
      </c>
      <c r="J1127">
        <f t="shared" si="22"/>
        <v>105000</v>
      </c>
      <c r="K1127" t="e">
        <f>VLOOKUP(B1127,'REGISTRO ABONOS'!$B$8:$BC$10041,54,0)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hidden="1" x14ac:dyDescent="0.2">
      <c r="B1128" s="31">
        <v>1119</v>
      </c>
      <c r="J1128">
        <f t="shared" si="22"/>
        <v>105000</v>
      </c>
      <c r="K1128" t="e">
        <f>VLOOKUP(B1128,'REGISTRO ABONOS'!$B$8:$BC$10041,54,0)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hidden="1" x14ac:dyDescent="0.2">
      <c r="B1129" s="31">
        <v>1120</v>
      </c>
      <c r="J1129">
        <f t="shared" si="22"/>
        <v>105000</v>
      </c>
      <c r="K1129" t="e">
        <f>VLOOKUP(B1129,'REGISTRO ABONOS'!$B$8:$BC$10041,54,0)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hidden="1" x14ac:dyDescent="0.2">
      <c r="B1130" s="31">
        <v>1121</v>
      </c>
      <c r="J1130">
        <f t="shared" si="22"/>
        <v>105000</v>
      </c>
      <c r="K1130" t="e">
        <f>VLOOKUP(B1130,'REGISTRO ABONOS'!$B$8:$BC$10041,54,0)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hidden="1" x14ac:dyDescent="0.2">
      <c r="B1131" s="31">
        <v>1122</v>
      </c>
      <c r="J1131">
        <f t="shared" si="22"/>
        <v>105000</v>
      </c>
      <c r="K1131" t="e">
        <f>VLOOKUP(B1131,'REGISTRO ABONOS'!$B$8:$BC$10041,54,0)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hidden="1" x14ac:dyDescent="0.2">
      <c r="B1132" s="31">
        <v>1123</v>
      </c>
      <c r="J1132">
        <f t="shared" si="22"/>
        <v>105000</v>
      </c>
      <c r="K1132" t="e">
        <f>VLOOKUP(B1132,'REGISTRO ABONOS'!$B$8:$BC$10041,54,0)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hidden="1" x14ac:dyDescent="0.2">
      <c r="B1133" s="31">
        <v>1124</v>
      </c>
      <c r="J1133">
        <f t="shared" si="22"/>
        <v>105000</v>
      </c>
      <c r="K1133" t="e">
        <f>VLOOKUP(B1133,'REGISTRO ABONOS'!$B$8:$BC$10041,54,0)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hidden="1" x14ac:dyDescent="0.2">
      <c r="B1134" s="31">
        <v>1125</v>
      </c>
      <c r="J1134">
        <f t="shared" si="22"/>
        <v>105000</v>
      </c>
      <c r="K1134" t="e">
        <f>VLOOKUP(B1134,'REGISTRO ABONOS'!$B$8:$BC$10041,54,0)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hidden="1" x14ac:dyDescent="0.2">
      <c r="B1135" s="31">
        <v>1126</v>
      </c>
      <c r="J1135">
        <f t="shared" si="22"/>
        <v>105000</v>
      </c>
      <c r="K1135" t="e">
        <f>VLOOKUP(B1135,'REGISTRO ABONOS'!$B$8:$BC$10041,54,0)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hidden="1" x14ac:dyDescent="0.2">
      <c r="B1136" s="31">
        <v>1127</v>
      </c>
      <c r="J1136">
        <f t="shared" si="22"/>
        <v>105000</v>
      </c>
      <c r="K1136" t="e">
        <f>VLOOKUP(B1136,'REGISTRO ABONOS'!$B$8:$BC$10041,54,0)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hidden="1" x14ac:dyDescent="0.2">
      <c r="B1137" s="31">
        <v>1128</v>
      </c>
      <c r="J1137">
        <f t="shared" si="22"/>
        <v>105000</v>
      </c>
      <c r="K1137" t="e">
        <f>VLOOKUP(B1137,'REGISTRO ABONOS'!$B$8:$BC$10041,54,0)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hidden="1" x14ac:dyDescent="0.2">
      <c r="B1138" s="31">
        <v>1129</v>
      </c>
      <c r="J1138">
        <f t="shared" si="22"/>
        <v>105000</v>
      </c>
      <c r="K1138" t="e">
        <f>VLOOKUP(B1138,'REGISTRO ABONOS'!$B$8:$BC$10041,54,0)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hidden="1" x14ac:dyDescent="0.2">
      <c r="B1139" s="31">
        <v>1130</v>
      </c>
      <c r="J1139">
        <f t="shared" si="22"/>
        <v>105000</v>
      </c>
      <c r="K1139" t="e">
        <f>VLOOKUP(B1139,'REGISTRO ABONOS'!$B$8:$BC$10041,54,0)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hidden="1" x14ac:dyDescent="0.2">
      <c r="B1140" s="31">
        <v>1131</v>
      </c>
      <c r="J1140">
        <f t="shared" si="22"/>
        <v>105000</v>
      </c>
      <c r="K1140" t="e">
        <f>VLOOKUP(B1140,'REGISTRO ABONOS'!$B$8:$BC$10041,54,0)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hidden="1" x14ac:dyDescent="0.2">
      <c r="B1141" s="31">
        <v>1132</v>
      </c>
      <c r="J1141">
        <f t="shared" si="22"/>
        <v>105000</v>
      </c>
      <c r="K1141" t="e">
        <f>VLOOKUP(B1141,'REGISTRO ABONOS'!$B$8:$BC$10041,54,0)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hidden="1" x14ac:dyDescent="0.2">
      <c r="B1142" s="31">
        <v>1133</v>
      </c>
      <c r="J1142">
        <f t="shared" si="22"/>
        <v>105000</v>
      </c>
      <c r="K1142" t="e">
        <f>VLOOKUP(B1142,'REGISTRO ABONOS'!$B$8:$BC$10041,54,0)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hidden="1" x14ac:dyDescent="0.2">
      <c r="B1143" s="31">
        <v>1134</v>
      </c>
      <c r="J1143">
        <f t="shared" si="22"/>
        <v>105000</v>
      </c>
      <c r="K1143" t="e">
        <f>VLOOKUP(B1143,'REGISTRO ABONOS'!$B$8:$BC$10041,54,0)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hidden="1" x14ac:dyDescent="0.2">
      <c r="B1144" s="31">
        <v>1135</v>
      </c>
      <c r="J1144">
        <f t="shared" si="22"/>
        <v>105000</v>
      </c>
      <c r="K1144" t="e">
        <f>VLOOKUP(B1144,'REGISTRO ABONOS'!$B$8:$BC$10041,54,0)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hidden="1" x14ac:dyDescent="0.2">
      <c r="B1145" s="31">
        <v>1136</v>
      </c>
      <c r="J1145">
        <f t="shared" si="22"/>
        <v>105000</v>
      </c>
      <c r="K1145" t="e">
        <f>VLOOKUP(B1145,'REGISTRO ABONOS'!$B$8:$BC$10041,54,0)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hidden="1" x14ac:dyDescent="0.2">
      <c r="B1146" s="31">
        <v>1137</v>
      </c>
      <c r="J1146">
        <f t="shared" si="22"/>
        <v>105000</v>
      </c>
      <c r="K1146" t="e">
        <f>VLOOKUP(B1146,'REGISTRO ABONOS'!$B$8:$BC$10041,54,0)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hidden="1" x14ac:dyDescent="0.2">
      <c r="B1147" s="31">
        <v>1138</v>
      </c>
      <c r="J1147">
        <f t="shared" si="22"/>
        <v>105000</v>
      </c>
      <c r="K1147" t="e">
        <f>VLOOKUP(B1147,'REGISTRO ABONOS'!$B$8:$BC$10041,54,0)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hidden="1" x14ac:dyDescent="0.2">
      <c r="B1148" s="31">
        <v>1139</v>
      </c>
      <c r="J1148">
        <f t="shared" si="22"/>
        <v>105000</v>
      </c>
      <c r="K1148" t="e">
        <f>VLOOKUP(B1148,'REGISTRO ABONOS'!$B$8:$BC$10041,54,0)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hidden="1" x14ac:dyDescent="0.2">
      <c r="B1149" s="31">
        <v>1140</v>
      </c>
      <c r="J1149">
        <f t="shared" si="22"/>
        <v>105000</v>
      </c>
      <c r="K1149" t="e">
        <f>VLOOKUP(B1149,'REGISTRO ABONOS'!$B$8:$BC$10041,54,0)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hidden="1" x14ac:dyDescent="0.2">
      <c r="B1150" s="31">
        <v>1141</v>
      </c>
      <c r="J1150">
        <f t="shared" si="22"/>
        <v>105000</v>
      </c>
      <c r="K1150" t="e">
        <f>VLOOKUP(B1150,'REGISTRO ABONOS'!$B$8:$BC$10041,54,0)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hidden="1" x14ac:dyDescent="0.2">
      <c r="B1151" s="31">
        <v>1142</v>
      </c>
      <c r="J1151">
        <f t="shared" si="22"/>
        <v>105000</v>
      </c>
      <c r="K1151" t="e">
        <f>VLOOKUP(B1151,'REGISTRO ABONOS'!$B$8:$BC$10041,54,0)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hidden="1" x14ac:dyDescent="0.2">
      <c r="B1152" s="31">
        <v>1143</v>
      </c>
      <c r="J1152">
        <f t="shared" si="22"/>
        <v>105000</v>
      </c>
      <c r="K1152" t="e">
        <f>VLOOKUP(B1152,'REGISTRO ABONOS'!$B$8:$BC$10041,54,0)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hidden="1" x14ac:dyDescent="0.2">
      <c r="B1153" s="31">
        <v>1144</v>
      </c>
      <c r="J1153">
        <f t="shared" si="22"/>
        <v>105000</v>
      </c>
      <c r="K1153" t="e">
        <f>VLOOKUP(B1153,'REGISTRO ABONOS'!$B$8:$BC$10041,54,0)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hidden="1" x14ac:dyDescent="0.2">
      <c r="B1154" s="31">
        <v>1145</v>
      </c>
      <c r="J1154">
        <f t="shared" si="22"/>
        <v>105000</v>
      </c>
      <c r="K1154" t="e">
        <f>VLOOKUP(B1154,'REGISTRO ABONOS'!$B$8:$BC$10041,54,0)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hidden="1" x14ac:dyDescent="0.2">
      <c r="B1155" s="31">
        <v>1146</v>
      </c>
      <c r="J1155">
        <f t="shared" si="22"/>
        <v>105000</v>
      </c>
      <c r="K1155" t="e">
        <f>VLOOKUP(B1155,'REGISTRO ABONOS'!$B$8:$BC$10041,54,0)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hidden="1" x14ac:dyDescent="0.2">
      <c r="B1156" s="31">
        <v>1147</v>
      </c>
      <c r="J1156">
        <f t="shared" si="22"/>
        <v>105000</v>
      </c>
      <c r="K1156" t="e">
        <f>VLOOKUP(B1156,'REGISTRO ABONOS'!$B$8:$BC$10041,54,0)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hidden="1" x14ac:dyDescent="0.2">
      <c r="B1157" s="31">
        <v>1148</v>
      </c>
      <c r="J1157">
        <f t="shared" si="22"/>
        <v>105000</v>
      </c>
      <c r="K1157" t="e">
        <f>VLOOKUP(B1157,'REGISTRO ABONOS'!$B$8:$BC$10041,54,0)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hidden="1" x14ac:dyDescent="0.2">
      <c r="B1158" s="31">
        <v>1149</v>
      </c>
      <c r="J1158">
        <f t="shared" si="22"/>
        <v>105000</v>
      </c>
      <c r="K1158" t="e">
        <f>VLOOKUP(B1158,'REGISTRO ABONOS'!$B$8:$BC$10041,54,0)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hidden="1" x14ac:dyDescent="0.2">
      <c r="B1159" s="31">
        <v>1150</v>
      </c>
      <c r="J1159">
        <f t="shared" si="22"/>
        <v>105000</v>
      </c>
      <c r="K1159" t="e">
        <f>VLOOKUP(B1159,'REGISTRO ABONOS'!$B$8:$BC$10041,54,0)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hidden="1" x14ac:dyDescent="0.2">
      <c r="B1160" s="31">
        <v>1151</v>
      </c>
      <c r="J1160">
        <f t="shared" si="22"/>
        <v>105000</v>
      </c>
      <c r="K1160" t="e">
        <f>VLOOKUP(B1160,'REGISTRO ABONOS'!$B$8:$BC$10041,54,0)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hidden="1" x14ac:dyDescent="0.2">
      <c r="B1161" s="31">
        <v>1152</v>
      </c>
      <c r="J1161">
        <f t="shared" si="22"/>
        <v>105000</v>
      </c>
      <c r="K1161" t="e">
        <f>VLOOKUP(B1161,'REGISTRO ABONOS'!$B$8:$BC$10041,54,0)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hidden="1" x14ac:dyDescent="0.2">
      <c r="B1162" s="31">
        <v>1153</v>
      </c>
      <c r="J1162">
        <f t="shared" si="22"/>
        <v>105000</v>
      </c>
      <c r="K1162" t="e">
        <f>VLOOKUP(B1162,'REGISTRO ABONOS'!$B$8:$BC$10041,54,0)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hidden="1" x14ac:dyDescent="0.2">
      <c r="B1163" s="31">
        <v>1154</v>
      </c>
      <c r="J1163">
        <f t="shared" si="22"/>
        <v>105000</v>
      </c>
      <c r="K1163" t="e">
        <f>VLOOKUP(B1163,'REGISTRO ABONOS'!$B$8:$BC$10041,54,0)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hidden="1" x14ac:dyDescent="0.2">
      <c r="B1164" s="31">
        <v>1155</v>
      </c>
      <c r="J1164">
        <f t="shared" si="22"/>
        <v>105000</v>
      </c>
      <c r="K1164" t="e">
        <f>VLOOKUP(B1164,'REGISTRO ABONOS'!$B$8:$BC$10041,54,0)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hidden="1" x14ac:dyDescent="0.2">
      <c r="B1165" s="31">
        <v>1156</v>
      </c>
      <c r="J1165">
        <f t="shared" si="22"/>
        <v>105000</v>
      </c>
      <c r="K1165" t="e">
        <f>VLOOKUP(B1165,'REGISTRO ABONOS'!$B$8:$BC$10041,54,0)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hidden="1" x14ac:dyDescent="0.2">
      <c r="B1166" s="31">
        <v>1157</v>
      </c>
      <c r="J1166">
        <f t="shared" si="22"/>
        <v>105000</v>
      </c>
      <c r="K1166" t="e">
        <f>VLOOKUP(B1166,'REGISTRO ABONOS'!$B$8:$BC$10041,54,0)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hidden="1" x14ac:dyDescent="0.2">
      <c r="B1167" s="31">
        <v>1158</v>
      </c>
      <c r="J1167">
        <f t="shared" si="22"/>
        <v>105000</v>
      </c>
      <c r="K1167" t="e">
        <f>VLOOKUP(B1167,'REGISTRO ABONOS'!$B$8:$BC$10041,54,0)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hidden="1" x14ac:dyDescent="0.2">
      <c r="B1168" s="31">
        <v>1159</v>
      </c>
      <c r="J1168">
        <f t="shared" si="22"/>
        <v>105000</v>
      </c>
      <c r="K1168" t="e">
        <f>VLOOKUP(B1168,'REGISTRO ABONOS'!$B$8:$BC$10041,54,0)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hidden="1" x14ac:dyDescent="0.2">
      <c r="B1169" s="31">
        <v>1160</v>
      </c>
      <c r="J1169">
        <f t="shared" si="22"/>
        <v>105000</v>
      </c>
      <c r="K1169" t="e">
        <f>VLOOKUP(B1169,'REGISTRO ABONOS'!$B$8:$BC$10041,54,0)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hidden="1" x14ac:dyDescent="0.2">
      <c r="B1170" s="31">
        <v>1161</v>
      </c>
      <c r="J1170">
        <f t="shared" si="22"/>
        <v>105000</v>
      </c>
      <c r="K1170" t="e">
        <f>VLOOKUP(B1170,'REGISTRO ABONOS'!$B$8:$BC$10041,54,0)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hidden="1" x14ac:dyDescent="0.2">
      <c r="B1171" s="31">
        <v>1162</v>
      </c>
      <c r="J1171">
        <f t="shared" si="22"/>
        <v>105000</v>
      </c>
      <c r="K1171" t="e">
        <f>VLOOKUP(B1171,'REGISTRO ABONOS'!$B$8:$BC$10041,54,0)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hidden="1" x14ac:dyDescent="0.2">
      <c r="B1172" s="31">
        <v>1163</v>
      </c>
      <c r="J1172">
        <f t="shared" si="22"/>
        <v>105000</v>
      </c>
      <c r="K1172" t="e">
        <f>VLOOKUP(B1172,'REGISTRO ABONOS'!$B$8:$BC$10041,54,0)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hidden="1" x14ac:dyDescent="0.2">
      <c r="B1173" s="31">
        <v>1164</v>
      </c>
      <c r="J1173">
        <f t="shared" si="22"/>
        <v>105000</v>
      </c>
      <c r="K1173" t="e">
        <f>VLOOKUP(B1173,'REGISTRO ABONOS'!$B$8:$BC$10041,54,0)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hidden="1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ABONOS'!$B$8:$BC$10041,54,0)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hidden="1" x14ac:dyDescent="0.2">
      <c r="B1175" s="31">
        <v>1166</v>
      </c>
      <c r="J1175">
        <f t="shared" si="23"/>
        <v>105000</v>
      </c>
      <c r="K1175" t="e">
        <f>VLOOKUP(B1175,'REGISTRO ABONOS'!$B$8:$BC$10041,54,0)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hidden="1" x14ac:dyDescent="0.2">
      <c r="B1176" s="31">
        <v>1167</v>
      </c>
      <c r="J1176">
        <f t="shared" si="23"/>
        <v>105000</v>
      </c>
      <c r="K1176" t="e">
        <f>VLOOKUP(B1176,'REGISTRO ABONOS'!$B$8:$BC$10041,54,0)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hidden="1" x14ac:dyDescent="0.2">
      <c r="B1177" s="31">
        <v>1168</v>
      </c>
      <c r="J1177">
        <f t="shared" si="23"/>
        <v>105000</v>
      </c>
      <c r="K1177" t="e">
        <f>VLOOKUP(B1177,'REGISTRO ABONOS'!$B$8:$BC$10041,54,0)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hidden="1" x14ac:dyDescent="0.2">
      <c r="B1178" s="31">
        <v>1169</v>
      </c>
      <c r="J1178">
        <f t="shared" si="23"/>
        <v>105000</v>
      </c>
      <c r="K1178" t="e">
        <f>VLOOKUP(B1178,'REGISTRO ABONOS'!$B$8:$BC$10041,54,0)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hidden="1" x14ac:dyDescent="0.2">
      <c r="B1179" s="31">
        <v>1170</v>
      </c>
      <c r="J1179">
        <f t="shared" si="23"/>
        <v>105000</v>
      </c>
      <c r="K1179" t="e">
        <f>VLOOKUP(B1179,'REGISTRO ABONOS'!$B$8:$BC$10041,54,0)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hidden="1" x14ac:dyDescent="0.2">
      <c r="B1180" s="31">
        <v>1171</v>
      </c>
      <c r="J1180">
        <f t="shared" si="23"/>
        <v>105000</v>
      </c>
      <c r="K1180" t="e">
        <f>VLOOKUP(B1180,'REGISTRO ABONOS'!$B$8:$BC$10041,54,0)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hidden="1" x14ac:dyDescent="0.2">
      <c r="B1181" s="31">
        <v>1172</v>
      </c>
      <c r="J1181">
        <f t="shared" si="23"/>
        <v>105000</v>
      </c>
      <c r="K1181" t="e">
        <f>VLOOKUP(B1181,'REGISTRO ABONOS'!$B$8:$BC$10041,54,0)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hidden="1" x14ac:dyDescent="0.2">
      <c r="B1182" s="31">
        <v>1173</v>
      </c>
      <c r="J1182">
        <f t="shared" si="23"/>
        <v>105000</v>
      </c>
      <c r="K1182" t="e">
        <f>VLOOKUP(B1182,'REGISTRO ABONOS'!$B$8:$BC$10041,54,0)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hidden="1" x14ac:dyDescent="0.2">
      <c r="B1183" s="31">
        <v>1174</v>
      </c>
      <c r="J1183">
        <f t="shared" si="23"/>
        <v>105000</v>
      </c>
      <c r="K1183" t="e">
        <f>VLOOKUP(B1183,'REGISTRO ABONOS'!$B$8:$BC$10041,54,0)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hidden="1" x14ac:dyDescent="0.2">
      <c r="B1184" s="31">
        <v>1175</v>
      </c>
      <c r="J1184">
        <f t="shared" si="23"/>
        <v>105000</v>
      </c>
      <c r="K1184" t="e">
        <f>VLOOKUP(B1184,'REGISTRO ABONOS'!$B$8:$BC$10041,54,0)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hidden="1" x14ac:dyDescent="0.2">
      <c r="B1185" s="31">
        <v>1176</v>
      </c>
      <c r="J1185">
        <f t="shared" si="23"/>
        <v>105000</v>
      </c>
      <c r="K1185" t="e">
        <f>VLOOKUP(B1185,'REGISTRO ABONOS'!$B$8:$BC$10041,54,0)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hidden="1" x14ac:dyDescent="0.2">
      <c r="B1186" s="31">
        <v>1177</v>
      </c>
      <c r="J1186">
        <f t="shared" si="23"/>
        <v>105000</v>
      </c>
      <c r="K1186" t="e">
        <f>VLOOKUP(B1186,'REGISTRO ABONOS'!$B$8:$BC$10041,54,0)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hidden="1" x14ac:dyDescent="0.2">
      <c r="B1187" s="31">
        <v>1178</v>
      </c>
      <c r="J1187">
        <f t="shared" si="23"/>
        <v>105000</v>
      </c>
      <c r="K1187" t="e">
        <f>VLOOKUP(B1187,'REGISTRO ABONOS'!$B$8:$BC$10041,54,0)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hidden="1" x14ac:dyDescent="0.2">
      <c r="B1188" s="31">
        <v>1179</v>
      </c>
      <c r="J1188">
        <f t="shared" si="23"/>
        <v>105000</v>
      </c>
      <c r="K1188" t="e">
        <f>VLOOKUP(B1188,'REGISTRO ABONOS'!$B$8:$BC$10041,54,0)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hidden="1" x14ac:dyDescent="0.2">
      <c r="B1189" s="31">
        <v>1180</v>
      </c>
      <c r="J1189">
        <f t="shared" si="23"/>
        <v>105000</v>
      </c>
      <c r="K1189" t="e">
        <f>VLOOKUP(B1189,'REGISTRO ABONOS'!$B$8:$BC$10041,54,0)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hidden="1" x14ac:dyDescent="0.2">
      <c r="B1190" s="31">
        <v>1181</v>
      </c>
      <c r="J1190">
        <f t="shared" si="23"/>
        <v>105000</v>
      </c>
      <c r="K1190" t="e">
        <f>VLOOKUP(B1190,'REGISTRO ABONOS'!$B$8:$BC$10041,54,0)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hidden="1" x14ac:dyDescent="0.2">
      <c r="B1191" s="31">
        <v>1182</v>
      </c>
      <c r="J1191">
        <f t="shared" si="23"/>
        <v>105000</v>
      </c>
      <c r="K1191" t="e">
        <f>VLOOKUP(B1191,'REGISTRO ABONOS'!$B$8:$BC$10041,54,0)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hidden="1" x14ac:dyDescent="0.2">
      <c r="B1192" s="31">
        <v>1183</v>
      </c>
      <c r="J1192">
        <f t="shared" si="23"/>
        <v>105000</v>
      </c>
      <c r="K1192" t="e">
        <f>VLOOKUP(B1192,'REGISTRO ABONOS'!$B$8:$BC$10041,54,0)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hidden="1" x14ac:dyDescent="0.2">
      <c r="B1193" s="31">
        <v>1184</v>
      </c>
      <c r="J1193">
        <f t="shared" si="23"/>
        <v>105000</v>
      </c>
      <c r="K1193" t="e">
        <f>VLOOKUP(B1193,'REGISTRO ABONOS'!$B$8:$BC$10041,54,0)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hidden="1" x14ac:dyDescent="0.2">
      <c r="B1194" s="31">
        <v>1185</v>
      </c>
      <c r="J1194">
        <f t="shared" si="23"/>
        <v>105000</v>
      </c>
      <c r="K1194" t="e">
        <f>VLOOKUP(B1194,'REGISTRO ABONOS'!$B$8:$BC$10041,54,0)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hidden="1" x14ac:dyDescent="0.2">
      <c r="B1195" s="31">
        <v>1186</v>
      </c>
      <c r="J1195">
        <f t="shared" si="23"/>
        <v>105000</v>
      </c>
      <c r="K1195" t="e">
        <f>VLOOKUP(B1195,'REGISTRO ABONOS'!$B$8:$BC$10041,54,0)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hidden="1" x14ac:dyDescent="0.2">
      <c r="B1196" s="31">
        <v>1187</v>
      </c>
      <c r="J1196">
        <f t="shared" si="23"/>
        <v>105000</v>
      </c>
      <c r="K1196" t="e">
        <f>VLOOKUP(B1196,'REGISTRO ABONOS'!$B$8:$BC$10041,54,0)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hidden="1" x14ac:dyDescent="0.2">
      <c r="B1197" s="31">
        <v>1188</v>
      </c>
      <c r="J1197">
        <f t="shared" si="23"/>
        <v>105000</v>
      </c>
      <c r="K1197" t="e">
        <f>VLOOKUP(B1197,'REGISTRO ABONOS'!$B$8:$BC$10041,54,0)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hidden="1" x14ac:dyDescent="0.2">
      <c r="B1198" s="31">
        <v>1189</v>
      </c>
      <c r="J1198">
        <f t="shared" si="23"/>
        <v>105000</v>
      </c>
      <c r="K1198" t="e">
        <f>VLOOKUP(B1198,'REGISTRO ABONOS'!$B$8:$BC$10041,54,0)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hidden="1" x14ac:dyDescent="0.2">
      <c r="B1199" s="31">
        <v>1190</v>
      </c>
      <c r="J1199">
        <f t="shared" si="23"/>
        <v>105000</v>
      </c>
      <c r="K1199" t="e">
        <f>VLOOKUP(B1199,'REGISTRO ABONOS'!$B$8:$BC$10041,54,0)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hidden="1" x14ac:dyDescent="0.2">
      <c r="B1200" s="31">
        <v>1191</v>
      </c>
      <c r="J1200">
        <f t="shared" si="23"/>
        <v>105000</v>
      </c>
      <c r="K1200" t="e">
        <f>VLOOKUP(B1200,'REGISTRO ABONOS'!$B$8:$BC$10041,54,0)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3"/>
        <v>105000</v>
      </c>
      <c r="K1201">
        <f>VLOOKUP(B1201,'REGISTRO ABONOS'!$B$8:$BC$10041,54,0)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hidden="1" x14ac:dyDescent="0.2">
      <c r="B1202" s="31">
        <v>1193</v>
      </c>
      <c r="J1202">
        <f t="shared" si="23"/>
        <v>105000</v>
      </c>
      <c r="K1202" t="e">
        <f>VLOOKUP(B1202,'REGISTRO ABONOS'!$B$8:$BC$10041,54,0)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hidden="1" x14ac:dyDescent="0.2">
      <c r="B1203" s="31">
        <v>1194</v>
      </c>
      <c r="J1203">
        <f t="shared" si="23"/>
        <v>105000</v>
      </c>
      <c r="K1203" t="e">
        <f>VLOOKUP(B1203,'REGISTRO ABONOS'!$B$8:$BC$10041,54,0)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hidden="1" x14ac:dyDescent="0.2">
      <c r="B1204" s="31">
        <v>1195</v>
      </c>
      <c r="J1204">
        <f t="shared" si="23"/>
        <v>105000</v>
      </c>
      <c r="K1204" t="e">
        <f>VLOOKUP(B1204,'REGISTRO ABONOS'!$B$8:$BC$10041,54,0)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hidden="1" x14ac:dyDescent="0.2">
      <c r="B1205" s="31">
        <v>1196</v>
      </c>
      <c r="J1205">
        <f t="shared" si="23"/>
        <v>105000</v>
      </c>
      <c r="K1205" t="e">
        <f>VLOOKUP(B1205,'REGISTRO ABONOS'!$B$8:$BC$10041,54,0)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hidden="1" x14ac:dyDescent="0.2">
      <c r="B1206" s="31">
        <v>1197</v>
      </c>
      <c r="J1206">
        <f t="shared" si="23"/>
        <v>105000</v>
      </c>
      <c r="K1206" t="e">
        <f>VLOOKUP(B1206,'REGISTRO ABONOS'!$B$8:$BC$10041,54,0)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hidden="1" x14ac:dyDescent="0.2">
      <c r="B1207" s="31">
        <v>1198</v>
      </c>
      <c r="J1207">
        <f t="shared" si="23"/>
        <v>105000</v>
      </c>
      <c r="K1207" t="e">
        <f>VLOOKUP(B1207,'REGISTRO ABONOS'!$B$8:$BC$10041,54,0)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hidden="1" x14ac:dyDescent="0.2">
      <c r="B1208" s="31">
        <v>1199</v>
      </c>
      <c r="J1208">
        <f t="shared" si="23"/>
        <v>105000</v>
      </c>
      <c r="K1208" t="e">
        <f>VLOOKUP(B1208,'REGISTRO ABONOS'!$B$8:$BC$10041,54,0)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hidden="1" x14ac:dyDescent="0.2">
      <c r="B1209" s="31">
        <v>1200</v>
      </c>
      <c r="J1209">
        <f t="shared" si="23"/>
        <v>105000</v>
      </c>
      <c r="K1209" t="e">
        <f>VLOOKUP(B1209,'REGISTRO ABONOS'!$B$8:$BC$10041,54,0)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hidden="1" x14ac:dyDescent="0.2">
      <c r="B1210" s="31">
        <v>1201</v>
      </c>
      <c r="J1210">
        <f t="shared" si="23"/>
        <v>105000</v>
      </c>
      <c r="K1210" t="e">
        <f>VLOOKUP(B1210,'REGISTRO ABONOS'!$B$8:$BC$10041,54,0)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hidden="1" x14ac:dyDescent="0.2">
      <c r="B1211" s="31">
        <v>1202</v>
      </c>
      <c r="J1211">
        <f t="shared" si="23"/>
        <v>105000</v>
      </c>
      <c r="K1211" t="e">
        <f>VLOOKUP(B1211,'REGISTRO ABONOS'!$B$8:$BC$10041,54,0)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hidden="1" x14ac:dyDescent="0.2">
      <c r="B1212" s="31">
        <v>1203</v>
      </c>
      <c r="J1212">
        <f t="shared" si="23"/>
        <v>105000</v>
      </c>
      <c r="K1212" t="e">
        <f>VLOOKUP(B1212,'REGISTRO ABONOS'!$B$8:$BC$10041,54,0)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hidden="1" x14ac:dyDescent="0.2">
      <c r="B1213" s="31">
        <v>1204</v>
      </c>
      <c r="J1213">
        <f t="shared" si="23"/>
        <v>105000</v>
      </c>
      <c r="K1213" t="e">
        <f>VLOOKUP(B1213,'REGISTRO ABONOS'!$B$8:$BC$10041,54,0)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hidden="1" x14ac:dyDescent="0.2">
      <c r="B1214" s="31">
        <v>1205</v>
      </c>
      <c r="J1214">
        <f t="shared" si="23"/>
        <v>105000</v>
      </c>
      <c r="K1214" t="e">
        <f>VLOOKUP(B1214,'REGISTRO ABONOS'!$B$8:$BC$10041,54,0)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hidden="1" x14ac:dyDescent="0.2">
      <c r="B1215" s="31">
        <v>1206</v>
      </c>
      <c r="J1215">
        <f t="shared" si="23"/>
        <v>105000</v>
      </c>
      <c r="K1215" t="e">
        <f>VLOOKUP(B1215,'REGISTRO ABONOS'!$B$8:$BC$10041,54,0)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hidden="1" x14ac:dyDescent="0.2">
      <c r="B1216" s="31">
        <v>1207</v>
      </c>
      <c r="J1216">
        <f t="shared" si="23"/>
        <v>105000</v>
      </c>
      <c r="K1216" t="e">
        <f>VLOOKUP(B1216,'REGISTRO ABONOS'!$B$8:$BC$10041,54,0)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hidden="1" x14ac:dyDescent="0.2">
      <c r="B1217" s="31">
        <v>1208</v>
      </c>
      <c r="J1217">
        <f t="shared" si="23"/>
        <v>105000</v>
      </c>
      <c r="K1217" t="e">
        <f>VLOOKUP(B1217,'REGISTRO ABONOS'!$B$8:$BC$10041,54,0)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hidden="1" x14ac:dyDescent="0.2">
      <c r="B1218" s="31">
        <v>1209</v>
      </c>
      <c r="J1218">
        <f t="shared" si="23"/>
        <v>105000</v>
      </c>
      <c r="K1218" t="e">
        <f>VLOOKUP(B1218,'REGISTRO ABONOS'!$B$8:$BC$10041,54,0)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hidden="1" x14ac:dyDescent="0.2">
      <c r="B1219" s="31">
        <v>1210</v>
      </c>
      <c r="J1219">
        <f t="shared" si="23"/>
        <v>105000</v>
      </c>
      <c r="K1219" t="e">
        <f>VLOOKUP(B1219,'REGISTRO ABONOS'!$B$8:$BC$10041,54,0)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hidden="1" x14ac:dyDescent="0.2">
      <c r="B1220" s="31">
        <v>1211</v>
      </c>
      <c r="J1220">
        <f t="shared" si="23"/>
        <v>105000</v>
      </c>
      <c r="K1220" t="e">
        <f>VLOOKUP(B1220,'REGISTRO ABONOS'!$B$8:$BC$10041,54,0)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hidden="1" x14ac:dyDescent="0.2">
      <c r="B1221" s="31">
        <v>1212</v>
      </c>
      <c r="J1221">
        <f t="shared" si="23"/>
        <v>105000</v>
      </c>
      <c r="K1221" t="e">
        <f>VLOOKUP(B1221,'REGISTRO ABONOS'!$B$8:$BC$10041,54,0)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hidden="1" x14ac:dyDescent="0.2">
      <c r="B1222" s="31">
        <v>1213</v>
      </c>
      <c r="J1222">
        <f t="shared" si="23"/>
        <v>105000</v>
      </c>
      <c r="K1222" t="e">
        <f>VLOOKUP(B1222,'REGISTRO ABONOS'!$B$8:$BC$10041,54,0)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hidden="1" x14ac:dyDescent="0.2">
      <c r="B1223" s="31">
        <v>1214</v>
      </c>
      <c r="J1223">
        <f t="shared" si="23"/>
        <v>105000</v>
      </c>
      <c r="K1223" t="e">
        <f>VLOOKUP(B1223,'REGISTRO ABONOS'!$B$8:$BC$10041,54,0)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hidden="1" x14ac:dyDescent="0.2">
      <c r="B1224" s="31">
        <v>1215</v>
      </c>
      <c r="J1224">
        <f t="shared" si="23"/>
        <v>105000</v>
      </c>
      <c r="K1224" t="e">
        <f>VLOOKUP(B1224,'REGISTRO ABONOS'!$B$8:$BC$10041,54,0)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hidden="1" x14ac:dyDescent="0.2">
      <c r="B1225" s="31">
        <v>1216</v>
      </c>
      <c r="C1225" s="10">
        <v>43571</v>
      </c>
      <c r="D1225" t="s">
        <v>491</v>
      </c>
      <c r="H1225" t="s">
        <v>491</v>
      </c>
      <c r="I1225" t="s">
        <v>322</v>
      </c>
      <c r="J1225">
        <f t="shared" si="23"/>
        <v>105000</v>
      </c>
      <c r="K1225" t="e">
        <f>VLOOKUP(B1225,'REGISTRO ABONOS'!$B$8:$BC$10041,54,0)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hidden="1" x14ac:dyDescent="0.2">
      <c r="B1226" s="31">
        <v>1217</v>
      </c>
      <c r="J1226">
        <f t="shared" si="23"/>
        <v>105000</v>
      </c>
      <c r="K1226" t="e">
        <f>VLOOKUP(B1226,'REGISTRO ABONOS'!$B$8:$BC$10041,54,0)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hidden="1" x14ac:dyDescent="0.2">
      <c r="B1227" s="31">
        <v>1218</v>
      </c>
      <c r="J1227">
        <f t="shared" si="23"/>
        <v>105000</v>
      </c>
      <c r="K1227" t="e">
        <f>VLOOKUP(B1227,'REGISTRO ABONOS'!$B$8:$BC$10041,54,0)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hidden="1" x14ac:dyDescent="0.2">
      <c r="B1228" s="31">
        <v>1219</v>
      </c>
      <c r="J1228">
        <f t="shared" si="23"/>
        <v>105000</v>
      </c>
      <c r="K1228" t="e">
        <f>VLOOKUP(B1228,'REGISTRO ABONOS'!$B$8:$BC$10041,54,0)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hidden="1" x14ac:dyDescent="0.2">
      <c r="B1229" s="31">
        <v>1220</v>
      </c>
      <c r="J1229">
        <f t="shared" si="23"/>
        <v>105000</v>
      </c>
      <c r="K1229" t="e">
        <f>VLOOKUP(B1229,'REGISTRO ABONOS'!$B$8:$BC$10041,54,0)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hidden="1" x14ac:dyDescent="0.2">
      <c r="B1230" s="31">
        <v>1221</v>
      </c>
      <c r="J1230">
        <f t="shared" si="23"/>
        <v>105000</v>
      </c>
      <c r="K1230" t="e">
        <f>VLOOKUP(B1230,'REGISTRO ABONOS'!$B$8:$BC$10041,54,0)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hidden="1" x14ac:dyDescent="0.2">
      <c r="B1231" s="31">
        <v>1222</v>
      </c>
      <c r="J1231">
        <f t="shared" si="23"/>
        <v>105000</v>
      </c>
      <c r="K1231" t="e">
        <f>VLOOKUP(B1231,'REGISTRO ABONOS'!$B$8:$BC$10041,54,0)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hidden="1" x14ac:dyDescent="0.2">
      <c r="B1232" s="31">
        <v>1223</v>
      </c>
      <c r="J1232">
        <f t="shared" si="23"/>
        <v>105000</v>
      </c>
      <c r="K1232" t="e">
        <f>VLOOKUP(B1232,'REGISTRO ABONOS'!$B$8:$BC$10041,54,0)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hidden="1" x14ac:dyDescent="0.2">
      <c r="B1233" s="31">
        <v>1224</v>
      </c>
      <c r="J1233">
        <f t="shared" si="23"/>
        <v>105000</v>
      </c>
      <c r="K1233" t="e">
        <f>VLOOKUP(B1233,'REGISTRO ABONOS'!$B$8:$BC$10041,54,0)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hidden="1" x14ac:dyDescent="0.2">
      <c r="B1234" s="31">
        <v>1225</v>
      </c>
      <c r="J1234">
        <f t="shared" si="23"/>
        <v>105000</v>
      </c>
      <c r="K1234" t="e">
        <f>VLOOKUP(B1234,'REGISTRO ABONOS'!$B$8:$BC$10041,54,0)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hidden="1" x14ac:dyDescent="0.2">
      <c r="B1235" s="31">
        <v>1226</v>
      </c>
      <c r="J1235">
        <f t="shared" si="23"/>
        <v>105000</v>
      </c>
      <c r="K1235" t="e">
        <f>VLOOKUP(B1235,'REGISTRO ABONOS'!$B$8:$BC$10041,54,0)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hidden="1" x14ac:dyDescent="0.2">
      <c r="B1236" s="31">
        <v>1227</v>
      </c>
      <c r="J1236">
        <f t="shared" si="23"/>
        <v>105000</v>
      </c>
      <c r="K1236" t="e">
        <f>VLOOKUP(B1236,'REGISTRO ABONOS'!$B$8:$BC$10041,54,0)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hidden="1" x14ac:dyDescent="0.2">
      <c r="B1237" s="31">
        <v>1228</v>
      </c>
      <c r="J1237">
        <f t="shared" si="23"/>
        <v>105000</v>
      </c>
      <c r="K1237" t="e">
        <f>VLOOKUP(B1237,'REGISTRO ABONOS'!$B$8:$BC$10041,54,0)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hidden="1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ABONOS'!$B$8:$BC$10041,54,0)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hidden="1" x14ac:dyDescent="0.2">
      <c r="B1239" s="31">
        <v>1230</v>
      </c>
      <c r="J1239">
        <f t="shared" si="24"/>
        <v>105000</v>
      </c>
      <c r="K1239" t="e">
        <f>VLOOKUP(B1239,'REGISTRO ABONOS'!$B$8:$BC$10041,54,0)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hidden="1" x14ac:dyDescent="0.2">
      <c r="B1240" s="31">
        <v>1231</v>
      </c>
      <c r="J1240">
        <f t="shared" si="24"/>
        <v>105000</v>
      </c>
      <c r="K1240" t="e">
        <f>VLOOKUP(B1240,'REGISTRO ABONOS'!$B$8:$BC$10041,54,0)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hidden="1" x14ac:dyDescent="0.2">
      <c r="B1241" s="31">
        <v>1232</v>
      </c>
      <c r="J1241">
        <f t="shared" si="24"/>
        <v>105000</v>
      </c>
      <c r="K1241" t="e">
        <f>VLOOKUP(B1241,'REGISTRO ABONOS'!$B$8:$BC$10041,54,0)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hidden="1" x14ac:dyDescent="0.2">
      <c r="B1242" s="31">
        <v>1233</v>
      </c>
      <c r="J1242">
        <f t="shared" si="24"/>
        <v>105000</v>
      </c>
      <c r="K1242" t="e">
        <f>VLOOKUP(B1242,'REGISTRO ABONOS'!$B$8:$BC$10041,54,0)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hidden="1" x14ac:dyDescent="0.2">
      <c r="B1243" s="31">
        <v>1234</v>
      </c>
      <c r="C1243" s="10">
        <v>43571</v>
      </c>
      <c r="D1243" t="s">
        <v>431</v>
      </c>
      <c r="H1243" t="s">
        <v>431</v>
      </c>
      <c r="I1243" t="s">
        <v>322</v>
      </c>
      <c r="J1243">
        <f t="shared" si="24"/>
        <v>105000</v>
      </c>
      <c r="K1243" t="e">
        <f>VLOOKUP(B1243,'REGISTRO ABONOS'!$B$8:$BC$10041,54,0)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hidden="1" x14ac:dyDescent="0.2">
      <c r="B1244" s="31">
        <v>1235</v>
      </c>
      <c r="J1244">
        <f t="shared" si="24"/>
        <v>105000</v>
      </c>
      <c r="K1244" t="e">
        <f>VLOOKUP(B1244,'REGISTRO ABONOS'!$B$8:$BC$10041,54,0)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hidden="1" x14ac:dyDescent="0.2">
      <c r="B1245" s="31">
        <v>1236</v>
      </c>
      <c r="J1245">
        <f t="shared" si="24"/>
        <v>105000</v>
      </c>
      <c r="K1245" t="e">
        <f>VLOOKUP(B1245,'REGISTRO ABONOS'!$B$8:$BC$10041,54,0)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hidden="1" x14ac:dyDescent="0.2">
      <c r="B1246" s="31">
        <v>1237</v>
      </c>
      <c r="J1246">
        <f t="shared" si="24"/>
        <v>105000</v>
      </c>
      <c r="K1246" t="e">
        <f>VLOOKUP(B1246,'REGISTRO ABONOS'!$B$8:$BC$10041,54,0)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hidden="1" x14ac:dyDescent="0.2">
      <c r="B1247" s="31">
        <v>1238</v>
      </c>
      <c r="J1247">
        <f t="shared" si="24"/>
        <v>105000</v>
      </c>
      <c r="K1247" t="e">
        <f>VLOOKUP(B1247,'REGISTRO ABONOS'!$B$8:$BC$10041,54,0)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hidden="1" x14ac:dyDescent="0.2">
      <c r="B1248" s="31">
        <v>1239</v>
      </c>
      <c r="J1248">
        <f t="shared" si="24"/>
        <v>105000</v>
      </c>
      <c r="K1248" t="e">
        <f>VLOOKUP(B1248,'REGISTRO ABONOS'!$B$8:$BC$10041,54,0)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hidden="1" x14ac:dyDescent="0.2">
      <c r="B1249" s="31">
        <v>1240</v>
      </c>
      <c r="J1249">
        <f t="shared" si="24"/>
        <v>105000</v>
      </c>
      <c r="K1249" t="e">
        <f>VLOOKUP(B1249,'REGISTRO ABONOS'!$B$8:$BC$10041,54,0)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hidden="1" x14ac:dyDescent="0.2">
      <c r="B1250" s="31">
        <v>1241</v>
      </c>
      <c r="J1250">
        <f t="shared" si="24"/>
        <v>105000</v>
      </c>
      <c r="K1250" t="e">
        <f>VLOOKUP(B1250,'REGISTRO ABONOS'!$B$8:$BC$10041,54,0)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hidden="1" x14ac:dyDescent="0.2">
      <c r="B1251" s="31">
        <v>1242</v>
      </c>
      <c r="J1251">
        <f t="shared" si="24"/>
        <v>105000</v>
      </c>
      <c r="K1251" t="e">
        <f>VLOOKUP(B1251,'REGISTRO ABONOS'!$B$8:$BC$10041,54,0)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hidden="1" x14ac:dyDescent="0.2">
      <c r="B1252" s="31">
        <v>1243</v>
      </c>
      <c r="J1252">
        <f t="shared" si="24"/>
        <v>105000</v>
      </c>
      <c r="K1252" t="e">
        <f>VLOOKUP(B1252,'REGISTRO ABONOS'!$B$8:$BC$10041,54,0)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hidden="1" x14ac:dyDescent="0.2">
      <c r="B1253" s="31">
        <v>1244</v>
      </c>
      <c r="J1253">
        <f t="shared" si="24"/>
        <v>105000</v>
      </c>
      <c r="K1253" t="e">
        <f>VLOOKUP(B1253,'REGISTRO ABONOS'!$B$8:$BC$10041,54,0)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4"/>
        <v>105000</v>
      </c>
      <c r="K1254" t="e">
        <f>VLOOKUP(B1254,'REGISTRO ABONOS'!$B$8:$BC$10041,54,0)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hidden="1" x14ac:dyDescent="0.2">
      <c r="B1255" s="31">
        <v>1246</v>
      </c>
      <c r="J1255">
        <f t="shared" si="24"/>
        <v>105000</v>
      </c>
      <c r="K1255" t="e">
        <f>VLOOKUP(B1255,'REGISTRO ABONOS'!$B$8:$BC$10041,54,0)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hidden="1" x14ac:dyDescent="0.2">
      <c r="B1256" s="31">
        <v>1247</v>
      </c>
      <c r="J1256">
        <f t="shared" si="24"/>
        <v>105000</v>
      </c>
      <c r="K1256" t="e">
        <f>VLOOKUP(B1256,'REGISTRO ABONOS'!$B$8:$BC$10041,54,0)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hidden="1" x14ac:dyDescent="0.2">
      <c r="B1257" s="31">
        <v>1248</v>
      </c>
      <c r="J1257">
        <f t="shared" si="24"/>
        <v>105000</v>
      </c>
      <c r="K1257" t="e">
        <f>VLOOKUP(B1257,'REGISTRO ABONOS'!$B$8:$BC$10041,54,0)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hidden="1" x14ac:dyDescent="0.2">
      <c r="B1258" s="31">
        <v>1249</v>
      </c>
      <c r="C1258" s="10">
        <v>43571</v>
      </c>
      <c r="D1258" t="s">
        <v>507</v>
      </c>
      <c r="H1258" t="s">
        <v>507</v>
      </c>
      <c r="I1258" t="s">
        <v>322</v>
      </c>
      <c r="J1258">
        <f t="shared" si="24"/>
        <v>105000</v>
      </c>
      <c r="K1258" t="e">
        <f>VLOOKUP(B1258,'REGISTRO ABONOS'!$B$8:$BC$10041,54,0)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hidden="1" x14ac:dyDescent="0.2">
      <c r="B1259" s="31">
        <v>1250</v>
      </c>
      <c r="J1259">
        <f t="shared" si="24"/>
        <v>105000</v>
      </c>
      <c r="K1259" t="e">
        <f>VLOOKUP(B1259,'REGISTRO ABONOS'!$B$8:$BC$10041,54,0)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hidden="1" x14ac:dyDescent="0.2">
      <c r="B1260" s="31">
        <v>1251</v>
      </c>
      <c r="J1260">
        <f t="shared" si="24"/>
        <v>105000</v>
      </c>
      <c r="K1260" t="e">
        <f>VLOOKUP(B1260,'REGISTRO ABONOS'!$B$8:$BC$10041,54,0)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hidden="1" x14ac:dyDescent="0.2">
      <c r="B1261" s="31">
        <v>1252</v>
      </c>
      <c r="J1261">
        <f t="shared" si="24"/>
        <v>105000</v>
      </c>
      <c r="K1261" t="e">
        <f>VLOOKUP(B1261,'REGISTRO ABONOS'!$B$8:$BC$10041,54,0)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hidden="1" x14ac:dyDescent="0.2">
      <c r="B1262" s="31">
        <v>1253</v>
      </c>
      <c r="J1262">
        <f t="shared" si="24"/>
        <v>105000</v>
      </c>
      <c r="K1262" t="e">
        <f>VLOOKUP(B1262,'REGISTRO ABONOS'!$B$8:$BC$10041,54,0)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hidden="1" x14ac:dyDescent="0.2">
      <c r="B1263" s="31">
        <v>1254</v>
      </c>
      <c r="J1263">
        <f t="shared" si="24"/>
        <v>105000</v>
      </c>
      <c r="K1263" t="e">
        <f>VLOOKUP(B1263,'REGISTRO ABONOS'!$B$8:$BC$10041,54,0)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hidden="1" x14ac:dyDescent="0.2">
      <c r="B1264" s="31">
        <v>1255</v>
      </c>
      <c r="J1264">
        <f t="shared" si="24"/>
        <v>105000</v>
      </c>
      <c r="K1264" t="e">
        <f>VLOOKUP(B1264,'REGISTRO ABONOS'!$B$8:$BC$10041,54,0)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hidden="1" x14ac:dyDescent="0.2">
      <c r="B1265" s="31">
        <v>1256</v>
      </c>
      <c r="J1265">
        <f t="shared" si="24"/>
        <v>105000</v>
      </c>
      <c r="K1265" t="e">
        <f>VLOOKUP(B1265,'REGISTRO ABONOS'!$B$8:$BC$10041,54,0)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hidden="1" x14ac:dyDescent="0.2">
      <c r="B1266" s="31">
        <v>1257</v>
      </c>
      <c r="J1266">
        <f t="shared" si="24"/>
        <v>105000</v>
      </c>
      <c r="K1266" t="e">
        <f>VLOOKUP(B1266,'REGISTRO ABONOS'!$B$8:$BC$10041,54,0)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hidden="1" x14ac:dyDescent="0.2">
      <c r="B1267" s="31">
        <v>1258</v>
      </c>
      <c r="J1267">
        <f t="shared" si="24"/>
        <v>105000</v>
      </c>
      <c r="K1267" t="e">
        <f>VLOOKUP(B1267,'REGISTRO ABONOS'!$B$8:$BC$10041,54,0)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hidden="1" x14ac:dyDescent="0.2">
      <c r="B1268" s="31">
        <v>1259</v>
      </c>
      <c r="J1268">
        <f t="shared" si="24"/>
        <v>105000</v>
      </c>
      <c r="K1268" t="e">
        <f>VLOOKUP(B1268,'REGISTRO ABONOS'!$B$8:$BC$10041,54,0)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hidden="1" x14ac:dyDescent="0.2">
      <c r="B1269" s="31">
        <v>1260</v>
      </c>
      <c r="J1269">
        <f t="shared" si="24"/>
        <v>105000</v>
      </c>
      <c r="K1269" t="e">
        <f>VLOOKUP(B1269,'REGISTRO ABONOS'!$B$8:$BC$10041,54,0)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hidden="1" x14ac:dyDescent="0.2">
      <c r="B1270" s="31">
        <v>1261</v>
      </c>
      <c r="J1270">
        <f t="shared" si="24"/>
        <v>105000</v>
      </c>
      <c r="K1270" t="e">
        <f>VLOOKUP(B1270,'REGISTRO ABONOS'!$B$8:$BC$10041,54,0)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hidden="1" x14ac:dyDescent="0.2">
      <c r="B1271" s="31">
        <v>1262</v>
      </c>
      <c r="J1271">
        <f t="shared" si="24"/>
        <v>105000</v>
      </c>
      <c r="K1271" t="e">
        <f>VLOOKUP(B1271,'REGISTRO ABONOS'!$B$8:$BC$10041,54,0)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hidden="1" x14ac:dyDescent="0.2">
      <c r="B1272" s="31">
        <v>1263</v>
      </c>
      <c r="J1272">
        <f t="shared" si="24"/>
        <v>105000</v>
      </c>
      <c r="K1272" t="e">
        <f>VLOOKUP(B1272,'REGISTRO ABONOS'!$B$8:$BC$10041,54,0)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hidden="1" x14ac:dyDescent="0.2">
      <c r="B1273" s="31">
        <v>1264</v>
      </c>
      <c r="J1273">
        <f t="shared" si="24"/>
        <v>105000</v>
      </c>
      <c r="K1273" t="e">
        <f>VLOOKUP(B1273,'REGISTRO ABONOS'!$B$8:$BC$10041,54,0)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hidden="1" x14ac:dyDescent="0.2">
      <c r="B1274" s="31">
        <v>1265</v>
      </c>
      <c r="J1274">
        <f t="shared" si="24"/>
        <v>105000</v>
      </c>
      <c r="K1274" t="e">
        <f>VLOOKUP(B1274,'REGISTRO ABONOS'!$B$8:$BC$10041,54,0)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hidden="1" x14ac:dyDescent="0.2">
      <c r="B1275" s="31">
        <v>1266</v>
      </c>
      <c r="J1275">
        <f t="shared" si="24"/>
        <v>105000</v>
      </c>
      <c r="K1275" t="e">
        <f>VLOOKUP(B1275,'REGISTRO ABONOS'!$B$8:$BC$10041,54,0)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hidden="1" x14ac:dyDescent="0.2">
      <c r="B1276" s="31">
        <v>1267</v>
      </c>
      <c r="J1276">
        <f t="shared" si="24"/>
        <v>105000</v>
      </c>
      <c r="K1276" t="e">
        <f>VLOOKUP(B1276,'REGISTRO ABONOS'!$B$8:$BC$10041,54,0)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hidden="1" x14ac:dyDescent="0.2">
      <c r="B1277" s="31">
        <v>1268</v>
      </c>
      <c r="J1277">
        <f t="shared" si="24"/>
        <v>105000</v>
      </c>
      <c r="K1277" t="e">
        <f>VLOOKUP(B1277,'REGISTRO ABONOS'!$B$8:$BC$10041,54,0)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hidden="1" x14ac:dyDescent="0.2">
      <c r="B1278" s="31">
        <v>1269</v>
      </c>
      <c r="J1278">
        <f t="shared" si="24"/>
        <v>105000</v>
      </c>
      <c r="K1278" t="e">
        <f>VLOOKUP(B1278,'REGISTRO ABONOS'!$B$8:$BC$10041,54,0)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hidden="1" x14ac:dyDescent="0.2">
      <c r="B1279" s="31">
        <v>1270</v>
      </c>
      <c r="J1279">
        <f t="shared" si="24"/>
        <v>105000</v>
      </c>
      <c r="K1279" t="e">
        <f>VLOOKUP(B1279,'REGISTRO ABONOS'!$B$8:$BC$10041,54,0)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hidden="1" x14ac:dyDescent="0.2">
      <c r="B1280" s="31">
        <v>1271</v>
      </c>
      <c r="J1280">
        <f t="shared" si="24"/>
        <v>105000</v>
      </c>
      <c r="K1280" t="e">
        <f>VLOOKUP(B1280,'REGISTRO ABONOS'!$B$8:$BC$10041,54,0)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hidden="1" x14ac:dyDescent="0.2">
      <c r="B1281" s="31">
        <v>1272</v>
      </c>
      <c r="J1281">
        <f t="shared" si="24"/>
        <v>105000</v>
      </c>
      <c r="K1281" t="e">
        <f>VLOOKUP(B1281,'REGISTRO ABONOS'!$B$8:$BC$10041,54,0)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hidden="1" x14ac:dyDescent="0.2">
      <c r="B1282" s="31">
        <v>1273</v>
      </c>
      <c r="J1282">
        <f t="shared" si="24"/>
        <v>105000</v>
      </c>
      <c r="K1282" t="e">
        <f>VLOOKUP(B1282,'REGISTRO ABONOS'!$B$8:$BC$10041,54,0)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hidden="1" x14ac:dyDescent="0.2">
      <c r="B1283" s="31">
        <v>1274</v>
      </c>
      <c r="J1283">
        <f t="shared" si="24"/>
        <v>105000</v>
      </c>
      <c r="K1283" t="e">
        <f>VLOOKUP(B1283,'REGISTRO ABONOS'!$B$8:$BC$10041,54,0)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hidden="1" x14ac:dyDescent="0.2">
      <c r="B1284" s="31">
        <v>1275</v>
      </c>
      <c r="J1284">
        <f t="shared" si="24"/>
        <v>105000</v>
      </c>
      <c r="K1284" t="e">
        <f>VLOOKUP(B1284,'REGISTRO ABONOS'!$B$8:$BC$10041,54,0)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hidden="1" x14ac:dyDescent="0.2">
      <c r="B1285" s="31">
        <v>1276</v>
      </c>
      <c r="J1285">
        <f t="shared" si="24"/>
        <v>105000</v>
      </c>
      <c r="K1285" t="e">
        <f>VLOOKUP(B1285,'REGISTRO ABONOS'!$B$8:$BC$10041,54,0)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hidden="1" x14ac:dyDescent="0.2">
      <c r="B1286" s="31">
        <v>1277</v>
      </c>
      <c r="J1286">
        <f t="shared" si="24"/>
        <v>105000</v>
      </c>
      <c r="K1286" t="e">
        <f>VLOOKUP(B1286,'REGISTRO ABONOS'!$B$8:$BC$10041,54,0)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hidden="1" x14ac:dyDescent="0.2">
      <c r="B1287" s="31">
        <v>1278</v>
      </c>
      <c r="J1287">
        <f t="shared" si="24"/>
        <v>105000</v>
      </c>
      <c r="K1287" t="e">
        <f>VLOOKUP(B1287,'REGISTRO ABONOS'!$B$8:$BC$10041,54,0)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hidden="1" x14ac:dyDescent="0.2">
      <c r="B1288" s="31">
        <v>1279</v>
      </c>
      <c r="J1288">
        <f t="shared" si="24"/>
        <v>105000</v>
      </c>
      <c r="K1288" t="e">
        <f>VLOOKUP(B1288,'REGISTRO ABONOS'!$B$8:$BC$10041,54,0)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hidden="1" x14ac:dyDescent="0.2">
      <c r="B1289" s="31">
        <v>1280</v>
      </c>
      <c r="J1289">
        <f t="shared" si="24"/>
        <v>105000</v>
      </c>
      <c r="K1289" t="e">
        <f>VLOOKUP(B1289,'REGISTRO ABONOS'!$B$8:$BC$10041,54,0)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hidden="1" x14ac:dyDescent="0.2">
      <c r="B1290" s="31">
        <v>1281</v>
      </c>
      <c r="J1290">
        <f t="shared" si="24"/>
        <v>105000</v>
      </c>
      <c r="K1290" t="e">
        <f>VLOOKUP(B1290,'REGISTRO ABONOS'!$B$8:$BC$10041,54,0)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I1291" t="s">
        <v>322</v>
      </c>
      <c r="J1291">
        <f t="shared" si="24"/>
        <v>105000</v>
      </c>
      <c r="K1291">
        <f>VLOOKUP(B1291,'REGISTRO ABONOS'!$B$8:$BC$10041,54,0)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hidden="1" x14ac:dyDescent="0.2">
      <c r="B1292" s="31">
        <v>1283</v>
      </c>
      <c r="J1292">
        <f t="shared" si="24"/>
        <v>105000</v>
      </c>
      <c r="K1292" t="e">
        <f>VLOOKUP(B1292,'REGISTRO ABONOS'!$B$8:$BC$10041,54,0)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hidden="1" x14ac:dyDescent="0.2">
      <c r="B1293" s="31">
        <v>1284</v>
      </c>
      <c r="J1293">
        <f t="shared" si="24"/>
        <v>105000</v>
      </c>
      <c r="K1293" t="e">
        <f>VLOOKUP(B1293,'REGISTRO ABONOS'!$B$8:$BC$10041,54,0)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hidden="1" x14ac:dyDescent="0.2">
      <c r="B1294" s="31">
        <v>1285</v>
      </c>
      <c r="J1294">
        <f t="shared" si="24"/>
        <v>105000</v>
      </c>
      <c r="K1294" t="e">
        <f>VLOOKUP(B1294,'REGISTRO ABONOS'!$B$8:$BC$10041,54,0)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hidden="1" x14ac:dyDescent="0.2">
      <c r="B1295" s="31">
        <v>1286</v>
      </c>
      <c r="J1295">
        <f t="shared" si="24"/>
        <v>105000</v>
      </c>
      <c r="K1295" t="e">
        <f>VLOOKUP(B1295,'REGISTRO ABONOS'!$B$8:$BC$10041,54,0)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hidden="1" x14ac:dyDescent="0.2">
      <c r="B1296" s="31">
        <v>1287</v>
      </c>
      <c r="J1296">
        <f t="shared" si="24"/>
        <v>105000</v>
      </c>
      <c r="K1296" t="e">
        <f>VLOOKUP(B1296,'REGISTRO ABONOS'!$B$8:$BC$10041,54,0)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hidden="1" x14ac:dyDescent="0.2">
      <c r="B1297" s="31">
        <v>1288</v>
      </c>
      <c r="J1297">
        <f t="shared" si="24"/>
        <v>105000</v>
      </c>
      <c r="K1297" t="e">
        <f>VLOOKUP(B1297,'REGISTRO ABONOS'!$B$8:$BC$10041,54,0)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hidden="1" x14ac:dyDescent="0.2">
      <c r="B1298" s="31">
        <v>1289</v>
      </c>
      <c r="J1298">
        <f t="shared" si="24"/>
        <v>105000</v>
      </c>
      <c r="K1298" t="e">
        <f>VLOOKUP(B1298,'REGISTRO ABONOS'!$B$8:$BC$10041,54,0)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hidden="1" x14ac:dyDescent="0.2">
      <c r="B1299" s="31">
        <v>1290</v>
      </c>
      <c r="J1299">
        <f t="shared" si="24"/>
        <v>105000</v>
      </c>
      <c r="K1299" t="e">
        <f>VLOOKUP(B1299,'REGISTRO ABONOS'!$B$8:$BC$10041,54,0)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hidden="1" x14ac:dyDescent="0.2">
      <c r="B1300" s="31">
        <v>1291</v>
      </c>
      <c r="J1300">
        <f t="shared" si="24"/>
        <v>105000</v>
      </c>
      <c r="K1300" t="e">
        <f>VLOOKUP(B1300,'REGISTRO ABONOS'!$B$8:$BC$10041,54,0)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hidden="1" x14ac:dyDescent="0.2">
      <c r="B1301" s="31">
        <v>1292</v>
      </c>
      <c r="J1301">
        <f t="shared" si="24"/>
        <v>105000</v>
      </c>
      <c r="K1301" t="e">
        <f>VLOOKUP(B1301,'REGISTRO ABONOS'!$B$8:$BC$10041,54,0)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hidden="1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ABONOS'!$B$8:$BC$10041,54,0)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hidden="1" x14ac:dyDescent="0.2">
      <c r="B1303" s="31">
        <v>1294</v>
      </c>
      <c r="J1303">
        <f t="shared" si="25"/>
        <v>105000</v>
      </c>
      <c r="K1303" t="e">
        <f>VLOOKUP(B1303,'REGISTRO ABONOS'!$B$8:$BC$10041,54,0)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hidden="1" x14ac:dyDescent="0.2">
      <c r="B1304" s="31">
        <v>1295</v>
      </c>
      <c r="J1304">
        <f t="shared" si="25"/>
        <v>105000</v>
      </c>
      <c r="K1304" t="e">
        <f>VLOOKUP(B1304,'REGISTRO ABONOS'!$B$8:$BC$10041,54,0)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hidden="1" x14ac:dyDescent="0.2">
      <c r="B1305" s="31">
        <v>1296</v>
      </c>
      <c r="J1305">
        <f t="shared" si="25"/>
        <v>105000</v>
      </c>
      <c r="K1305" t="e">
        <f>VLOOKUP(B1305,'REGISTRO ABONOS'!$B$8:$BC$10041,54,0)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hidden="1" x14ac:dyDescent="0.2">
      <c r="B1306" s="31">
        <v>1297</v>
      </c>
      <c r="J1306">
        <f t="shared" si="25"/>
        <v>105000</v>
      </c>
      <c r="K1306" t="e">
        <f>VLOOKUP(B1306,'REGISTRO ABONOS'!$B$8:$BC$10041,54,0)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hidden="1" x14ac:dyDescent="0.2">
      <c r="B1307" s="31">
        <v>1298</v>
      </c>
      <c r="J1307">
        <f t="shared" si="25"/>
        <v>105000</v>
      </c>
      <c r="K1307" t="e">
        <f>VLOOKUP(B1307,'REGISTRO ABONOS'!$B$8:$BC$10041,54,0)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hidden="1" x14ac:dyDescent="0.2">
      <c r="B1308" s="31">
        <v>1299</v>
      </c>
      <c r="J1308">
        <f t="shared" si="25"/>
        <v>105000</v>
      </c>
      <c r="K1308" t="e">
        <f>VLOOKUP(B1308,'REGISTRO ABONOS'!$B$8:$BC$10041,54,0)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hidden="1" x14ac:dyDescent="0.2">
      <c r="B1309" s="31">
        <v>1300</v>
      </c>
      <c r="J1309">
        <f t="shared" si="25"/>
        <v>105000</v>
      </c>
      <c r="K1309" t="e">
        <f>VLOOKUP(B1309,'REGISTRO ABONOS'!$B$8:$BC$10041,54,0)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hidden="1" x14ac:dyDescent="0.2">
      <c r="B1310" s="31">
        <v>1301</v>
      </c>
      <c r="J1310">
        <f t="shared" si="25"/>
        <v>105000</v>
      </c>
      <c r="K1310" t="e">
        <f>VLOOKUP(B1310,'REGISTRO ABONOS'!$B$8:$BC$10041,54,0)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hidden="1" x14ac:dyDescent="0.2">
      <c r="B1311" s="31">
        <v>1302</v>
      </c>
      <c r="J1311">
        <f t="shared" si="25"/>
        <v>105000</v>
      </c>
      <c r="K1311" t="e">
        <f>VLOOKUP(B1311,'REGISTRO ABONOS'!$B$8:$BC$10041,54,0)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hidden="1" x14ac:dyDescent="0.2">
      <c r="B1312" s="31">
        <v>1303</v>
      </c>
      <c r="J1312">
        <f t="shared" si="25"/>
        <v>105000</v>
      </c>
      <c r="K1312" t="e">
        <f>VLOOKUP(B1312,'REGISTRO ABONOS'!$B$8:$BC$10041,54,0)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hidden="1" x14ac:dyDescent="0.2">
      <c r="B1313" s="31">
        <v>1304</v>
      </c>
      <c r="J1313">
        <f t="shared" si="25"/>
        <v>105000</v>
      </c>
      <c r="K1313" t="e">
        <f>VLOOKUP(B1313,'REGISTRO ABONOS'!$B$8:$BC$10041,54,0)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hidden="1" x14ac:dyDescent="0.2">
      <c r="B1314" s="31">
        <v>1305</v>
      </c>
      <c r="J1314">
        <f t="shared" si="25"/>
        <v>105000</v>
      </c>
      <c r="K1314" t="e">
        <f>VLOOKUP(B1314,'REGISTRO ABONOS'!$B$8:$BC$10041,54,0)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hidden="1" x14ac:dyDescent="0.2">
      <c r="B1315" s="31">
        <v>1306</v>
      </c>
      <c r="J1315">
        <f t="shared" si="25"/>
        <v>105000</v>
      </c>
      <c r="K1315" t="e">
        <f>VLOOKUP(B1315,'REGISTRO ABONOS'!$B$8:$BC$10041,54,0)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hidden="1" x14ac:dyDescent="0.2">
      <c r="B1316" s="31">
        <v>1307</v>
      </c>
      <c r="J1316">
        <f t="shared" si="25"/>
        <v>105000</v>
      </c>
      <c r="K1316" t="e">
        <f>VLOOKUP(B1316,'REGISTRO ABONOS'!$B$8:$BC$10041,54,0)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hidden="1" x14ac:dyDescent="0.2">
      <c r="B1317" s="31">
        <v>1308</v>
      </c>
      <c r="J1317">
        <f t="shared" si="25"/>
        <v>105000</v>
      </c>
      <c r="K1317" t="e">
        <f>VLOOKUP(B1317,'REGISTRO ABONOS'!$B$8:$BC$10041,54,0)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hidden="1" x14ac:dyDescent="0.2">
      <c r="B1318" s="31">
        <v>1309</v>
      </c>
      <c r="J1318">
        <f t="shared" si="25"/>
        <v>105000</v>
      </c>
      <c r="K1318" t="e">
        <f>VLOOKUP(B1318,'REGISTRO ABONOS'!$B$8:$BC$10041,54,0)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hidden="1" x14ac:dyDescent="0.2">
      <c r="B1319" s="31">
        <v>1310</v>
      </c>
      <c r="J1319">
        <f t="shared" si="25"/>
        <v>105000</v>
      </c>
      <c r="K1319" t="e">
        <f>VLOOKUP(B1319,'REGISTRO ABONOS'!$B$8:$BC$10041,54,0)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hidden="1" x14ac:dyDescent="0.2">
      <c r="B1320" s="31">
        <v>1311</v>
      </c>
      <c r="J1320">
        <f t="shared" si="25"/>
        <v>105000</v>
      </c>
      <c r="K1320" t="e">
        <f>VLOOKUP(B1320,'REGISTRO ABONOS'!$B$8:$BC$10041,54,0)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hidden="1" x14ac:dyDescent="0.2">
      <c r="B1321" s="31">
        <v>1312</v>
      </c>
      <c r="J1321">
        <f t="shared" si="25"/>
        <v>105000</v>
      </c>
      <c r="K1321" t="e">
        <f>VLOOKUP(B1321,'REGISTRO ABONOS'!$B$8:$BC$10041,54,0)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hidden="1" x14ac:dyDescent="0.2">
      <c r="B1322" s="31">
        <v>1313</v>
      </c>
      <c r="J1322">
        <f t="shared" si="25"/>
        <v>105000</v>
      </c>
      <c r="K1322" t="e">
        <f>VLOOKUP(B1322,'REGISTRO ABONOS'!$B$8:$BC$10041,54,0)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hidden="1" x14ac:dyDescent="0.2">
      <c r="B1323" s="31">
        <v>1314</v>
      </c>
      <c r="J1323">
        <f t="shared" si="25"/>
        <v>105000</v>
      </c>
      <c r="K1323" t="e">
        <f>VLOOKUP(B1323,'REGISTRO ABONOS'!$B$8:$BC$10041,54,0)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hidden="1" x14ac:dyDescent="0.2">
      <c r="B1324" s="31">
        <v>1315</v>
      </c>
      <c r="J1324">
        <f t="shared" si="25"/>
        <v>105000</v>
      </c>
      <c r="K1324" t="e">
        <f>VLOOKUP(B1324,'REGISTRO ABONOS'!$B$8:$BC$10041,54,0)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hidden="1" x14ac:dyDescent="0.2">
      <c r="B1325" s="31">
        <v>1316</v>
      </c>
      <c r="J1325">
        <f t="shared" si="25"/>
        <v>105000</v>
      </c>
      <c r="K1325" t="e">
        <f>VLOOKUP(B1325,'REGISTRO ABONOS'!$B$8:$BC$10041,54,0)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5"/>
        <v>105000</v>
      </c>
      <c r="K1326" t="e">
        <f>VLOOKUP(B1326,'REGISTRO ABONOS'!$B$8:$BC$10041,54,0)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hidden="1" x14ac:dyDescent="0.2">
      <c r="B1327" s="31">
        <v>1318</v>
      </c>
      <c r="J1327">
        <f t="shared" si="25"/>
        <v>105000</v>
      </c>
      <c r="K1327" t="e">
        <f>VLOOKUP(B1327,'REGISTRO ABONOS'!$B$8:$BC$10041,54,0)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hidden="1" x14ac:dyDescent="0.2">
      <c r="B1328" s="31">
        <v>1319</v>
      </c>
      <c r="J1328">
        <f t="shared" si="25"/>
        <v>105000</v>
      </c>
      <c r="K1328" t="e">
        <f>VLOOKUP(B1328,'REGISTRO ABONOS'!$B$8:$BC$10041,54,0)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hidden="1" x14ac:dyDescent="0.2">
      <c r="B1329" s="31">
        <v>1320</v>
      </c>
      <c r="J1329">
        <f t="shared" si="25"/>
        <v>105000</v>
      </c>
      <c r="K1329" t="e">
        <f>VLOOKUP(B1329,'REGISTRO ABONOS'!$B$8:$BC$10041,54,0)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hidden="1" x14ac:dyDescent="0.2">
      <c r="B1330" s="31">
        <v>1321</v>
      </c>
      <c r="J1330">
        <f t="shared" si="25"/>
        <v>105000</v>
      </c>
      <c r="K1330" t="e">
        <f>VLOOKUP(B1330,'REGISTRO ABONOS'!$B$8:$BC$10041,54,0)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hidden="1" x14ac:dyDescent="0.2">
      <c r="B1331" s="31">
        <v>1322</v>
      </c>
      <c r="J1331">
        <f t="shared" si="25"/>
        <v>105000</v>
      </c>
      <c r="K1331" t="e">
        <f>VLOOKUP(B1331,'REGISTRO ABONOS'!$B$8:$BC$10041,54,0)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hidden="1" x14ac:dyDescent="0.2">
      <c r="B1332" s="31">
        <v>1323</v>
      </c>
      <c r="J1332">
        <f t="shared" si="25"/>
        <v>105000</v>
      </c>
      <c r="K1332" t="e">
        <f>VLOOKUP(B1332,'REGISTRO ABONOS'!$B$8:$BC$10041,54,0)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hidden="1" x14ac:dyDescent="0.2">
      <c r="B1333" s="31">
        <v>1324</v>
      </c>
      <c r="J1333">
        <f t="shared" si="25"/>
        <v>105000</v>
      </c>
      <c r="K1333" t="e">
        <f>VLOOKUP(B1333,'REGISTRO ABONOS'!$B$8:$BC$10041,54,0)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hidden="1" x14ac:dyDescent="0.2">
      <c r="B1334" s="31">
        <v>1325</v>
      </c>
      <c r="J1334">
        <f t="shared" si="25"/>
        <v>105000</v>
      </c>
      <c r="K1334" t="e">
        <f>VLOOKUP(B1334,'REGISTRO ABONOS'!$B$8:$BC$10041,54,0)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hidden="1" x14ac:dyDescent="0.2">
      <c r="B1335" s="31">
        <v>1326</v>
      </c>
      <c r="J1335">
        <f t="shared" si="25"/>
        <v>105000</v>
      </c>
      <c r="K1335" t="e">
        <f>VLOOKUP(B1335,'REGISTRO ABONOS'!$B$8:$BC$10041,54,0)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hidden="1" x14ac:dyDescent="0.2">
      <c r="B1336" s="31">
        <v>1327</v>
      </c>
      <c r="J1336">
        <f t="shared" si="25"/>
        <v>105000</v>
      </c>
      <c r="K1336" t="e">
        <f>VLOOKUP(B1336,'REGISTRO ABONOS'!$B$8:$BC$10041,54,0)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hidden="1" x14ac:dyDescent="0.2">
      <c r="B1337" s="31">
        <v>1328</v>
      </c>
      <c r="J1337">
        <f t="shared" si="25"/>
        <v>105000</v>
      </c>
      <c r="K1337" t="e">
        <f>VLOOKUP(B1337,'REGISTRO ABONOS'!$B$8:$BC$10041,54,0)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hidden="1" x14ac:dyDescent="0.2">
      <c r="B1338" s="31">
        <v>1329</v>
      </c>
      <c r="J1338">
        <f t="shared" si="25"/>
        <v>105000</v>
      </c>
      <c r="K1338" t="e">
        <f>VLOOKUP(B1338,'REGISTRO ABONOS'!$B$8:$BC$10041,54,0)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hidden="1" x14ac:dyDescent="0.2">
      <c r="B1339" s="31">
        <v>1330</v>
      </c>
      <c r="J1339">
        <f t="shared" si="25"/>
        <v>105000</v>
      </c>
      <c r="K1339" t="e">
        <f>VLOOKUP(B1339,'REGISTRO ABONOS'!$B$8:$BC$10041,54,0)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hidden="1" x14ac:dyDescent="0.2">
      <c r="B1340" s="31">
        <v>1331</v>
      </c>
      <c r="J1340">
        <f t="shared" si="25"/>
        <v>105000</v>
      </c>
      <c r="K1340" t="e">
        <f>VLOOKUP(B1340,'REGISTRO ABONOS'!$B$8:$BC$10041,54,0)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hidden="1" x14ac:dyDescent="0.2">
      <c r="B1341" s="31">
        <v>1332</v>
      </c>
      <c r="J1341">
        <f t="shared" si="25"/>
        <v>105000</v>
      </c>
      <c r="K1341" t="e">
        <f>VLOOKUP(B1341,'REGISTRO ABONOS'!$B$8:$BC$10041,54,0)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hidden="1" x14ac:dyDescent="0.2">
      <c r="B1342" s="31">
        <v>1333</v>
      </c>
      <c r="J1342">
        <f t="shared" si="25"/>
        <v>105000</v>
      </c>
      <c r="K1342" t="e">
        <f>VLOOKUP(B1342,'REGISTRO ABONOS'!$B$8:$BC$10041,54,0)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hidden="1" x14ac:dyDescent="0.2">
      <c r="B1343" s="31">
        <v>1334</v>
      </c>
      <c r="J1343">
        <f t="shared" si="25"/>
        <v>105000</v>
      </c>
      <c r="K1343" t="e">
        <f>VLOOKUP(B1343,'REGISTRO ABONOS'!$B$8:$BC$10041,54,0)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hidden="1" x14ac:dyDescent="0.2">
      <c r="B1344" s="31">
        <v>1335</v>
      </c>
      <c r="J1344">
        <f t="shared" si="25"/>
        <v>105000</v>
      </c>
      <c r="K1344" t="e">
        <f>VLOOKUP(B1344,'REGISTRO ABONOS'!$B$8:$BC$10041,54,0)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hidden="1" x14ac:dyDescent="0.2">
      <c r="B1345" s="31">
        <v>1336</v>
      </c>
      <c r="J1345">
        <f t="shared" si="25"/>
        <v>105000</v>
      </c>
      <c r="K1345" t="e">
        <f>VLOOKUP(B1345,'REGISTRO ABONOS'!$B$8:$BC$10041,54,0)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hidden="1" x14ac:dyDescent="0.2">
      <c r="B1346" s="31">
        <v>1337</v>
      </c>
      <c r="J1346">
        <f t="shared" si="25"/>
        <v>105000</v>
      </c>
      <c r="K1346" t="e">
        <f>VLOOKUP(B1346,'REGISTRO ABONOS'!$B$8:$BC$10041,54,0)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hidden="1" x14ac:dyDescent="0.2">
      <c r="B1347" s="31">
        <v>1338</v>
      </c>
      <c r="J1347">
        <f t="shared" si="25"/>
        <v>105000</v>
      </c>
      <c r="K1347" t="e">
        <f>VLOOKUP(B1347,'REGISTRO ABONOS'!$B$8:$BC$10041,54,0)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5"/>
        <v>105000</v>
      </c>
      <c r="K1348" t="e">
        <f>VLOOKUP(B1348,'REGISTRO ABONOS'!$B$8:$BC$10041,54,0)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hidden="1" x14ac:dyDescent="0.2">
      <c r="B1349" s="31">
        <v>1340</v>
      </c>
      <c r="J1349">
        <f t="shared" si="25"/>
        <v>105000</v>
      </c>
      <c r="K1349" t="e">
        <f>VLOOKUP(B1349,'REGISTRO ABONOS'!$B$8:$BC$10041,54,0)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hidden="1" x14ac:dyDescent="0.2">
      <c r="B1350" s="31">
        <v>1341</v>
      </c>
      <c r="J1350">
        <f t="shared" si="25"/>
        <v>105000</v>
      </c>
      <c r="K1350" t="e">
        <f>VLOOKUP(B1350,'REGISTRO ABONOS'!$B$8:$BC$10041,54,0)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hidden="1" x14ac:dyDescent="0.2">
      <c r="B1351" s="31">
        <v>1342</v>
      </c>
      <c r="C1351" s="10">
        <v>43571</v>
      </c>
      <c r="D1351" t="s">
        <v>481</v>
      </c>
      <c r="H1351" t="s">
        <v>481</v>
      </c>
      <c r="I1351" t="s">
        <v>322</v>
      </c>
      <c r="J1351">
        <f t="shared" si="25"/>
        <v>105000</v>
      </c>
      <c r="K1351" t="e">
        <f>VLOOKUP(B1351,'REGISTRO ABONOS'!$B$8:$BC$10041,54,0)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hidden="1" x14ac:dyDescent="0.2">
      <c r="B1352" s="31">
        <v>1343</v>
      </c>
      <c r="J1352">
        <f t="shared" si="25"/>
        <v>105000</v>
      </c>
      <c r="K1352" t="e">
        <f>VLOOKUP(B1352,'REGISTRO ABONOS'!$B$8:$BC$10041,54,0)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hidden="1" x14ac:dyDescent="0.2">
      <c r="B1353" s="31">
        <v>1344</v>
      </c>
      <c r="J1353">
        <f t="shared" si="25"/>
        <v>105000</v>
      </c>
      <c r="K1353" t="e">
        <f>VLOOKUP(B1353,'REGISTRO ABONOS'!$B$8:$BC$10041,54,0)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hidden="1" x14ac:dyDescent="0.2">
      <c r="B1354" s="31">
        <v>1345</v>
      </c>
      <c r="J1354">
        <f t="shared" si="25"/>
        <v>105000</v>
      </c>
      <c r="K1354" t="e">
        <f>VLOOKUP(B1354,'REGISTRO ABONOS'!$B$8:$BC$10041,54,0)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5"/>
        <v>105000</v>
      </c>
      <c r="K1355" t="e">
        <f>VLOOKUP(B1355,'REGISTRO ABONOS'!$B$8:$BC$10041,54,0)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5"/>
        <v>105000</v>
      </c>
      <c r="K1356" t="e">
        <f>VLOOKUP(B1356,'REGISTRO ABONOS'!$B$8:$BC$10041,54,0)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hidden="1" x14ac:dyDescent="0.2">
      <c r="B1357" s="31">
        <v>1348</v>
      </c>
      <c r="J1357">
        <f t="shared" si="25"/>
        <v>105000</v>
      </c>
      <c r="K1357" t="e">
        <f>VLOOKUP(B1357,'REGISTRO ABONOS'!$B$8:$BC$10041,54,0)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hidden="1" x14ac:dyDescent="0.2">
      <c r="B1358" s="31">
        <v>1349</v>
      </c>
      <c r="J1358">
        <f t="shared" si="25"/>
        <v>105000</v>
      </c>
      <c r="K1358" t="e">
        <f>VLOOKUP(B1358,'REGISTRO ABONOS'!$B$8:$BC$10041,54,0)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hidden="1" x14ac:dyDescent="0.2">
      <c r="B1359" s="31">
        <v>1350</v>
      </c>
      <c r="J1359">
        <f t="shared" si="25"/>
        <v>105000</v>
      </c>
      <c r="K1359" t="e">
        <f>VLOOKUP(B1359,'REGISTRO ABONOS'!$B$8:$BC$10041,54,0)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hidden="1" x14ac:dyDescent="0.2">
      <c r="B1360" s="31">
        <v>1351</v>
      </c>
      <c r="J1360">
        <f t="shared" si="25"/>
        <v>105000</v>
      </c>
      <c r="K1360" t="e">
        <f>VLOOKUP(B1360,'REGISTRO ABONOS'!$B$8:$BC$10041,54,0)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hidden="1" x14ac:dyDescent="0.2">
      <c r="B1361" s="31">
        <v>1352</v>
      </c>
      <c r="J1361">
        <f t="shared" si="25"/>
        <v>105000</v>
      </c>
      <c r="K1361" t="e">
        <f>VLOOKUP(B1361,'REGISTRO ABONOS'!$B$8:$BC$10041,54,0)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hidden="1" x14ac:dyDescent="0.2">
      <c r="B1362" s="31">
        <v>1353</v>
      </c>
      <c r="J1362">
        <f t="shared" si="25"/>
        <v>105000</v>
      </c>
      <c r="K1362" t="e">
        <f>VLOOKUP(B1362,'REGISTRO ABONOS'!$B$8:$BC$10041,54,0)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hidden="1" x14ac:dyDescent="0.2">
      <c r="B1363" s="31">
        <v>1354</v>
      </c>
      <c r="J1363">
        <f t="shared" si="25"/>
        <v>105000</v>
      </c>
      <c r="K1363" t="e">
        <f>VLOOKUP(B1363,'REGISTRO ABONOS'!$B$8:$BC$10041,54,0)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hidden="1" x14ac:dyDescent="0.2">
      <c r="B1364" s="31">
        <v>1355</v>
      </c>
      <c r="J1364">
        <f t="shared" si="25"/>
        <v>105000</v>
      </c>
      <c r="K1364" t="e">
        <f>VLOOKUP(B1364,'REGISTRO ABONOS'!$B$8:$BC$10041,54,0)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hidden="1" x14ac:dyDescent="0.2">
      <c r="B1365" s="31">
        <v>1356</v>
      </c>
      <c r="J1365">
        <f t="shared" si="25"/>
        <v>105000</v>
      </c>
      <c r="K1365" t="e">
        <f>VLOOKUP(B1365,'REGISTRO ABONOS'!$B$8:$BC$10041,54,0)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hidden="1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ABONOS'!$B$8:$BC$10041,54,0)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hidden="1" x14ac:dyDescent="0.2">
      <c r="B1367" s="31">
        <v>1358</v>
      </c>
      <c r="J1367">
        <f t="shared" si="26"/>
        <v>105000</v>
      </c>
      <c r="K1367" t="e">
        <f>VLOOKUP(B1367,'REGISTRO ABONOS'!$B$8:$BC$10041,54,0)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hidden="1" x14ac:dyDescent="0.2">
      <c r="B1368" s="31">
        <v>1359</v>
      </c>
      <c r="J1368">
        <f t="shared" si="26"/>
        <v>105000</v>
      </c>
      <c r="K1368" t="e">
        <f>VLOOKUP(B1368,'REGISTRO ABONOS'!$B$8:$BC$10041,54,0)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hidden="1" x14ac:dyDescent="0.2">
      <c r="B1369" s="31">
        <v>1360</v>
      </c>
      <c r="J1369">
        <f t="shared" si="26"/>
        <v>105000</v>
      </c>
      <c r="K1369" t="e">
        <f>VLOOKUP(B1369,'REGISTRO ABONOS'!$B$8:$BC$10041,54,0)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hidden="1" x14ac:dyDescent="0.2">
      <c r="B1370" s="31">
        <v>1361</v>
      </c>
      <c r="J1370">
        <f t="shared" si="26"/>
        <v>105000</v>
      </c>
      <c r="K1370" t="e">
        <f>VLOOKUP(B1370,'REGISTRO ABONOS'!$B$8:$BC$10041,54,0)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hidden="1" x14ac:dyDescent="0.2">
      <c r="B1371" s="31">
        <v>1362</v>
      </c>
      <c r="J1371">
        <f t="shared" si="26"/>
        <v>105000</v>
      </c>
      <c r="K1371" t="e">
        <f>VLOOKUP(B1371,'REGISTRO ABONOS'!$B$8:$BC$10041,54,0)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hidden="1" x14ac:dyDescent="0.2">
      <c r="B1372" s="31">
        <v>1363</v>
      </c>
      <c r="J1372">
        <f t="shared" si="26"/>
        <v>105000</v>
      </c>
      <c r="K1372" t="e">
        <f>VLOOKUP(B1372,'REGISTRO ABONOS'!$B$8:$BC$10041,54,0)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hidden="1" x14ac:dyDescent="0.2">
      <c r="B1373" s="31">
        <v>1364</v>
      </c>
      <c r="J1373">
        <f t="shared" si="26"/>
        <v>105000</v>
      </c>
      <c r="K1373" t="e">
        <f>VLOOKUP(B1373,'REGISTRO ABONOS'!$B$8:$BC$10041,54,0)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hidden="1" x14ac:dyDescent="0.2">
      <c r="B1374" s="31">
        <v>1365</v>
      </c>
      <c r="J1374">
        <f t="shared" si="26"/>
        <v>105000</v>
      </c>
      <c r="K1374" t="e">
        <f>VLOOKUP(B1374,'REGISTRO ABONOS'!$B$8:$BC$10041,54,0)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hidden="1" x14ac:dyDescent="0.2">
      <c r="B1375" s="31">
        <v>1366</v>
      </c>
      <c r="J1375">
        <f t="shared" si="26"/>
        <v>105000</v>
      </c>
      <c r="K1375" t="e">
        <f>VLOOKUP(B1375,'REGISTRO ABONOS'!$B$8:$BC$10041,54,0)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hidden="1" x14ac:dyDescent="0.2">
      <c r="B1376" s="31">
        <v>1367</v>
      </c>
      <c r="J1376">
        <f t="shared" si="26"/>
        <v>105000</v>
      </c>
      <c r="K1376" t="e">
        <f>VLOOKUP(B1376,'REGISTRO ABONOS'!$B$8:$BC$10041,54,0)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hidden="1" x14ac:dyDescent="0.2">
      <c r="B1377" s="31">
        <v>1368</v>
      </c>
      <c r="J1377">
        <f t="shared" si="26"/>
        <v>105000</v>
      </c>
      <c r="K1377" t="e">
        <f>VLOOKUP(B1377,'REGISTRO ABONOS'!$B$8:$BC$10041,54,0)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hidden="1" x14ac:dyDescent="0.2">
      <c r="B1378" s="31">
        <v>1369</v>
      </c>
      <c r="J1378">
        <f t="shared" si="26"/>
        <v>105000</v>
      </c>
      <c r="K1378" t="e">
        <f>VLOOKUP(B1378,'REGISTRO ABONOS'!$B$8:$BC$10041,54,0)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hidden="1" x14ac:dyDescent="0.2">
      <c r="B1379" s="31">
        <v>1370</v>
      </c>
      <c r="J1379">
        <f t="shared" si="26"/>
        <v>105000</v>
      </c>
      <c r="K1379" t="e">
        <f>VLOOKUP(B1379,'REGISTRO ABONOS'!$B$8:$BC$10041,54,0)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hidden="1" x14ac:dyDescent="0.2">
      <c r="B1380" s="31">
        <v>1371</v>
      </c>
      <c r="J1380">
        <f t="shared" si="26"/>
        <v>105000</v>
      </c>
      <c r="K1380" t="e">
        <f>VLOOKUP(B1380,'REGISTRO ABONOS'!$B$8:$BC$10041,54,0)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hidden="1" x14ac:dyDescent="0.2">
      <c r="B1381" s="31">
        <v>1372</v>
      </c>
      <c r="J1381">
        <f t="shared" si="26"/>
        <v>105000</v>
      </c>
      <c r="K1381" t="e">
        <f>VLOOKUP(B1381,'REGISTRO ABONOS'!$B$8:$BC$10041,54,0)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hidden="1" x14ac:dyDescent="0.2">
      <c r="B1382" s="31">
        <v>1373</v>
      </c>
      <c r="J1382">
        <f t="shared" si="26"/>
        <v>105000</v>
      </c>
      <c r="K1382" t="e">
        <f>VLOOKUP(B1382,'REGISTRO ABONOS'!$B$8:$BC$10041,54,0)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hidden="1" x14ac:dyDescent="0.2">
      <c r="B1383" s="31">
        <v>1374</v>
      </c>
      <c r="J1383">
        <f t="shared" si="26"/>
        <v>105000</v>
      </c>
      <c r="K1383" t="e">
        <f>VLOOKUP(B1383,'REGISTRO ABONOS'!$B$8:$BC$10041,54,0)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hidden="1" x14ac:dyDescent="0.2">
      <c r="B1384" s="31">
        <v>1375</v>
      </c>
      <c r="J1384">
        <f t="shared" si="26"/>
        <v>105000</v>
      </c>
      <c r="K1384" t="e">
        <f>VLOOKUP(B1384,'REGISTRO ABONOS'!$B$8:$BC$10041,54,0)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hidden="1" x14ac:dyDescent="0.2">
      <c r="B1385" s="31">
        <v>1376</v>
      </c>
      <c r="J1385">
        <f t="shared" si="26"/>
        <v>105000</v>
      </c>
      <c r="K1385" t="e">
        <f>VLOOKUP(B1385,'REGISTRO ABONOS'!$B$8:$BC$10041,54,0)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hidden="1" x14ac:dyDescent="0.2">
      <c r="B1386" s="31">
        <v>1377</v>
      </c>
      <c r="J1386">
        <f t="shared" si="26"/>
        <v>105000</v>
      </c>
      <c r="K1386" t="e">
        <f>VLOOKUP(B1386,'REGISTRO ABONOS'!$B$8:$BC$10041,54,0)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hidden="1" x14ac:dyDescent="0.2">
      <c r="B1387" s="31">
        <v>1378</v>
      </c>
      <c r="J1387">
        <f t="shared" si="26"/>
        <v>105000</v>
      </c>
      <c r="K1387" t="e">
        <f>VLOOKUP(B1387,'REGISTRO ABONOS'!$B$8:$BC$10041,54,0)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hidden="1" x14ac:dyDescent="0.2">
      <c r="B1388" s="31">
        <v>1379</v>
      </c>
      <c r="J1388">
        <f t="shared" si="26"/>
        <v>105000</v>
      </c>
      <c r="K1388" t="e">
        <f>VLOOKUP(B1388,'REGISTRO ABONOS'!$B$8:$BC$10041,54,0)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hidden="1" x14ac:dyDescent="0.2">
      <c r="B1389" s="31">
        <v>1380</v>
      </c>
      <c r="J1389">
        <f t="shared" si="26"/>
        <v>105000</v>
      </c>
      <c r="K1389" t="e">
        <f>VLOOKUP(B1389,'REGISTRO ABONOS'!$B$8:$BC$10041,54,0)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hidden="1" x14ac:dyDescent="0.2">
      <c r="B1390" s="31">
        <v>1381</v>
      </c>
      <c r="J1390">
        <f t="shared" si="26"/>
        <v>105000</v>
      </c>
      <c r="K1390" t="e">
        <f>VLOOKUP(B1390,'REGISTRO ABONOS'!$B$8:$BC$10041,54,0)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hidden="1" x14ac:dyDescent="0.2">
      <c r="B1391" s="31">
        <v>1382</v>
      </c>
      <c r="J1391">
        <f t="shared" si="26"/>
        <v>105000</v>
      </c>
      <c r="K1391" t="e">
        <f>VLOOKUP(B1391,'REGISTRO ABONOS'!$B$8:$BC$10041,54,0)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6"/>
        <v>105000</v>
      </c>
      <c r="K1392" t="e">
        <f>VLOOKUP(B1392,'REGISTRO ABONOS'!$B$8:$BC$10041,54,0)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hidden="1" x14ac:dyDescent="0.2">
      <c r="B1393" s="31">
        <v>1384</v>
      </c>
      <c r="J1393">
        <f t="shared" si="26"/>
        <v>105000</v>
      </c>
      <c r="K1393" t="e">
        <f>VLOOKUP(B1393,'REGISTRO ABONOS'!$B$8:$BC$10041,54,0)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hidden="1" x14ac:dyDescent="0.2">
      <c r="B1394" s="31">
        <v>1385</v>
      </c>
      <c r="J1394">
        <f t="shared" si="26"/>
        <v>105000</v>
      </c>
      <c r="K1394" t="e">
        <f>VLOOKUP(B1394,'REGISTRO ABONOS'!$B$8:$BC$10041,54,0)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hidden="1" x14ac:dyDescent="0.2">
      <c r="B1395" s="31">
        <v>1386</v>
      </c>
      <c r="J1395">
        <f t="shared" si="26"/>
        <v>105000</v>
      </c>
      <c r="K1395" t="e">
        <f>VLOOKUP(B1395,'REGISTRO ABONOS'!$B$8:$BC$10041,54,0)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hidden="1" x14ac:dyDescent="0.2">
      <c r="B1396" s="31">
        <v>1387</v>
      </c>
      <c r="J1396">
        <f t="shared" si="26"/>
        <v>105000</v>
      </c>
      <c r="K1396" t="e">
        <f>VLOOKUP(B1396,'REGISTRO ABONOS'!$B$8:$BC$10041,54,0)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hidden="1" x14ac:dyDescent="0.2">
      <c r="B1397" s="31">
        <v>1388</v>
      </c>
      <c r="J1397">
        <f t="shared" si="26"/>
        <v>105000</v>
      </c>
      <c r="K1397" t="e">
        <f>VLOOKUP(B1397,'REGISTRO ABONOS'!$B$8:$BC$10041,54,0)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hidden="1" x14ac:dyDescent="0.2">
      <c r="B1398" s="31">
        <v>1389</v>
      </c>
      <c r="J1398">
        <f t="shared" si="26"/>
        <v>105000</v>
      </c>
      <c r="K1398" t="e">
        <f>VLOOKUP(B1398,'REGISTRO ABONOS'!$B$8:$BC$10041,54,0)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hidden="1" x14ac:dyDescent="0.2">
      <c r="B1399" s="31">
        <v>1390</v>
      </c>
      <c r="J1399">
        <f t="shared" si="26"/>
        <v>105000</v>
      </c>
      <c r="K1399" t="e">
        <f>VLOOKUP(B1399,'REGISTRO ABONOS'!$B$8:$BC$10041,54,0)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hidden="1" x14ac:dyDescent="0.2">
      <c r="B1400" s="31">
        <v>1391</v>
      </c>
      <c r="J1400">
        <f t="shared" si="26"/>
        <v>105000</v>
      </c>
      <c r="K1400" t="e">
        <f>VLOOKUP(B1400,'REGISTRO ABONOS'!$B$8:$BC$10041,54,0)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hidden="1" x14ac:dyDescent="0.2">
      <c r="B1401" s="31">
        <v>1392</v>
      </c>
      <c r="J1401">
        <f t="shared" si="26"/>
        <v>105000</v>
      </c>
      <c r="K1401" t="e">
        <f>VLOOKUP(B1401,'REGISTRO ABONOS'!$B$8:$BC$10041,54,0)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hidden="1" x14ac:dyDescent="0.2">
      <c r="B1402" s="31">
        <v>1393</v>
      </c>
      <c r="J1402">
        <f t="shared" si="26"/>
        <v>105000</v>
      </c>
      <c r="K1402" t="e">
        <f>VLOOKUP(B1402,'REGISTRO ABONOS'!$B$8:$BC$10041,54,0)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hidden="1" x14ac:dyDescent="0.2">
      <c r="B1403" s="31">
        <v>1394</v>
      </c>
      <c r="J1403">
        <f t="shared" si="26"/>
        <v>105000</v>
      </c>
      <c r="K1403" t="e">
        <f>VLOOKUP(B1403,'REGISTRO ABONOS'!$B$8:$BC$10041,54,0)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hidden="1" x14ac:dyDescent="0.2">
      <c r="B1404" s="31">
        <v>1395</v>
      </c>
      <c r="J1404">
        <f t="shared" si="26"/>
        <v>105000</v>
      </c>
      <c r="K1404" t="e">
        <f>VLOOKUP(B1404,'REGISTRO ABONOS'!$B$8:$BC$10041,54,0)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hidden="1" x14ac:dyDescent="0.2">
      <c r="B1405" s="31">
        <v>1396</v>
      </c>
      <c r="J1405">
        <f t="shared" si="26"/>
        <v>105000</v>
      </c>
      <c r="K1405" t="e">
        <f>VLOOKUP(B1405,'REGISTRO ABONOS'!$B$8:$BC$10041,54,0)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hidden="1" x14ac:dyDescent="0.2">
      <c r="B1406" s="31">
        <v>1397</v>
      </c>
      <c r="J1406">
        <f t="shared" si="26"/>
        <v>105000</v>
      </c>
      <c r="K1406" t="e">
        <f>VLOOKUP(B1406,'REGISTRO ABONOS'!$B$8:$BC$10041,54,0)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hidden="1" x14ac:dyDescent="0.2">
      <c r="B1407" s="31">
        <v>1398</v>
      </c>
      <c r="J1407">
        <f t="shared" si="26"/>
        <v>105000</v>
      </c>
      <c r="K1407" t="e">
        <f>VLOOKUP(B1407,'REGISTRO ABONOS'!$B$8:$BC$10041,54,0)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hidden="1" x14ac:dyDescent="0.2">
      <c r="B1408" s="31">
        <v>1399</v>
      </c>
      <c r="J1408">
        <f t="shared" si="26"/>
        <v>105000</v>
      </c>
      <c r="K1408" t="e">
        <f>VLOOKUP(B1408,'REGISTRO ABONOS'!$B$8:$BC$10041,54,0)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hidden="1" x14ac:dyDescent="0.2">
      <c r="B1409" s="31">
        <v>1400</v>
      </c>
      <c r="J1409">
        <f t="shared" si="26"/>
        <v>105000</v>
      </c>
      <c r="K1409" t="e">
        <f>VLOOKUP(B1409,'REGISTRO ABONOS'!$B$8:$BC$10041,54,0)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hidden="1" x14ac:dyDescent="0.2">
      <c r="B1410" s="31">
        <v>1401</v>
      </c>
      <c r="J1410">
        <f t="shared" si="26"/>
        <v>105000</v>
      </c>
      <c r="K1410" t="e">
        <f>VLOOKUP(B1410,'REGISTRO ABONOS'!$B$8:$BC$10041,54,0)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hidden="1" x14ac:dyDescent="0.2">
      <c r="B1411" s="31">
        <v>1402</v>
      </c>
      <c r="J1411">
        <f t="shared" si="26"/>
        <v>105000</v>
      </c>
      <c r="K1411" t="e">
        <f>VLOOKUP(B1411,'REGISTRO ABONOS'!$B$8:$BC$10041,54,0)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hidden="1" x14ac:dyDescent="0.2">
      <c r="B1412" s="31">
        <v>1403</v>
      </c>
      <c r="J1412">
        <f t="shared" si="26"/>
        <v>105000</v>
      </c>
      <c r="K1412" t="e">
        <f>VLOOKUP(B1412,'REGISTRO ABONOS'!$B$8:$BC$10041,54,0)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hidden="1" x14ac:dyDescent="0.2">
      <c r="B1413" s="31">
        <v>1404</v>
      </c>
      <c r="J1413">
        <f t="shared" si="26"/>
        <v>105000</v>
      </c>
      <c r="K1413" t="e">
        <f>VLOOKUP(B1413,'REGISTRO ABONOS'!$B$8:$BC$10041,54,0)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hidden="1" x14ac:dyDescent="0.2">
      <c r="B1414" s="31">
        <v>1405</v>
      </c>
      <c r="J1414">
        <f t="shared" si="26"/>
        <v>105000</v>
      </c>
      <c r="K1414" t="e">
        <f>VLOOKUP(B1414,'REGISTRO ABONOS'!$B$8:$BC$10041,54,0)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hidden="1" x14ac:dyDescent="0.2">
      <c r="B1415" s="31">
        <v>1406</v>
      </c>
      <c r="J1415">
        <f t="shared" si="26"/>
        <v>105000</v>
      </c>
      <c r="K1415" t="e">
        <f>VLOOKUP(B1415,'REGISTRO ABONOS'!$B$8:$BC$10041,54,0)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hidden="1" x14ac:dyDescent="0.2">
      <c r="B1416" s="31">
        <v>1407</v>
      </c>
      <c r="J1416">
        <f t="shared" si="26"/>
        <v>105000</v>
      </c>
      <c r="K1416" t="e">
        <f>VLOOKUP(B1416,'REGISTRO ABONOS'!$B$8:$BC$10041,54,0)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hidden="1" x14ac:dyDescent="0.2">
      <c r="B1417" s="31">
        <v>1408</v>
      </c>
      <c r="J1417">
        <f t="shared" si="26"/>
        <v>105000</v>
      </c>
      <c r="K1417" t="e">
        <f>VLOOKUP(B1417,'REGISTRO ABONOS'!$B$8:$BC$10041,54,0)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hidden="1" x14ac:dyDescent="0.2">
      <c r="B1418" s="31">
        <v>1409</v>
      </c>
      <c r="J1418">
        <f t="shared" si="26"/>
        <v>105000</v>
      </c>
      <c r="K1418" t="e">
        <f>VLOOKUP(B1418,'REGISTRO ABONOS'!$B$8:$BC$10041,54,0)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hidden="1" x14ac:dyDescent="0.2">
      <c r="B1419" s="31">
        <v>1410</v>
      </c>
      <c r="J1419">
        <f t="shared" si="26"/>
        <v>105000</v>
      </c>
      <c r="K1419" t="e">
        <f>VLOOKUP(B1419,'REGISTRO ABONOS'!$B$8:$BC$10041,54,0)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6"/>
        <v>105000</v>
      </c>
      <c r="K1420" t="e">
        <f>VLOOKUP(B1420,'REGISTRO ABONOS'!$B$8:$BC$10041,54,0)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hidden="1" x14ac:dyDescent="0.2">
      <c r="B1421" s="31">
        <v>1412</v>
      </c>
      <c r="J1421">
        <f t="shared" si="26"/>
        <v>105000</v>
      </c>
      <c r="K1421" t="e">
        <f>VLOOKUP(B1421,'REGISTRO ABONOS'!$B$8:$BC$10041,54,0)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hidden="1" x14ac:dyDescent="0.2">
      <c r="B1422" s="31">
        <v>1413</v>
      </c>
      <c r="J1422">
        <f t="shared" si="26"/>
        <v>105000</v>
      </c>
      <c r="K1422" t="e">
        <f>VLOOKUP(B1422,'REGISTRO ABONOS'!$B$8:$BC$10041,54,0)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hidden="1" x14ac:dyDescent="0.2">
      <c r="B1423" s="31">
        <v>1414</v>
      </c>
      <c r="J1423">
        <f t="shared" si="26"/>
        <v>105000</v>
      </c>
      <c r="K1423" t="e">
        <f>VLOOKUP(B1423,'REGISTRO ABONOS'!$B$8:$BC$10041,54,0)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hidden="1" x14ac:dyDescent="0.2">
      <c r="B1424" s="31">
        <v>1415</v>
      </c>
      <c r="J1424">
        <f t="shared" si="26"/>
        <v>105000</v>
      </c>
      <c r="K1424" t="e">
        <f>VLOOKUP(B1424,'REGISTRO ABONOS'!$B$8:$BC$10041,54,0)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hidden="1" x14ac:dyDescent="0.2">
      <c r="B1425" s="31">
        <v>1416</v>
      </c>
      <c r="J1425">
        <f t="shared" si="26"/>
        <v>105000</v>
      </c>
      <c r="K1425" t="e">
        <f>VLOOKUP(B1425,'REGISTRO ABONOS'!$B$8:$BC$10041,54,0)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hidden="1" x14ac:dyDescent="0.2">
      <c r="B1426" s="31">
        <v>1417</v>
      </c>
      <c r="J1426">
        <f t="shared" si="26"/>
        <v>105000</v>
      </c>
      <c r="K1426" t="e">
        <f>VLOOKUP(B1426,'REGISTRO ABONOS'!$B$8:$BC$10041,54,0)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hidden="1" x14ac:dyDescent="0.2">
      <c r="B1427" s="31">
        <v>1418</v>
      </c>
      <c r="J1427">
        <f t="shared" si="26"/>
        <v>105000</v>
      </c>
      <c r="K1427" t="e">
        <f>VLOOKUP(B1427,'REGISTRO ABONOS'!$B$8:$BC$10041,54,0)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hidden="1" x14ac:dyDescent="0.2">
      <c r="B1428" s="31">
        <v>1419</v>
      </c>
      <c r="J1428">
        <f t="shared" si="26"/>
        <v>105000</v>
      </c>
      <c r="K1428" t="e">
        <f>VLOOKUP(B1428,'REGISTRO ABONOS'!$B$8:$BC$10041,54,0)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hidden="1" x14ac:dyDescent="0.2">
      <c r="B1429" s="31">
        <v>1420</v>
      </c>
      <c r="J1429">
        <f t="shared" si="26"/>
        <v>105000</v>
      </c>
      <c r="K1429" t="e">
        <f>VLOOKUP(B1429,'REGISTRO ABONOS'!$B$8:$BC$10041,54,0)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hidden="1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ABONOS'!$B$8:$BC$10041,54,0)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hidden="1" x14ac:dyDescent="0.2">
      <c r="B1431" s="31">
        <v>1422</v>
      </c>
      <c r="J1431">
        <f t="shared" si="27"/>
        <v>105000</v>
      </c>
      <c r="K1431" t="e">
        <f>VLOOKUP(B1431,'REGISTRO ABONOS'!$B$8:$BC$10041,54,0)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hidden="1" x14ac:dyDescent="0.2">
      <c r="B1432" s="31">
        <v>1423</v>
      </c>
      <c r="J1432">
        <f t="shared" si="27"/>
        <v>105000</v>
      </c>
      <c r="K1432" t="e">
        <f>VLOOKUP(B1432,'REGISTRO ABONOS'!$B$8:$BC$10041,54,0)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hidden="1" x14ac:dyDescent="0.2">
      <c r="B1433" s="31">
        <v>1424</v>
      </c>
      <c r="J1433">
        <f t="shared" si="27"/>
        <v>105000</v>
      </c>
      <c r="K1433" t="e">
        <f>VLOOKUP(B1433,'REGISTRO ABONOS'!$B$8:$BC$10041,54,0)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hidden="1" x14ac:dyDescent="0.2">
      <c r="B1434" s="31">
        <v>1425</v>
      </c>
      <c r="J1434">
        <f t="shared" si="27"/>
        <v>105000</v>
      </c>
      <c r="K1434" t="e">
        <f>VLOOKUP(B1434,'REGISTRO ABONOS'!$B$8:$BC$10041,54,0)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hidden="1" x14ac:dyDescent="0.2">
      <c r="B1435" s="31">
        <v>1426</v>
      </c>
      <c r="J1435">
        <f t="shared" si="27"/>
        <v>105000</v>
      </c>
      <c r="K1435" t="e">
        <f>VLOOKUP(B1435,'REGISTRO ABONOS'!$B$8:$BC$10041,54,0)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hidden="1" x14ac:dyDescent="0.2">
      <c r="B1436" s="31">
        <v>1427</v>
      </c>
      <c r="J1436">
        <f t="shared" si="27"/>
        <v>105000</v>
      </c>
      <c r="K1436" t="e">
        <f>VLOOKUP(B1436,'REGISTRO ABONOS'!$B$8:$BC$10041,54,0)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hidden="1" x14ac:dyDescent="0.2">
      <c r="B1437" s="31">
        <v>1428</v>
      </c>
      <c r="J1437">
        <f t="shared" si="27"/>
        <v>105000</v>
      </c>
      <c r="K1437" t="e">
        <f>VLOOKUP(B1437,'REGISTRO ABONOS'!$B$8:$BC$10041,54,0)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hidden="1" x14ac:dyDescent="0.2">
      <c r="B1438" s="31">
        <v>1429</v>
      </c>
      <c r="J1438">
        <f t="shared" si="27"/>
        <v>105000</v>
      </c>
      <c r="K1438" t="e">
        <f>VLOOKUP(B1438,'REGISTRO ABONOS'!$B$8:$BC$10041,54,0)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hidden="1" x14ac:dyDescent="0.2">
      <c r="B1439" s="31">
        <v>1430</v>
      </c>
      <c r="J1439">
        <f t="shared" si="27"/>
        <v>105000</v>
      </c>
      <c r="K1439" t="e">
        <f>VLOOKUP(B1439,'REGISTRO ABONOS'!$B$8:$BC$10041,54,0)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hidden="1" x14ac:dyDescent="0.2">
      <c r="B1440" s="31">
        <v>1431</v>
      </c>
      <c r="J1440">
        <f t="shared" si="27"/>
        <v>105000</v>
      </c>
      <c r="K1440" t="e">
        <f>VLOOKUP(B1440,'REGISTRO ABONOS'!$B$8:$BC$10041,54,0)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hidden="1" x14ac:dyDescent="0.2">
      <c r="B1441" s="31">
        <v>1432</v>
      </c>
      <c r="J1441">
        <f t="shared" si="27"/>
        <v>105000</v>
      </c>
      <c r="K1441" t="e">
        <f>VLOOKUP(B1441,'REGISTRO ABONOS'!$B$8:$BC$10041,54,0)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hidden="1" x14ac:dyDescent="0.2">
      <c r="B1442" s="31">
        <v>1433</v>
      </c>
      <c r="J1442">
        <f t="shared" si="27"/>
        <v>105000</v>
      </c>
      <c r="K1442" t="e">
        <f>VLOOKUP(B1442,'REGISTRO ABONOS'!$B$8:$BC$10041,54,0)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hidden="1" x14ac:dyDescent="0.2">
      <c r="B1443" s="31">
        <v>1434</v>
      </c>
      <c r="J1443">
        <f t="shared" si="27"/>
        <v>105000</v>
      </c>
      <c r="K1443" t="e">
        <f>VLOOKUP(B1443,'REGISTRO ABONOS'!$B$8:$BC$10041,54,0)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hidden="1" x14ac:dyDescent="0.2">
      <c r="B1444" s="31">
        <v>1435</v>
      </c>
      <c r="J1444">
        <f t="shared" si="27"/>
        <v>105000</v>
      </c>
      <c r="K1444" t="e">
        <f>VLOOKUP(B1444,'REGISTRO ABONOS'!$B$8:$BC$10041,54,0)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hidden="1" x14ac:dyDescent="0.2">
      <c r="B1445" s="31">
        <v>1436</v>
      </c>
      <c r="J1445">
        <f t="shared" si="27"/>
        <v>105000</v>
      </c>
      <c r="K1445" t="e">
        <f>VLOOKUP(B1445,'REGISTRO ABONOS'!$B$8:$BC$10041,54,0)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hidden="1" x14ac:dyDescent="0.2">
      <c r="B1446" s="31">
        <v>1437</v>
      </c>
      <c r="J1446">
        <f t="shared" si="27"/>
        <v>105000</v>
      </c>
      <c r="K1446" t="e">
        <f>VLOOKUP(B1446,'REGISTRO ABONOS'!$B$8:$BC$10041,54,0)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hidden="1" x14ac:dyDescent="0.2">
      <c r="B1447" s="31">
        <v>1438</v>
      </c>
      <c r="J1447">
        <f t="shared" si="27"/>
        <v>105000</v>
      </c>
      <c r="K1447" t="e">
        <f>VLOOKUP(B1447,'REGISTRO ABONOS'!$B$8:$BC$10041,54,0)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hidden="1" x14ac:dyDescent="0.2">
      <c r="B1448" s="31">
        <v>1439</v>
      </c>
      <c r="J1448">
        <f t="shared" si="27"/>
        <v>105000</v>
      </c>
      <c r="K1448" t="e">
        <f>VLOOKUP(B1448,'REGISTRO ABONOS'!$B$8:$BC$10041,54,0)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hidden="1" x14ac:dyDescent="0.2">
      <c r="B1449" s="31">
        <v>1440</v>
      </c>
      <c r="J1449">
        <f t="shared" si="27"/>
        <v>105000</v>
      </c>
      <c r="K1449" t="e">
        <f>VLOOKUP(B1449,'REGISTRO ABONOS'!$B$8:$BC$10041,54,0)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hidden="1" x14ac:dyDescent="0.2">
      <c r="B1450" s="31">
        <v>1441</v>
      </c>
      <c r="J1450">
        <f t="shared" si="27"/>
        <v>105000</v>
      </c>
      <c r="K1450" t="e">
        <f>VLOOKUP(B1450,'REGISTRO ABONOS'!$B$8:$BC$10041,54,0)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hidden="1" x14ac:dyDescent="0.2">
      <c r="B1451" s="31">
        <v>1442</v>
      </c>
      <c r="J1451">
        <f t="shared" si="27"/>
        <v>105000</v>
      </c>
      <c r="K1451" t="e">
        <f>VLOOKUP(B1451,'REGISTRO ABONOS'!$B$8:$BC$10041,54,0)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hidden="1" x14ac:dyDescent="0.2">
      <c r="B1452" s="31">
        <v>1443</v>
      </c>
      <c r="J1452">
        <f t="shared" si="27"/>
        <v>105000</v>
      </c>
      <c r="K1452" t="e">
        <f>VLOOKUP(B1452,'REGISTRO ABONOS'!$B$8:$BC$10041,54,0)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hidden="1" x14ac:dyDescent="0.2">
      <c r="B1453" s="31">
        <v>1444</v>
      </c>
      <c r="J1453">
        <f t="shared" si="27"/>
        <v>105000</v>
      </c>
      <c r="K1453" t="e">
        <f>VLOOKUP(B1453,'REGISTRO ABONOS'!$B$8:$BC$10041,54,0)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hidden="1" x14ac:dyDescent="0.2">
      <c r="B1454" s="31">
        <v>1445</v>
      </c>
      <c r="J1454">
        <f t="shared" si="27"/>
        <v>105000</v>
      </c>
      <c r="K1454" t="e">
        <f>VLOOKUP(B1454,'REGISTRO ABONOS'!$B$8:$BC$10041,54,0)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hidden="1" x14ac:dyDescent="0.2">
      <c r="B1455" s="31">
        <v>1446</v>
      </c>
      <c r="J1455">
        <f t="shared" si="27"/>
        <v>105000</v>
      </c>
      <c r="K1455" t="e">
        <f>VLOOKUP(B1455,'REGISTRO ABONOS'!$B$8:$BC$10041,54,0)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hidden="1" x14ac:dyDescent="0.2">
      <c r="B1456" s="31">
        <v>1447</v>
      </c>
      <c r="J1456">
        <f t="shared" si="27"/>
        <v>105000</v>
      </c>
      <c r="K1456" t="e">
        <f>VLOOKUP(B1456,'REGISTRO ABONOS'!$B$8:$BC$10041,54,0)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hidden="1" x14ac:dyDescent="0.2">
      <c r="B1457" s="31">
        <v>1448</v>
      </c>
      <c r="J1457">
        <f t="shared" si="27"/>
        <v>105000</v>
      </c>
      <c r="K1457" t="e">
        <f>VLOOKUP(B1457,'REGISTRO ABONOS'!$B$8:$BC$10041,54,0)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hidden="1" x14ac:dyDescent="0.2">
      <c r="B1458" s="31">
        <v>1449</v>
      </c>
      <c r="J1458">
        <f t="shared" si="27"/>
        <v>105000</v>
      </c>
      <c r="K1458" t="e">
        <f>VLOOKUP(B1458,'REGISTRO ABONOS'!$B$8:$BC$10041,54,0)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hidden="1" x14ac:dyDescent="0.2">
      <c r="B1459" s="31">
        <v>1450</v>
      </c>
      <c r="J1459">
        <f t="shared" si="27"/>
        <v>105000</v>
      </c>
      <c r="K1459" t="e">
        <f>VLOOKUP(B1459,'REGISTRO ABONOS'!$B$8:$BC$10041,54,0)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hidden="1" x14ac:dyDescent="0.2">
      <c r="B1460" s="31">
        <v>1451</v>
      </c>
      <c r="J1460">
        <f t="shared" si="27"/>
        <v>105000</v>
      </c>
      <c r="K1460" t="e">
        <f>VLOOKUP(B1460,'REGISTRO ABONOS'!$B$8:$BC$10041,54,0)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hidden="1" x14ac:dyDescent="0.2">
      <c r="B1461" s="31">
        <v>1452</v>
      </c>
      <c r="J1461">
        <f t="shared" si="27"/>
        <v>105000</v>
      </c>
      <c r="K1461" t="e">
        <f>VLOOKUP(B1461,'REGISTRO ABONOS'!$B$8:$BC$10041,54,0)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hidden="1" x14ac:dyDescent="0.2">
      <c r="B1462" s="31">
        <v>1453</v>
      </c>
      <c r="J1462">
        <f t="shared" si="27"/>
        <v>105000</v>
      </c>
      <c r="K1462" t="e">
        <f>VLOOKUP(B1462,'REGISTRO ABONOS'!$B$8:$BC$10041,54,0)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hidden="1" x14ac:dyDescent="0.2">
      <c r="B1463" s="31">
        <v>1454</v>
      </c>
      <c r="J1463">
        <f t="shared" si="27"/>
        <v>105000</v>
      </c>
      <c r="K1463" t="e">
        <f>VLOOKUP(B1463,'REGISTRO ABONOS'!$B$8:$BC$10041,54,0)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hidden="1" x14ac:dyDescent="0.2">
      <c r="B1464" s="31">
        <v>1455</v>
      </c>
      <c r="J1464">
        <f t="shared" si="27"/>
        <v>105000</v>
      </c>
      <c r="K1464" t="e">
        <f>VLOOKUP(B1464,'REGISTRO ABONOS'!$B$8:$BC$10041,54,0)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hidden="1" x14ac:dyDescent="0.2">
      <c r="B1465" s="31">
        <v>1456</v>
      </c>
      <c r="J1465">
        <f t="shared" si="27"/>
        <v>105000</v>
      </c>
      <c r="K1465" t="e">
        <f>VLOOKUP(B1465,'REGISTRO ABONOS'!$B$8:$BC$10041,54,0)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hidden="1" x14ac:dyDescent="0.2">
      <c r="B1466" s="31">
        <v>1457</v>
      </c>
      <c r="J1466">
        <f t="shared" si="27"/>
        <v>105000</v>
      </c>
      <c r="K1466" t="e">
        <f>VLOOKUP(B1466,'REGISTRO ABONOS'!$B$8:$BC$10041,54,0)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hidden="1" x14ac:dyDescent="0.2">
      <c r="B1467" s="31">
        <v>1458</v>
      </c>
      <c r="J1467">
        <f t="shared" si="27"/>
        <v>105000</v>
      </c>
      <c r="K1467" t="e">
        <f>VLOOKUP(B1467,'REGISTRO ABONOS'!$B$8:$BC$10041,54,0)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hidden="1" x14ac:dyDescent="0.2">
      <c r="B1468" s="31">
        <v>1459</v>
      </c>
      <c r="J1468">
        <f t="shared" si="27"/>
        <v>105000</v>
      </c>
      <c r="K1468" t="e">
        <f>VLOOKUP(B1468,'REGISTRO ABONOS'!$B$8:$BC$10041,54,0)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hidden="1" x14ac:dyDescent="0.2">
      <c r="B1469" s="31">
        <v>1460</v>
      </c>
      <c r="J1469">
        <f t="shared" si="27"/>
        <v>105000</v>
      </c>
      <c r="K1469" t="e">
        <f>VLOOKUP(B1469,'REGISTRO ABONOS'!$B$8:$BC$10041,54,0)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hidden="1" x14ac:dyDescent="0.2">
      <c r="B1470" s="31">
        <v>1461</v>
      </c>
      <c r="J1470">
        <f t="shared" si="27"/>
        <v>105000</v>
      </c>
      <c r="K1470" t="e">
        <f>VLOOKUP(B1470,'REGISTRO ABONOS'!$B$8:$BC$10041,54,0)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hidden="1" x14ac:dyDescent="0.2">
      <c r="B1471" s="31">
        <v>1462</v>
      </c>
      <c r="J1471">
        <f t="shared" si="27"/>
        <v>105000</v>
      </c>
      <c r="K1471" t="e">
        <f>VLOOKUP(B1471,'REGISTRO ABONOS'!$B$8:$BC$10041,54,0)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hidden="1" x14ac:dyDescent="0.2">
      <c r="B1472" s="31">
        <v>1463</v>
      </c>
      <c r="J1472">
        <f t="shared" si="27"/>
        <v>105000</v>
      </c>
      <c r="K1472" t="e">
        <f>VLOOKUP(B1472,'REGISTRO ABONOS'!$B$8:$BC$10041,54,0)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hidden="1" x14ac:dyDescent="0.2">
      <c r="B1473" s="31">
        <v>1464</v>
      </c>
      <c r="J1473">
        <f t="shared" si="27"/>
        <v>105000</v>
      </c>
      <c r="K1473" t="e">
        <f>VLOOKUP(B1473,'REGISTRO ABONOS'!$B$8:$BC$10041,54,0)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hidden="1" x14ac:dyDescent="0.2">
      <c r="B1474" s="31">
        <v>1465</v>
      </c>
      <c r="J1474">
        <f t="shared" si="27"/>
        <v>105000</v>
      </c>
      <c r="K1474" t="e">
        <f>VLOOKUP(B1474,'REGISTRO ABONOS'!$B$8:$BC$10041,54,0)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hidden="1" x14ac:dyDescent="0.2">
      <c r="B1475" s="31">
        <v>1466</v>
      </c>
      <c r="J1475">
        <f t="shared" si="27"/>
        <v>105000</v>
      </c>
      <c r="K1475" t="e">
        <f>VLOOKUP(B1475,'REGISTRO ABONOS'!$B$8:$BC$10041,54,0)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hidden="1" x14ac:dyDescent="0.2">
      <c r="B1476" s="31">
        <v>1467</v>
      </c>
      <c r="J1476">
        <f t="shared" si="27"/>
        <v>105000</v>
      </c>
      <c r="K1476" t="e">
        <f>VLOOKUP(B1476,'REGISTRO ABONOS'!$B$8:$BC$10041,54,0)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hidden="1" x14ac:dyDescent="0.2">
      <c r="B1477" s="31">
        <v>1468</v>
      </c>
      <c r="J1477">
        <f t="shared" si="27"/>
        <v>105000</v>
      </c>
      <c r="K1477" t="e">
        <f>VLOOKUP(B1477,'REGISTRO ABONOS'!$B$8:$BC$10041,54,0)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hidden="1" x14ac:dyDescent="0.2">
      <c r="B1478" s="31">
        <v>1469</v>
      </c>
      <c r="J1478">
        <f t="shared" si="27"/>
        <v>105000</v>
      </c>
      <c r="K1478" t="e">
        <f>VLOOKUP(B1478,'REGISTRO ABONOS'!$B$8:$BC$10041,54,0)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hidden="1" x14ac:dyDescent="0.2">
      <c r="B1479" s="31">
        <v>1470</v>
      </c>
      <c r="J1479">
        <f t="shared" si="27"/>
        <v>105000</v>
      </c>
      <c r="K1479" t="e">
        <f>VLOOKUP(B1479,'REGISTRO ABONOS'!$B$8:$BC$10041,54,0)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hidden="1" x14ac:dyDescent="0.2">
      <c r="B1480" s="31">
        <v>1471</v>
      </c>
      <c r="J1480">
        <f t="shared" si="27"/>
        <v>105000</v>
      </c>
      <c r="K1480" t="e">
        <f>VLOOKUP(B1480,'REGISTRO ABONOS'!$B$8:$BC$10041,54,0)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hidden="1" x14ac:dyDescent="0.2">
      <c r="B1481" s="31">
        <v>1472</v>
      </c>
      <c r="J1481">
        <f t="shared" si="27"/>
        <v>105000</v>
      </c>
      <c r="K1481" t="e">
        <f>VLOOKUP(B1481,'REGISTRO ABONOS'!$B$8:$BC$10041,54,0)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hidden="1" x14ac:dyDescent="0.2">
      <c r="B1482" s="31">
        <v>1473</v>
      </c>
      <c r="J1482">
        <f t="shared" si="27"/>
        <v>105000</v>
      </c>
      <c r="K1482" t="e">
        <f>VLOOKUP(B1482,'REGISTRO ABONOS'!$B$8:$BC$10041,54,0)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hidden="1" x14ac:dyDescent="0.2">
      <c r="B1483" s="31">
        <v>1474</v>
      </c>
      <c r="J1483">
        <f t="shared" si="27"/>
        <v>105000</v>
      </c>
      <c r="K1483" t="e">
        <f>VLOOKUP(B1483,'REGISTRO ABONOS'!$B$8:$BC$10041,54,0)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hidden="1" x14ac:dyDescent="0.2">
      <c r="B1484" s="31">
        <v>1475</v>
      </c>
      <c r="J1484">
        <f t="shared" si="27"/>
        <v>105000</v>
      </c>
      <c r="K1484" t="e">
        <f>VLOOKUP(B1484,'REGISTRO ABONOS'!$B$8:$BC$10041,54,0)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hidden="1" x14ac:dyDescent="0.2">
      <c r="B1485" s="31">
        <v>1476</v>
      </c>
      <c r="J1485">
        <f t="shared" si="27"/>
        <v>105000</v>
      </c>
      <c r="K1485" t="e">
        <f>VLOOKUP(B1485,'REGISTRO ABONOS'!$B$8:$BC$10041,54,0)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hidden="1" x14ac:dyDescent="0.2">
      <c r="B1486" s="31">
        <v>1477</v>
      </c>
      <c r="J1486">
        <f t="shared" si="27"/>
        <v>105000</v>
      </c>
      <c r="K1486" t="e">
        <f>VLOOKUP(B1486,'REGISTRO ABONOS'!$B$8:$BC$10041,54,0)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hidden="1" x14ac:dyDescent="0.2">
      <c r="B1487" s="31">
        <v>1478</v>
      </c>
      <c r="J1487">
        <f t="shared" si="27"/>
        <v>105000</v>
      </c>
      <c r="K1487" t="e">
        <f>VLOOKUP(B1487,'REGISTRO ABONOS'!$B$8:$BC$10041,54,0)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hidden="1" x14ac:dyDescent="0.2">
      <c r="B1488" s="31">
        <v>1479</v>
      </c>
      <c r="J1488">
        <f t="shared" si="27"/>
        <v>105000</v>
      </c>
      <c r="K1488" t="e">
        <f>VLOOKUP(B1488,'REGISTRO ABONOS'!$B$8:$BC$10041,54,0)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hidden="1" x14ac:dyDescent="0.2">
      <c r="B1489" s="31">
        <v>1480</v>
      </c>
      <c r="J1489">
        <f t="shared" si="27"/>
        <v>105000</v>
      </c>
      <c r="K1489" t="e">
        <f>VLOOKUP(B1489,'REGISTRO ABONOS'!$B$8:$BC$10041,54,0)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hidden="1" x14ac:dyDescent="0.2">
      <c r="B1490" s="31">
        <v>1481</v>
      </c>
      <c r="J1490">
        <f t="shared" si="27"/>
        <v>105000</v>
      </c>
      <c r="K1490" t="e">
        <f>VLOOKUP(B1490,'REGISTRO ABONOS'!$B$8:$BC$10041,54,0)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hidden="1" x14ac:dyDescent="0.2">
      <c r="B1491" s="31">
        <v>1482</v>
      </c>
      <c r="J1491">
        <f t="shared" si="27"/>
        <v>105000</v>
      </c>
      <c r="K1491" t="e">
        <f>VLOOKUP(B1491,'REGISTRO ABONOS'!$B$8:$BC$10041,54,0)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hidden="1" x14ac:dyDescent="0.2">
      <c r="B1492" s="31">
        <v>1483</v>
      </c>
      <c r="J1492">
        <f t="shared" si="27"/>
        <v>105000</v>
      </c>
      <c r="K1492" t="e">
        <f>VLOOKUP(B1492,'REGISTRO ABONOS'!$B$8:$BC$10041,54,0)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hidden="1" x14ac:dyDescent="0.2">
      <c r="B1493" s="31">
        <v>1484</v>
      </c>
      <c r="J1493">
        <f t="shared" si="27"/>
        <v>105000</v>
      </c>
      <c r="K1493" t="e">
        <f>VLOOKUP(B1493,'REGISTRO ABONOS'!$B$8:$BC$10041,54,0)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hidden="1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ABONOS'!$B$8:$BC$10041,54,0)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hidden="1" x14ac:dyDescent="0.2">
      <c r="B1495" s="31">
        <v>1486</v>
      </c>
      <c r="J1495">
        <f t="shared" si="28"/>
        <v>105000</v>
      </c>
      <c r="K1495" t="e">
        <f>VLOOKUP(B1495,'REGISTRO ABONOS'!$B$8:$BC$10041,54,0)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hidden="1" x14ac:dyDescent="0.2">
      <c r="B1496" s="31">
        <v>1487</v>
      </c>
      <c r="J1496">
        <f t="shared" si="28"/>
        <v>105000</v>
      </c>
      <c r="K1496" t="e">
        <f>VLOOKUP(B1496,'REGISTRO ABONOS'!$B$8:$BC$10041,54,0)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hidden="1" x14ac:dyDescent="0.2">
      <c r="B1497" s="31">
        <v>1488</v>
      </c>
      <c r="J1497">
        <f t="shared" si="28"/>
        <v>105000</v>
      </c>
      <c r="K1497" t="e">
        <f>VLOOKUP(B1497,'REGISTRO ABONOS'!$B$8:$BC$10041,54,0)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hidden="1" x14ac:dyDescent="0.2">
      <c r="B1498" s="31">
        <v>1489</v>
      </c>
      <c r="J1498">
        <f t="shared" si="28"/>
        <v>105000</v>
      </c>
      <c r="K1498" t="e">
        <f>VLOOKUP(B1498,'REGISTRO ABONOS'!$B$8:$BC$10041,54,0)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hidden="1" x14ac:dyDescent="0.2">
      <c r="B1499" s="31">
        <v>1490</v>
      </c>
      <c r="J1499">
        <f t="shared" si="28"/>
        <v>105000</v>
      </c>
      <c r="K1499" t="e">
        <f>VLOOKUP(B1499,'REGISTRO ABONOS'!$B$8:$BC$10041,54,0)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hidden="1" x14ac:dyDescent="0.2">
      <c r="B1500" s="31">
        <v>1491</v>
      </c>
      <c r="J1500">
        <f t="shared" si="28"/>
        <v>105000</v>
      </c>
      <c r="K1500" t="e">
        <f>VLOOKUP(B1500,'REGISTRO ABONOS'!$B$8:$BC$10041,54,0)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hidden="1" x14ac:dyDescent="0.2">
      <c r="B1501" s="31">
        <v>1492</v>
      </c>
      <c r="J1501">
        <f t="shared" si="28"/>
        <v>105000</v>
      </c>
      <c r="K1501" t="e">
        <f>VLOOKUP(B1501,'REGISTRO ABONOS'!$B$8:$BC$10041,54,0)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hidden="1" x14ac:dyDescent="0.2">
      <c r="B1502" s="31">
        <v>1493</v>
      </c>
      <c r="J1502">
        <f t="shared" si="28"/>
        <v>105000</v>
      </c>
      <c r="K1502" t="e">
        <f>VLOOKUP(B1502,'REGISTRO ABONOS'!$B$8:$BC$10041,54,0)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hidden="1" x14ac:dyDescent="0.2">
      <c r="B1503" s="31">
        <v>1494</v>
      </c>
      <c r="J1503">
        <f t="shared" si="28"/>
        <v>105000</v>
      </c>
      <c r="K1503" t="e">
        <f>VLOOKUP(B1503,'REGISTRO ABONOS'!$B$8:$BC$10041,54,0)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hidden="1" x14ac:dyDescent="0.2">
      <c r="B1504" s="31">
        <v>1495</v>
      </c>
      <c r="J1504">
        <f t="shared" si="28"/>
        <v>105000</v>
      </c>
      <c r="K1504" t="e">
        <f>VLOOKUP(B1504,'REGISTRO ABONOS'!$B$8:$BC$10041,54,0)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hidden="1" x14ac:dyDescent="0.2">
      <c r="B1505" s="31">
        <v>1496</v>
      </c>
      <c r="J1505">
        <f t="shared" si="28"/>
        <v>105000</v>
      </c>
      <c r="K1505" t="e">
        <f>VLOOKUP(B1505,'REGISTRO ABONOS'!$B$8:$BC$10041,54,0)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hidden="1" x14ac:dyDescent="0.2">
      <c r="B1506" s="31">
        <v>1497</v>
      </c>
      <c r="J1506">
        <f t="shared" si="28"/>
        <v>105000</v>
      </c>
      <c r="K1506" t="e">
        <f>VLOOKUP(B1506,'REGISTRO ABONOS'!$B$8:$BC$10041,54,0)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hidden="1" x14ac:dyDescent="0.2">
      <c r="B1507" s="31">
        <v>1498</v>
      </c>
      <c r="J1507">
        <f t="shared" si="28"/>
        <v>105000</v>
      </c>
      <c r="K1507" t="e">
        <f>VLOOKUP(B1507,'REGISTRO ABONOS'!$B$8:$BC$10041,54,0)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hidden="1" x14ac:dyDescent="0.2">
      <c r="B1508" s="31">
        <v>1499</v>
      </c>
      <c r="J1508">
        <f t="shared" si="28"/>
        <v>105000</v>
      </c>
      <c r="K1508" t="e">
        <f>VLOOKUP(B1508,'REGISTRO ABONOS'!$B$8:$BC$10041,54,0)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hidden="1" x14ac:dyDescent="0.2">
      <c r="B1509" s="31">
        <v>1500</v>
      </c>
      <c r="J1509">
        <f t="shared" si="28"/>
        <v>105000</v>
      </c>
      <c r="K1509" t="e">
        <f>VLOOKUP(B1509,'REGISTRO ABONOS'!$B$8:$BC$10041,54,0)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hidden="1" x14ac:dyDescent="0.2">
      <c r="B1510" s="31">
        <v>1501</v>
      </c>
      <c r="J1510">
        <f t="shared" si="28"/>
        <v>105000</v>
      </c>
      <c r="K1510" t="e">
        <f>VLOOKUP(B1510,'REGISTRO ABONOS'!$B$8:$BC$10041,54,0)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hidden="1" x14ac:dyDescent="0.2">
      <c r="B1511" s="31">
        <v>1502</v>
      </c>
      <c r="J1511">
        <f t="shared" si="28"/>
        <v>105000</v>
      </c>
      <c r="K1511" t="e">
        <f>VLOOKUP(B1511,'REGISTRO ABONOS'!$B$8:$BC$10041,54,0)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hidden="1" x14ac:dyDescent="0.2">
      <c r="B1512" s="31">
        <v>1503</v>
      </c>
      <c r="J1512">
        <f t="shared" si="28"/>
        <v>105000</v>
      </c>
      <c r="K1512" t="e">
        <f>VLOOKUP(B1512,'REGISTRO ABONOS'!$B$8:$BC$10041,54,0)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hidden="1" x14ac:dyDescent="0.2">
      <c r="B1513" s="31">
        <v>1504</v>
      </c>
      <c r="J1513">
        <f t="shared" si="28"/>
        <v>105000</v>
      </c>
      <c r="K1513" t="e">
        <f>VLOOKUP(B1513,'REGISTRO ABONOS'!$B$8:$BC$10041,54,0)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hidden="1" x14ac:dyDescent="0.2">
      <c r="B1514" s="31">
        <v>1505</v>
      </c>
      <c r="J1514">
        <f t="shared" si="28"/>
        <v>105000</v>
      </c>
      <c r="K1514" t="e">
        <f>VLOOKUP(B1514,'REGISTRO ABONOS'!$B$8:$BC$10041,54,0)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hidden="1" x14ac:dyDescent="0.2">
      <c r="B1515" s="31">
        <v>1506</v>
      </c>
      <c r="J1515">
        <f t="shared" si="28"/>
        <v>105000</v>
      </c>
      <c r="K1515" t="e">
        <f>VLOOKUP(B1515,'REGISTRO ABONOS'!$B$8:$BC$10041,54,0)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hidden="1" x14ac:dyDescent="0.2">
      <c r="B1516" s="31">
        <v>1507</v>
      </c>
      <c r="J1516">
        <f t="shared" si="28"/>
        <v>105000</v>
      </c>
      <c r="K1516" t="e">
        <f>VLOOKUP(B1516,'REGISTRO ABONOS'!$B$8:$BC$10041,54,0)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hidden="1" x14ac:dyDescent="0.2">
      <c r="B1517" s="31">
        <v>1508</v>
      </c>
      <c r="J1517">
        <f t="shared" si="28"/>
        <v>105000</v>
      </c>
      <c r="K1517" t="e">
        <f>VLOOKUP(B1517,'REGISTRO ABONOS'!$B$8:$BC$10041,54,0)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hidden="1" x14ac:dyDescent="0.2">
      <c r="B1518" s="31">
        <v>1509</v>
      </c>
      <c r="J1518">
        <f t="shared" si="28"/>
        <v>105000</v>
      </c>
      <c r="K1518" t="e">
        <f>VLOOKUP(B1518,'REGISTRO ABONOS'!$B$8:$BC$10041,54,0)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hidden="1" x14ac:dyDescent="0.2">
      <c r="B1519" s="31">
        <v>1510</v>
      </c>
      <c r="J1519">
        <f t="shared" si="28"/>
        <v>105000</v>
      </c>
      <c r="K1519" t="e">
        <f>VLOOKUP(B1519,'REGISTRO ABONOS'!$B$8:$BC$10041,54,0)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hidden="1" x14ac:dyDescent="0.2">
      <c r="B1520" s="31">
        <v>1511</v>
      </c>
      <c r="J1520">
        <f t="shared" si="28"/>
        <v>105000</v>
      </c>
      <c r="K1520" t="e">
        <f>VLOOKUP(B1520,'REGISTRO ABONOS'!$B$8:$BC$10041,54,0)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hidden="1" x14ac:dyDescent="0.2">
      <c r="B1521" s="31">
        <v>1512</v>
      </c>
      <c r="J1521">
        <f t="shared" si="28"/>
        <v>105000</v>
      </c>
      <c r="K1521" t="e">
        <f>VLOOKUP(B1521,'REGISTRO ABONOS'!$B$8:$BC$10041,54,0)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hidden="1" x14ac:dyDescent="0.2">
      <c r="B1522" s="31">
        <v>1513</v>
      </c>
      <c r="J1522">
        <f t="shared" si="28"/>
        <v>105000</v>
      </c>
      <c r="K1522" t="e">
        <f>VLOOKUP(B1522,'REGISTRO ABONOS'!$B$8:$BC$10041,54,0)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hidden="1" x14ac:dyDescent="0.2">
      <c r="B1523" s="31">
        <v>1514</v>
      </c>
      <c r="J1523">
        <f t="shared" si="28"/>
        <v>105000</v>
      </c>
      <c r="K1523" t="e">
        <f>VLOOKUP(B1523,'REGISTRO ABONOS'!$B$8:$BC$10041,54,0)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hidden="1" x14ac:dyDescent="0.2">
      <c r="B1524" s="31">
        <v>1515</v>
      </c>
      <c r="J1524">
        <f t="shared" si="28"/>
        <v>105000</v>
      </c>
      <c r="K1524" t="e">
        <f>VLOOKUP(B1524,'REGISTRO ABONOS'!$B$8:$BC$10041,54,0)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hidden="1" x14ac:dyDescent="0.2">
      <c r="B1525" s="31">
        <v>1516</v>
      </c>
      <c r="J1525">
        <f t="shared" si="28"/>
        <v>105000</v>
      </c>
      <c r="K1525" t="e">
        <f>VLOOKUP(B1525,'REGISTRO ABONOS'!$B$8:$BC$10041,54,0)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hidden="1" x14ac:dyDescent="0.2">
      <c r="B1526" s="31">
        <v>1517</v>
      </c>
      <c r="J1526">
        <f t="shared" si="28"/>
        <v>105000</v>
      </c>
      <c r="K1526" t="e">
        <f>VLOOKUP(B1526,'REGISTRO ABONOS'!$B$8:$BC$10041,54,0)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hidden="1" x14ac:dyDescent="0.2">
      <c r="B1527" s="31">
        <v>1518</v>
      </c>
      <c r="J1527">
        <f t="shared" si="28"/>
        <v>105000</v>
      </c>
      <c r="K1527" t="e">
        <f>VLOOKUP(B1527,'REGISTRO ABONOS'!$B$8:$BC$10041,54,0)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hidden="1" x14ac:dyDescent="0.2">
      <c r="B1528" s="31">
        <v>1519</v>
      </c>
      <c r="J1528">
        <f t="shared" si="28"/>
        <v>105000</v>
      </c>
      <c r="K1528" t="e">
        <f>VLOOKUP(B1528,'REGISTRO ABONOS'!$B$8:$BC$10041,54,0)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hidden="1" x14ac:dyDescent="0.2">
      <c r="B1529" s="31">
        <v>1520</v>
      </c>
      <c r="J1529">
        <f t="shared" si="28"/>
        <v>105000</v>
      </c>
      <c r="K1529" t="e">
        <f>VLOOKUP(B1529,'REGISTRO ABONOS'!$B$8:$BC$10041,54,0)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hidden="1" x14ac:dyDescent="0.2">
      <c r="B1530" s="31">
        <v>1521</v>
      </c>
      <c r="J1530">
        <f t="shared" si="28"/>
        <v>105000</v>
      </c>
      <c r="K1530" t="e">
        <f>VLOOKUP(B1530,'REGISTRO ABONOS'!$B$8:$BC$10041,54,0)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hidden="1" x14ac:dyDescent="0.2">
      <c r="B1531" s="31">
        <v>1522</v>
      </c>
      <c r="J1531">
        <f t="shared" si="28"/>
        <v>105000</v>
      </c>
      <c r="K1531" t="e">
        <f>VLOOKUP(B1531,'REGISTRO ABONOS'!$B$8:$BC$10041,54,0)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hidden="1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ABONOS'!$B$8:$BC$10041,54,0)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hidden="1" x14ac:dyDescent="0.2">
      <c r="B1533" s="31">
        <v>1524</v>
      </c>
      <c r="J1533">
        <f t="shared" si="29"/>
        <v>105000</v>
      </c>
      <c r="K1533" t="e">
        <f>VLOOKUP(B1533,'REGISTRO ABONOS'!$B$8:$BC$10041,54,0)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hidden="1" x14ac:dyDescent="0.2">
      <c r="B1534" s="31">
        <v>1525</v>
      </c>
      <c r="J1534">
        <f t="shared" si="29"/>
        <v>105000</v>
      </c>
      <c r="K1534" t="e">
        <f>VLOOKUP(B1534,'REGISTRO ABONOS'!$B$8:$BC$10041,54,0)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hidden="1" x14ac:dyDescent="0.2">
      <c r="B1535" s="31">
        <v>1526</v>
      </c>
      <c r="J1535">
        <f t="shared" si="29"/>
        <v>105000</v>
      </c>
      <c r="K1535" t="e">
        <f>VLOOKUP(B1535,'REGISTRO ABONOS'!$B$8:$BC$10041,54,0)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hidden="1" x14ac:dyDescent="0.2">
      <c r="B1536" s="31">
        <v>1527</v>
      </c>
      <c r="J1536">
        <f t="shared" si="29"/>
        <v>105000</v>
      </c>
      <c r="K1536" t="e">
        <f>VLOOKUP(B1536,'REGISTRO ABONOS'!$B$8:$BC$10041,54,0)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hidden="1" x14ac:dyDescent="0.2">
      <c r="B1537" s="31">
        <v>1528</v>
      </c>
      <c r="J1537">
        <f t="shared" si="29"/>
        <v>105000</v>
      </c>
      <c r="K1537" t="e">
        <f>VLOOKUP(B1537,'REGISTRO ABONOS'!$B$8:$BC$10041,54,0)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hidden="1" x14ac:dyDescent="0.2">
      <c r="B1538" s="31">
        <v>1529</v>
      </c>
      <c r="J1538">
        <f t="shared" si="29"/>
        <v>105000</v>
      </c>
      <c r="K1538" t="e">
        <f>VLOOKUP(B1538,'REGISTRO ABONOS'!$B$8:$BC$10041,54,0)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hidden="1" x14ac:dyDescent="0.2">
      <c r="B1539" s="31">
        <v>1530</v>
      </c>
      <c r="J1539">
        <f t="shared" si="29"/>
        <v>105000</v>
      </c>
      <c r="K1539" t="e">
        <f>VLOOKUP(B1539,'REGISTRO ABONOS'!$B$8:$BC$10041,54,0)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hidden="1" x14ac:dyDescent="0.2">
      <c r="B1540" s="31">
        <v>1531</v>
      </c>
      <c r="J1540">
        <f t="shared" si="29"/>
        <v>105000</v>
      </c>
      <c r="K1540" t="e">
        <f>VLOOKUP(B1540,'REGISTRO ABONOS'!$B$8:$BC$10041,54,0)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hidden="1" x14ac:dyDescent="0.2">
      <c r="B1541" s="31">
        <v>1532</v>
      </c>
      <c r="J1541">
        <f t="shared" si="29"/>
        <v>105000</v>
      </c>
      <c r="K1541" t="e">
        <f>VLOOKUP(B1541,'REGISTRO ABONOS'!$B$8:$BC$10041,54,0)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hidden="1" x14ac:dyDescent="0.2">
      <c r="B1542" s="31">
        <v>1533</v>
      </c>
      <c r="J1542">
        <f t="shared" si="29"/>
        <v>105000</v>
      </c>
      <c r="K1542" t="e">
        <f>VLOOKUP(B1542,'REGISTRO ABONOS'!$B$8:$BC$10041,54,0)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hidden="1" x14ac:dyDescent="0.2">
      <c r="B1543" s="31">
        <v>1534</v>
      </c>
      <c r="J1543">
        <f t="shared" si="29"/>
        <v>105000</v>
      </c>
      <c r="K1543" t="e">
        <f>VLOOKUP(B1543,'REGISTRO ABONOS'!$B$8:$BC$10041,54,0)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hidden="1" x14ac:dyDescent="0.2">
      <c r="B1544" s="31">
        <v>1535</v>
      </c>
      <c r="J1544">
        <f t="shared" si="29"/>
        <v>105000</v>
      </c>
      <c r="K1544" t="e">
        <f>VLOOKUP(B1544,'REGISTRO ABONOS'!$B$8:$BC$10041,54,0)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hidden="1" x14ac:dyDescent="0.2">
      <c r="B1545" s="31">
        <v>1536</v>
      </c>
      <c r="J1545">
        <f t="shared" si="29"/>
        <v>105000</v>
      </c>
      <c r="K1545" t="e">
        <f>VLOOKUP(B1545,'REGISTRO ABONOS'!$B$8:$BC$10041,54,0)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hidden="1" x14ac:dyDescent="0.2">
      <c r="B1546" s="31">
        <v>1537</v>
      </c>
      <c r="J1546">
        <f t="shared" si="29"/>
        <v>105000</v>
      </c>
      <c r="K1546" t="e">
        <f>VLOOKUP(B1546,'REGISTRO ABONOS'!$B$8:$BC$10041,54,0)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hidden="1" x14ac:dyDescent="0.2">
      <c r="B1547" s="31">
        <v>1538</v>
      </c>
      <c r="J1547">
        <f t="shared" si="29"/>
        <v>105000</v>
      </c>
      <c r="K1547" t="e">
        <f>VLOOKUP(B1547,'REGISTRO ABONOS'!$B$8:$BC$10041,54,0)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hidden="1" x14ac:dyDescent="0.2">
      <c r="B1548" s="31">
        <v>1539</v>
      </c>
      <c r="J1548">
        <f t="shared" si="29"/>
        <v>105000</v>
      </c>
      <c r="K1548" t="e">
        <f>VLOOKUP(B1548,'REGISTRO ABONOS'!$B$8:$BC$10041,54,0)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hidden="1" x14ac:dyDescent="0.2">
      <c r="B1549" s="31">
        <v>1540</v>
      </c>
      <c r="J1549">
        <f t="shared" si="29"/>
        <v>105000</v>
      </c>
      <c r="K1549" t="e">
        <f>VLOOKUP(B1549,'REGISTRO ABONOS'!$B$8:$BC$10041,54,0)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hidden="1" x14ac:dyDescent="0.2">
      <c r="B1550" s="31">
        <v>1541</v>
      </c>
      <c r="J1550">
        <f t="shared" si="29"/>
        <v>105000</v>
      </c>
      <c r="K1550" t="e">
        <f>VLOOKUP(B1550,'REGISTRO ABONOS'!$B$8:$BC$10041,54,0)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hidden="1" x14ac:dyDescent="0.2">
      <c r="B1551" s="31">
        <v>1542</v>
      </c>
      <c r="J1551">
        <f t="shared" si="29"/>
        <v>105000</v>
      </c>
      <c r="K1551" t="e">
        <f>VLOOKUP(B1551,'REGISTRO ABONOS'!$B$8:$BC$10041,54,0)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hidden="1" x14ac:dyDescent="0.2">
      <c r="B1552" s="31">
        <v>1543</v>
      </c>
      <c r="J1552">
        <f t="shared" si="29"/>
        <v>105000</v>
      </c>
      <c r="K1552" t="e">
        <f>VLOOKUP(B1552,'REGISTRO ABONOS'!$B$8:$BC$10041,54,0)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hidden="1" x14ac:dyDescent="0.2">
      <c r="B1553" s="31">
        <v>1544</v>
      </c>
      <c r="J1553">
        <f t="shared" si="29"/>
        <v>105000</v>
      </c>
      <c r="K1553" t="e">
        <f>VLOOKUP(B1553,'REGISTRO ABONOS'!$B$8:$BC$10041,54,0)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hidden="1" x14ac:dyDescent="0.2">
      <c r="B1554" s="31">
        <v>1545</v>
      </c>
      <c r="J1554">
        <f t="shared" si="29"/>
        <v>105000</v>
      </c>
      <c r="K1554" t="e">
        <f>VLOOKUP(B1554,'REGISTRO ABONOS'!$B$8:$BC$10041,54,0)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hidden="1" x14ac:dyDescent="0.2">
      <c r="B1555" s="31">
        <v>1546</v>
      </c>
      <c r="J1555">
        <f t="shared" si="29"/>
        <v>105000</v>
      </c>
      <c r="K1555" t="e">
        <f>VLOOKUP(B1555,'REGISTRO ABONOS'!$B$8:$BC$10041,54,0)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hidden="1" x14ac:dyDescent="0.2">
      <c r="B1556" s="31">
        <v>1547</v>
      </c>
      <c r="J1556">
        <f t="shared" si="29"/>
        <v>105000</v>
      </c>
      <c r="K1556" t="e">
        <f>VLOOKUP(B1556,'REGISTRO ABONOS'!$B$8:$BC$10041,54,0)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hidden="1" x14ac:dyDescent="0.2">
      <c r="B1557" s="31">
        <v>1548</v>
      </c>
      <c r="J1557">
        <f t="shared" si="29"/>
        <v>105000</v>
      </c>
      <c r="K1557" t="e">
        <f>VLOOKUP(B1557,'REGISTRO ABONOS'!$B$8:$BC$10041,54,0)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hidden="1" x14ac:dyDescent="0.2">
      <c r="B1558" s="31">
        <v>1549</v>
      </c>
      <c r="J1558">
        <f t="shared" si="29"/>
        <v>105000</v>
      </c>
      <c r="K1558" t="e">
        <f>VLOOKUP(B1558,'REGISTRO ABONOS'!$B$8:$BC$10041,54,0)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hidden="1" x14ac:dyDescent="0.2">
      <c r="B1559" s="31">
        <v>1550</v>
      </c>
      <c r="J1559">
        <f t="shared" si="29"/>
        <v>105000</v>
      </c>
      <c r="K1559" t="e">
        <f>VLOOKUP(B1559,'REGISTRO ABONOS'!$B$8:$BC$10041,54,0)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hidden="1" x14ac:dyDescent="0.2">
      <c r="B1560" s="31">
        <v>1551</v>
      </c>
      <c r="J1560">
        <f t="shared" si="29"/>
        <v>105000</v>
      </c>
      <c r="K1560" t="e">
        <f>VLOOKUP(B1560,'REGISTRO ABONOS'!$B$8:$BC$10041,54,0)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hidden="1" x14ac:dyDescent="0.2">
      <c r="B1561" s="31">
        <v>1552</v>
      </c>
      <c r="J1561">
        <f t="shared" si="29"/>
        <v>105000</v>
      </c>
      <c r="K1561" t="e">
        <f>VLOOKUP(B1561,'REGISTRO ABONOS'!$B$8:$BC$10041,54,0)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hidden="1" x14ac:dyDescent="0.2">
      <c r="B1562" s="31">
        <v>1553</v>
      </c>
      <c r="J1562">
        <f t="shared" si="29"/>
        <v>105000</v>
      </c>
      <c r="K1562" t="e">
        <f>VLOOKUP(B1562,'REGISTRO ABONOS'!$B$8:$BC$10041,54,0)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hidden="1" x14ac:dyDescent="0.2">
      <c r="B1563" s="31">
        <v>1554</v>
      </c>
      <c r="J1563">
        <f t="shared" si="29"/>
        <v>105000</v>
      </c>
      <c r="K1563" t="e">
        <f>VLOOKUP(B1563,'REGISTRO ABONOS'!$B$8:$BC$10041,54,0)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hidden="1" x14ac:dyDescent="0.2">
      <c r="B1564" s="31">
        <v>1555</v>
      </c>
      <c r="J1564">
        <f t="shared" si="29"/>
        <v>105000</v>
      </c>
      <c r="K1564" t="e">
        <f>VLOOKUP(B1564,'REGISTRO ABONOS'!$B$8:$BC$10041,54,0)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hidden="1" x14ac:dyDescent="0.2">
      <c r="B1565" s="31">
        <v>1556</v>
      </c>
      <c r="J1565">
        <f t="shared" si="29"/>
        <v>105000</v>
      </c>
      <c r="K1565" t="e">
        <f>VLOOKUP(B1565,'REGISTRO ABONOS'!$B$8:$BC$10041,54,0)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hidden="1" x14ac:dyDescent="0.2">
      <c r="B1566" s="31">
        <v>1557</v>
      </c>
      <c r="J1566">
        <f t="shared" si="29"/>
        <v>105000</v>
      </c>
      <c r="K1566" t="e">
        <f>VLOOKUP(B1566,'REGISTRO ABONOS'!$B$8:$BC$10041,54,0)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hidden="1" x14ac:dyDescent="0.2">
      <c r="B1567" s="31">
        <v>1558</v>
      </c>
      <c r="J1567">
        <f t="shared" si="29"/>
        <v>105000</v>
      </c>
      <c r="K1567" t="e">
        <f>VLOOKUP(B1567,'REGISTRO ABONOS'!$B$8:$BC$10041,54,0)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hidden="1" x14ac:dyDescent="0.2">
      <c r="B1568" s="31">
        <v>1559</v>
      </c>
      <c r="J1568">
        <f t="shared" si="29"/>
        <v>105000</v>
      </c>
      <c r="K1568" t="e">
        <f>VLOOKUP(B1568,'REGISTRO ABONOS'!$B$8:$BC$10041,54,0)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hidden="1" x14ac:dyDescent="0.2">
      <c r="B1569" s="31">
        <v>1560</v>
      </c>
      <c r="J1569">
        <f t="shared" si="29"/>
        <v>105000</v>
      </c>
      <c r="K1569" t="e">
        <f>VLOOKUP(B1569,'REGISTRO ABONOS'!$B$8:$BC$10041,54,0)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hidden="1" x14ac:dyDescent="0.2">
      <c r="B1570" s="31">
        <v>1561</v>
      </c>
      <c r="J1570">
        <f t="shared" si="29"/>
        <v>105000</v>
      </c>
      <c r="K1570" t="e">
        <f>VLOOKUP(B1570,'REGISTRO ABONOS'!$B$8:$BC$10041,54,0)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hidden="1" x14ac:dyDescent="0.2">
      <c r="B1571" s="31">
        <v>1562</v>
      </c>
      <c r="J1571">
        <f t="shared" si="29"/>
        <v>105000</v>
      </c>
      <c r="K1571" t="e">
        <f>VLOOKUP(B1571,'REGISTRO ABONOS'!$B$8:$BC$10041,54,0)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hidden="1" x14ac:dyDescent="0.2">
      <c r="B1572" s="31">
        <v>1563</v>
      </c>
      <c r="J1572">
        <f t="shared" si="29"/>
        <v>105000</v>
      </c>
      <c r="K1572" t="e">
        <f>VLOOKUP(B1572,'REGISTRO ABONOS'!$B$8:$BC$10041,54,0)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hidden="1" x14ac:dyDescent="0.2">
      <c r="B1573" s="31">
        <v>1564</v>
      </c>
      <c r="J1573">
        <f t="shared" si="29"/>
        <v>105000</v>
      </c>
      <c r="K1573" t="e">
        <f>VLOOKUP(B1573,'REGISTRO ABONOS'!$B$8:$BC$10041,54,0)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hidden="1" x14ac:dyDescent="0.2">
      <c r="B1574" s="31">
        <v>1565</v>
      </c>
      <c r="J1574">
        <f t="shared" si="29"/>
        <v>105000</v>
      </c>
      <c r="K1574" t="e">
        <f>VLOOKUP(B1574,'REGISTRO ABONOS'!$B$8:$BC$10041,54,0)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hidden="1" x14ac:dyDescent="0.2">
      <c r="B1575" s="31">
        <v>1566</v>
      </c>
      <c r="J1575">
        <f t="shared" si="29"/>
        <v>105000</v>
      </c>
      <c r="K1575" t="e">
        <f>VLOOKUP(B1575,'REGISTRO ABONOS'!$B$8:$BC$10041,54,0)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hidden="1" x14ac:dyDescent="0.2">
      <c r="B1576" s="31">
        <v>1567</v>
      </c>
      <c r="J1576">
        <f t="shared" si="29"/>
        <v>105000</v>
      </c>
      <c r="K1576" t="e">
        <f>VLOOKUP(B1576,'REGISTRO ABONOS'!$B$8:$BC$10041,54,0)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hidden="1" x14ac:dyDescent="0.2">
      <c r="B1577" s="31">
        <v>1568</v>
      </c>
      <c r="J1577">
        <f t="shared" si="29"/>
        <v>105000</v>
      </c>
      <c r="K1577" t="e">
        <f>VLOOKUP(B1577,'REGISTRO ABONOS'!$B$8:$BC$10041,54,0)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hidden="1" x14ac:dyDescent="0.2">
      <c r="B1578" s="31">
        <v>1569</v>
      </c>
      <c r="J1578">
        <f t="shared" si="29"/>
        <v>105000</v>
      </c>
      <c r="K1578" t="e">
        <f>VLOOKUP(B1578,'REGISTRO ABONOS'!$B$8:$BC$10041,54,0)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hidden="1" x14ac:dyDescent="0.2">
      <c r="B1579" s="31">
        <v>1570</v>
      </c>
      <c r="J1579">
        <f t="shared" si="29"/>
        <v>105000</v>
      </c>
      <c r="K1579" t="e">
        <f>VLOOKUP(B1579,'REGISTRO ABONOS'!$B$8:$BC$10041,54,0)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hidden="1" x14ac:dyDescent="0.2">
      <c r="B1580" s="31">
        <v>1571</v>
      </c>
      <c r="J1580">
        <f t="shared" si="29"/>
        <v>105000</v>
      </c>
      <c r="K1580" t="e">
        <f>VLOOKUP(B1580,'REGISTRO ABONOS'!$B$8:$BC$10041,54,0)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hidden="1" x14ac:dyDescent="0.2">
      <c r="B1581" s="31">
        <v>1572</v>
      </c>
      <c r="J1581">
        <f t="shared" si="29"/>
        <v>105000</v>
      </c>
      <c r="K1581" t="e">
        <f>VLOOKUP(B1581,'REGISTRO ABONOS'!$B$8:$BC$10041,54,0)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hidden="1" x14ac:dyDescent="0.2">
      <c r="B1582" s="31">
        <v>1573</v>
      </c>
      <c r="J1582">
        <f t="shared" si="29"/>
        <v>105000</v>
      </c>
      <c r="K1582" t="e">
        <f>VLOOKUP(B1582,'REGISTRO ABONOS'!$B$8:$BC$10041,54,0)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9"/>
        <v>105000</v>
      </c>
      <c r="K1583" t="e">
        <f>VLOOKUP(B1583,'REGISTRO ABONOS'!$B$8:$BC$10041,54,0)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hidden="1" x14ac:dyDescent="0.2">
      <c r="B1584" s="31">
        <v>1575</v>
      </c>
      <c r="J1584">
        <f t="shared" si="29"/>
        <v>105000</v>
      </c>
      <c r="K1584" t="e">
        <f>VLOOKUP(B1584,'REGISTRO ABONOS'!$B$8:$BC$10041,54,0)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hidden="1" x14ac:dyDescent="0.2">
      <c r="B1585" s="31">
        <v>1576</v>
      </c>
      <c r="J1585">
        <f t="shared" si="29"/>
        <v>105000</v>
      </c>
      <c r="K1585" t="e">
        <f>VLOOKUP(B1585,'REGISTRO ABONOS'!$B$8:$BC$10041,54,0)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hidden="1" x14ac:dyDescent="0.2">
      <c r="B1586" s="31">
        <v>1577</v>
      </c>
      <c r="J1586">
        <f t="shared" si="29"/>
        <v>105000</v>
      </c>
      <c r="K1586" t="e">
        <f>VLOOKUP(B1586,'REGISTRO ABONOS'!$B$8:$BC$10041,54,0)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hidden="1" x14ac:dyDescent="0.2">
      <c r="B1587" s="31">
        <v>1578</v>
      </c>
      <c r="J1587">
        <f t="shared" si="29"/>
        <v>105000</v>
      </c>
      <c r="K1587" t="e">
        <f>VLOOKUP(B1587,'REGISTRO ABONOS'!$B$8:$BC$10041,54,0)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hidden="1" x14ac:dyDescent="0.2">
      <c r="B1588" s="31">
        <v>1579</v>
      </c>
      <c r="J1588">
        <f t="shared" si="29"/>
        <v>105000</v>
      </c>
      <c r="K1588" t="e">
        <f>VLOOKUP(B1588,'REGISTRO ABONOS'!$B$8:$BC$10041,54,0)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hidden="1" x14ac:dyDescent="0.2">
      <c r="B1589" s="31">
        <v>1580</v>
      </c>
      <c r="J1589">
        <f t="shared" si="29"/>
        <v>105000</v>
      </c>
      <c r="K1589" t="e">
        <f>VLOOKUP(B1589,'REGISTRO ABONOS'!$B$8:$BC$10041,54,0)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hidden="1" x14ac:dyDescent="0.2">
      <c r="B1590" s="31">
        <v>1581</v>
      </c>
      <c r="J1590">
        <f t="shared" si="29"/>
        <v>105000</v>
      </c>
      <c r="K1590" t="e">
        <f>VLOOKUP(B1590,'REGISTRO ABONOS'!$B$8:$BC$10041,54,0)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hidden="1" x14ac:dyDescent="0.2">
      <c r="B1591" s="31">
        <v>1582</v>
      </c>
      <c r="J1591">
        <f t="shared" si="29"/>
        <v>105000</v>
      </c>
      <c r="K1591" t="e">
        <f>VLOOKUP(B1591,'REGISTRO ABONOS'!$B$8:$BC$10041,54,0)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hidden="1" x14ac:dyDescent="0.2">
      <c r="B1592" s="31">
        <v>1583</v>
      </c>
      <c r="J1592">
        <f t="shared" si="29"/>
        <v>105000</v>
      </c>
      <c r="K1592" t="e">
        <f>VLOOKUP(B1592,'REGISTRO ABONOS'!$B$8:$BC$10041,54,0)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hidden="1" x14ac:dyDescent="0.2">
      <c r="B1593" s="31">
        <v>1584</v>
      </c>
      <c r="J1593">
        <f t="shared" si="29"/>
        <v>105000</v>
      </c>
      <c r="K1593" t="e">
        <f>VLOOKUP(B1593,'REGISTRO ABONOS'!$B$8:$BC$10041,54,0)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hidden="1" x14ac:dyDescent="0.2">
      <c r="B1594" s="31">
        <v>1585</v>
      </c>
      <c r="J1594">
        <f t="shared" si="29"/>
        <v>105000</v>
      </c>
      <c r="K1594" t="e">
        <f>VLOOKUP(B1594,'REGISTRO ABONOS'!$B$8:$BC$10041,54,0)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hidden="1" x14ac:dyDescent="0.2">
      <c r="B1595" s="31">
        <v>1586</v>
      </c>
      <c r="J1595">
        <f t="shared" si="29"/>
        <v>105000</v>
      </c>
      <c r="K1595" t="e">
        <f>VLOOKUP(B1595,'REGISTRO ABONOS'!$B$8:$BC$10041,54,0)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hidden="1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ABONOS'!$B$8:$BC$10041,54,0)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hidden="1" x14ac:dyDescent="0.2">
      <c r="B1597" s="31">
        <v>1588</v>
      </c>
      <c r="J1597">
        <f t="shared" si="30"/>
        <v>105000</v>
      </c>
      <c r="K1597" t="e">
        <f>VLOOKUP(B1597,'REGISTRO ABONOS'!$B$8:$BC$10041,54,0)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hidden="1" x14ac:dyDescent="0.2">
      <c r="B1598" s="31">
        <v>1589</v>
      </c>
      <c r="J1598">
        <f t="shared" si="30"/>
        <v>105000</v>
      </c>
      <c r="K1598" t="e">
        <f>VLOOKUP(B1598,'REGISTRO ABONOS'!$B$8:$BC$10041,54,0)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hidden="1" x14ac:dyDescent="0.2">
      <c r="B1599" s="31">
        <v>1590</v>
      </c>
      <c r="J1599">
        <f t="shared" si="30"/>
        <v>105000</v>
      </c>
      <c r="K1599" t="e">
        <f>VLOOKUP(B1599,'REGISTRO ABONOS'!$B$8:$BC$10041,54,0)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hidden="1" x14ac:dyDescent="0.2">
      <c r="B1600" s="31">
        <v>1591</v>
      </c>
      <c r="J1600">
        <f t="shared" si="30"/>
        <v>105000</v>
      </c>
      <c r="K1600" t="e">
        <f>VLOOKUP(B1600,'REGISTRO ABONOS'!$B$8:$BC$10041,54,0)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hidden="1" x14ac:dyDescent="0.2">
      <c r="B1601" s="31">
        <v>1592</v>
      </c>
      <c r="J1601">
        <f t="shared" si="30"/>
        <v>105000</v>
      </c>
      <c r="K1601" t="e">
        <f>VLOOKUP(B1601,'REGISTRO ABONOS'!$B$8:$BC$10041,54,0)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hidden="1" x14ac:dyDescent="0.2">
      <c r="B1602" s="31">
        <v>1593</v>
      </c>
      <c r="J1602">
        <f t="shared" si="30"/>
        <v>105000</v>
      </c>
      <c r="K1602" t="e">
        <f>VLOOKUP(B1602,'REGISTRO ABONOS'!$B$8:$BC$10041,54,0)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hidden="1" x14ac:dyDescent="0.2">
      <c r="B1603" s="31">
        <v>1594</v>
      </c>
      <c r="J1603">
        <f t="shared" si="30"/>
        <v>105000</v>
      </c>
      <c r="K1603" t="e">
        <f>VLOOKUP(B1603,'REGISTRO ABONOS'!$B$8:$BC$10041,54,0)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hidden="1" x14ac:dyDescent="0.2">
      <c r="B1604" s="31">
        <v>1595</v>
      </c>
      <c r="J1604">
        <f t="shared" si="30"/>
        <v>105000</v>
      </c>
      <c r="K1604" t="e">
        <f>VLOOKUP(B1604,'REGISTRO ABONOS'!$B$8:$BC$10041,54,0)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hidden="1" x14ac:dyDescent="0.2">
      <c r="B1605" s="31">
        <v>1596</v>
      </c>
      <c r="J1605">
        <f t="shared" si="30"/>
        <v>105000</v>
      </c>
      <c r="K1605" t="e">
        <f>VLOOKUP(B1605,'REGISTRO ABONOS'!$B$8:$BC$10041,54,0)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hidden="1" x14ac:dyDescent="0.2">
      <c r="B1606" s="31">
        <v>1597</v>
      </c>
      <c r="J1606">
        <f t="shared" si="30"/>
        <v>105000</v>
      </c>
      <c r="K1606" t="e">
        <f>VLOOKUP(B1606,'REGISTRO ABONOS'!$B$8:$BC$10041,54,0)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hidden="1" x14ac:dyDescent="0.2">
      <c r="B1607" s="31">
        <v>1598</v>
      </c>
      <c r="J1607">
        <f t="shared" si="30"/>
        <v>105000</v>
      </c>
      <c r="K1607" t="e">
        <f>VLOOKUP(B1607,'REGISTRO ABONOS'!$B$8:$BC$10041,54,0)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hidden="1" x14ac:dyDescent="0.2">
      <c r="B1608" s="31">
        <v>1599</v>
      </c>
      <c r="J1608">
        <f t="shared" si="30"/>
        <v>105000</v>
      </c>
      <c r="K1608" t="e">
        <f>VLOOKUP(B1608,'REGISTRO ABONOS'!$B$8:$BC$10041,54,0)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hidden="1" x14ac:dyDescent="0.2">
      <c r="B1609" s="31">
        <v>1600</v>
      </c>
      <c r="J1609">
        <f t="shared" si="30"/>
        <v>105000</v>
      </c>
      <c r="K1609" t="e">
        <f>VLOOKUP(B1609,'REGISTRO ABONOS'!$B$8:$BC$10041,54,0)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hidden="1" x14ac:dyDescent="0.2">
      <c r="B1610" s="31">
        <v>1601</v>
      </c>
      <c r="J1610">
        <f t="shared" si="30"/>
        <v>105000</v>
      </c>
      <c r="K1610" t="e">
        <f>VLOOKUP(B1610,'REGISTRO ABONOS'!$B$8:$BC$10041,54,0)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hidden="1" x14ac:dyDescent="0.2">
      <c r="B1611" s="31">
        <v>1602</v>
      </c>
      <c r="J1611">
        <f t="shared" si="30"/>
        <v>105000</v>
      </c>
      <c r="K1611" t="e">
        <f>VLOOKUP(B1611,'REGISTRO ABONOS'!$B$8:$BC$10041,54,0)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hidden="1" x14ac:dyDescent="0.2">
      <c r="B1612" s="31">
        <v>1603</v>
      </c>
      <c r="J1612">
        <f t="shared" si="30"/>
        <v>105000</v>
      </c>
      <c r="K1612" t="e">
        <f>VLOOKUP(B1612,'REGISTRO ABONOS'!$B$8:$BC$10041,54,0)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hidden="1" x14ac:dyDescent="0.2">
      <c r="B1613" s="31">
        <v>1604</v>
      </c>
      <c r="J1613">
        <f t="shared" si="30"/>
        <v>105000</v>
      </c>
      <c r="K1613" t="e">
        <f>VLOOKUP(B1613,'REGISTRO ABONOS'!$B$8:$BC$10041,54,0)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hidden="1" x14ac:dyDescent="0.2">
      <c r="B1614" s="31">
        <v>1605</v>
      </c>
      <c r="J1614">
        <f t="shared" si="30"/>
        <v>105000</v>
      </c>
      <c r="K1614" t="e">
        <f>VLOOKUP(B1614,'REGISTRO ABONOS'!$B$8:$BC$10041,54,0)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hidden="1" x14ac:dyDescent="0.2">
      <c r="B1615" s="31">
        <v>1606</v>
      </c>
      <c r="J1615">
        <f t="shared" si="30"/>
        <v>105000</v>
      </c>
      <c r="K1615" t="e">
        <f>VLOOKUP(B1615,'REGISTRO ABONOS'!$B$8:$BC$10041,54,0)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hidden="1" x14ac:dyDescent="0.2">
      <c r="B1616" s="31">
        <v>1607</v>
      </c>
      <c r="J1616">
        <f t="shared" si="30"/>
        <v>105000</v>
      </c>
      <c r="K1616" t="e">
        <f>VLOOKUP(B1616,'REGISTRO ABONOS'!$B$8:$BC$10041,54,0)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hidden="1" x14ac:dyDescent="0.2">
      <c r="B1617" s="31">
        <v>1608</v>
      </c>
      <c r="J1617">
        <f t="shared" si="30"/>
        <v>105000</v>
      </c>
      <c r="K1617" t="e">
        <f>VLOOKUP(B1617,'REGISTRO ABONOS'!$B$8:$BC$10041,54,0)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hidden="1" x14ac:dyDescent="0.2">
      <c r="B1618" s="31">
        <v>1609</v>
      </c>
      <c r="J1618">
        <f t="shared" si="30"/>
        <v>105000</v>
      </c>
      <c r="K1618" t="e">
        <f>VLOOKUP(B1618,'REGISTRO ABONOS'!$B$8:$BC$10041,54,0)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30"/>
        <v>105000</v>
      </c>
      <c r="K1619" t="e">
        <f>VLOOKUP(B1619,'REGISTRO ABONOS'!$B$8:$BC$10041,54,0)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hidden="1" x14ac:dyDescent="0.2">
      <c r="B1620" s="31">
        <v>1611</v>
      </c>
      <c r="J1620">
        <f t="shared" si="30"/>
        <v>105000</v>
      </c>
      <c r="K1620" t="e">
        <f>VLOOKUP(B1620,'REGISTRO ABONOS'!$B$8:$BC$10041,54,0)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hidden="1" x14ac:dyDescent="0.2">
      <c r="B1621" s="31">
        <v>1612</v>
      </c>
      <c r="J1621">
        <f t="shared" si="30"/>
        <v>105000</v>
      </c>
      <c r="K1621" t="e">
        <f>VLOOKUP(B1621,'REGISTRO ABONOS'!$B$8:$BC$10041,54,0)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hidden="1" x14ac:dyDescent="0.2">
      <c r="B1622" s="31">
        <v>1613</v>
      </c>
      <c r="J1622">
        <f t="shared" si="30"/>
        <v>105000</v>
      </c>
      <c r="K1622" t="e">
        <f>VLOOKUP(B1622,'REGISTRO ABONOS'!$B$8:$BC$10041,54,0)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hidden="1" x14ac:dyDescent="0.2">
      <c r="B1623" s="31">
        <v>1614</v>
      </c>
      <c r="J1623">
        <f t="shared" si="30"/>
        <v>105000</v>
      </c>
      <c r="K1623" t="e">
        <f>VLOOKUP(B1623,'REGISTRO ABONOS'!$B$8:$BC$10041,54,0)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hidden="1" x14ac:dyDescent="0.2">
      <c r="B1624" s="31">
        <v>1615</v>
      </c>
      <c r="J1624">
        <f t="shared" si="30"/>
        <v>105000</v>
      </c>
      <c r="K1624" t="e">
        <f>VLOOKUP(B1624,'REGISTRO ABONOS'!$B$8:$BC$10041,54,0)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hidden="1" x14ac:dyDescent="0.2">
      <c r="B1625" s="31">
        <v>1616</v>
      </c>
      <c r="J1625">
        <f t="shared" si="30"/>
        <v>105000</v>
      </c>
      <c r="K1625" t="e">
        <f>VLOOKUP(B1625,'REGISTRO ABONOS'!$B$8:$BC$10041,54,0)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hidden="1" x14ac:dyDescent="0.2">
      <c r="B1626" s="31">
        <v>1617</v>
      </c>
      <c r="J1626">
        <f t="shared" si="30"/>
        <v>105000</v>
      </c>
      <c r="K1626" t="e">
        <f>VLOOKUP(B1626,'REGISTRO ABONOS'!$B$8:$BC$10041,54,0)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hidden="1" x14ac:dyDescent="0.2">
      <c r="B1627" s="31">
        <v>1618</v>
      </c>
      <c r="J1627">
        <f t="shared" si="30"/>
        <v>105000</v>
      </c>
      <c r="K1627" t="e">
        <f>VLOOKUP(B1627,'REGISTRO ABONOS'!$B$8:$BC$10041,54,0)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hidden="1" x14ac:dyDescent="0.2">
      <c r="B1628" s="31">
        <v>1619</v>
      </c>
      <c r="J1628">
        <f t="shared" si="30"/>
        <v>105000</v>
      </c>
      <c r="K1628" t="e">
        <f>VLOOKUP(B1628,'REGISTRO ABONOS'!$B$8:$BC$10041,54,0)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hidden="1" x14ac:dyDescent="0.2">
      <c r="B1629" s="31">
        <v>1620</v>
      </c>
      <c r="J1629">
        <f t="shared" si="30"/>
        <v>105000</v>
      </c>
      <c r="K1629" t="e">
        <f>VLOOKUP(B1629,'REGISTRO ABONOS'!$B$8:$BC$10041,54,0)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hidden="1" x14ac:dyDescent="0.2">
      <c r="B1630" s="31">
        <v>1621</v>
      </c>
      <c r="J1630">
        <f t="shared" si="30"/>
        <v>105000</v>
      </c>
      <c r="K1630" t="e">
        <f>VLOOKUP(B1630,'REGISTRO ABONOS'!$B$8:$BC$10041,54,0)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hidden="1" x14ac:dyDescent="0.2">
      <c r="B1631" s="31">
        <v>1622</v>
      </c>
      <c r="J1631">
        <f t="shared" si="30"/>
        <v>105000</v>
      </c>
      <c r="K1631" t="e">
        <f>VLOOKUP(B1631,'REGISTRO ABONOS'!$B$8:$BC$10041,54,0)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hidden="1" x14ac:dyDescent="0.2">
      <c r="B1632" s="31">
        <v>1623</v>
      </c>
      <c r="J1632">
        <f t="shared" si="30"/>
        <v>105000</v>
      </c>
      <c r="K1632" t="e">
        <f>VLOOKUP(B1632,'REGISTRO ABONOS'!$B$8:$BC$10041,54,0)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hidden="1" x14ac:dyDescent="0.2">
      <c r="B1633" s="31">
        <v>1624</v>
      </c>
      <c r="J1633">
        <f t="shared" si="30"/>
        <v>105000</v>
      </c>
      <c r="K1633" t="e">
        <f>VLOOKUP(B1633,'REGISTRO ABONOS'!$B$8:$BC$10041,54,0)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hidden="1" x14ac:dyDescent="0.2">
      <c r="B1634" s="31">
        <v>1625</v>
      </c>
      <c r="J1634">
        <f t="shared" si="30"/>
        <v>105000</v>
      </c>
      <c r="K1634" t="e">
        <f>VLOOKUP(B1634,'REGISTRO ABONOS'!$B$8:$BC$10041,54,0)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hidden="1" x14ac:dyDescent="0.2">
      <c r="B1635" s="31">
        <v>1626</v>
      </c>
      <c r="J1635">
        <f t="shared" si="30"/>
        <v>105000</v>
      </c>
      <c r="K1635" t="e">
        <f>VLOOKUP(B1635,'REGISTRO ABONOS'!$B$8:$BC$10041,54,0)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hidden="1" x14ac:dyDescent="0.2">
      <c r="B1636" s="31">
        <v>1627</v>
      </c>
      <c r="J1636">
        <f t="shared" si="30"/>
        <v>105000</v>
      </c>
      <c r="K1636" t="e">
        <f>VLOOKUP(B1636,'REGISTRO ABONOS'!$B$8:$BC$10041,54,0)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hidden="1" x14ac:dyDescent="0.2">
      <c r="B1637" s="31">
        <v>1628</v>
      </c>
      <c r="J1637">
        <f t="shared" si="30"/>
        <v>105000</v>
      </c>
      <c r="K1637" t="e">
        <f>VLOOKUP(B1637,'REGISTRO ABONOS'!$B$8:$BC$10041,54,0)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hidden="1" x14ac:dyDescent="0.2">
      <c r="B1638" s="31">
        <v>1629</v>
      </c>
      <c r="J1638">
        <f t="shared" si="30"/>
        <v>105000</v>
      </c>
      <c r="K1638" t="e">
        <f>VLOOKUP(B1638,'REGISTRO ABONOS'!$B$8:$BC$10041,54,0)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hidden="1" x14ac:dyDescent="0.2">
      <c r="B1639" s="31">
        <v>1630</v>
      </c>
      <c r="J1639">
        <f t="shared" si="30"/>
        <v>105000</v>
      </c>
      <c r="K1639" t="e">
        <f>VLOOKUP(B1639,'REGISTRO ABONOS'!$B$8:$BC$10041,54,0)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hidden="1" x14ac:dyDescent="0.2">
      <c r="B1640" s="31">
        <v>1631</v>
      </c>
      <c r="J1640">
        <f t="shared" si="30"/>
        <v>105000</v>
      </c>
      <c r="K1640" t="e">
        <f>VLOOKUP(B1640,'REGISTRO ABONOS'!$B$8:$BC$10041,54,0)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hidden="1" x14ac:dyDescent="0.2">
      <c r="B1641" s="31">
        <v>1632</v>
      </c>
      <c r="J1641">
        <f t="shared" si="30"/>
        <v>105000</v>
      </c>
      <c r="K1641" t="e">
        <f>VLOOKUP(B1641,'REGISTRO ABONOS'!$B$8:$BC$10041,54,0)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hidden="1" x14ac:dyDescent="0.2">
      <c r="B1642" s="31">
        <v>1633</v>
      </c>
      <c r="J1642">
        <f t="shared" si="30"/>
        <v>105000</v>
      </c>
      <c r="K1642" t="e">
        <f>VLOOKUP(B1642,'REGISTRO ABONOS'!$B$8:$BC$10041,54,0)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hidden="1" x14ac:dyDescent="0.2">
      <c r="B1643" s="31">
        <v>1634</v>
      </c>
      <c r="J1643">
        <f t="shared" si="30"/>
        <v>105000</v>
      </c>
      <c r="K1643" t="e">
        <f>VLOOKUP(B1643,'REGISTRO ABONOS'!$B$8:$BC$10041,54,0)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30"/>
        <v>105000</v>
      </c>
      <c r="K1644">
        <f>VLOOKUP(B1644,'REGISTRO ABONOS'!$B$8:$BC$10041,54,0)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hidden="1" x14ac:dyDescent="0.2">
      <c r="B1645" s="31">
        <v>1636</v>
      </c>
      <c r="J1645">
        <f t="shared" si="30"/>
        <v>105000</v>
      </c>
      <c r="K1645" t="e">
        <f>VLOOKUP(B1645,'REGISTRO ABONOS'!$B$8:$BC$10041,54,0)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hidden="1" x14ac:dyDescent="0.2">
      <c r="B1646" s="31">
        <v>1637</v>
      </c>
      <c r="J1646">
        <f t="shared" si="30"/>
        <v>105000</v>
      </c>
      <c r="K1646" t="e">
        <f>VLOOKUP(B1646,'REGISTRO ABONOS'!$B$8:$BC$10041,54,0)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hidden="1" x14ac:dyDescent="0.2">
      <c r="B1647" s="31">
        <v>1638</v>
      </c>
      <c r="J1647">
        <f t="shared" si="30"/>
        <v>105000</v>
      </c>
      <c r="K1647" t="e">
        <f>VLOOKUP(B1647,'REGISTRO ABONOS'!$B$8:$BC$10041,54,0)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hidden="1" x14ac:dyDescent="0.2">
      <c r="B1648" s="31">
        <v>1639</v>
      </c>
      <c r="J1648">
        <f t="shared" si="30"/>
        <v>105000</v>
      </c>
      <c r="K1648" t="e">
        <f>VLOOKUP(B1648,'REGISTRO ABONOS'!$B$8:$BC$10041,54,0)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hidden="1" x14ac:dyDescent="0.2">
      <c r="B1649" s="31">
        <v>1640</v>
      </c>
      <c r="J1649">
        <f t="shared" si="30"/>
        <v>105000</v>
      </c>
      <c r="K1649" t="e">
        <f>VLOOKUP(B1649,'REGISTRO ABONOS'!$B$8:$BC$10041,54,0)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hidden="1" x14ac:dyDescent="0.2">
      <c r="B1650" s="31">
        <v>1641</v>
      </c>
      <c r="J1650">
        <f t="shared" si="30"/>
        <v>105000</v>
      </c>
      <c r="K1650" t="e">
        <f>VLOOKUP(B1650,'REGISTRO ABONOS'!$B$8:$BC$10041,54,0)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hidden="1" x14ac:dyDescent="0.2">
      <c r="B1651" s="31">
        <v>1642</v>
      </c>
      <c r="J1651">
        <f t="shared" si="30"/>
        <v>105000</v>
      </c>
      <c r="K1651" t="e">
        <f>VLOOKUP(B1651,'REGISTRO ABONOS'!$B$8:$BC$10041,54,0)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hidden="1" x14ac:dyDescent="0.2">
      <c r="B1652" s="31">
        <v>1643</v>
      </c>
      <c r="J1652">
        <f t="shared" si="30"/>
        <v>105000</v>
      </c>
      <c r="K1652" t="e">
        <f>VLOOKUP(B1652,'REGISTRO ABONOS'!$B$8:$BC$10041,54,0)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hidden="1" x14ac:dyDescent="0.2">
      <c r="B1653" s="31">
        <v>1644</v>
      </c>
      <c r="J1653">
        <f t="shared" si="30"/>
        <v>105000</v>
      </c>
      <c r="K1653" t="e">
        <f>VLOOKUP(B1653,'REGISTRO ABONOS'!$B$8:$BC$10041,54,0)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hidden="1" x14ac:dyDescent="0.2">
      <c r="B1654" s="31">
        <v>1645</v>
      </c>
      <c r="J1654">
        <f t="shared" si="30"/>
        <v>105000</v>
      </c>
      <c r="K1654" t="e">
        <f>VLOOKUP(B1654,'REGISTRO ABONOS'!$B$8:$BC$10041,54,0)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hidden="1" x14ac:dyDescent="0.2">
      <c r="B1655" s="31">
        <v>1646</v>
      </c>
      <c r="J1655">
        <f t="shared" si="30"/>
        <v>105000</v>
      </c>
      <c r="K1655" t="e">
        <f>VLOOKUP(B1655,'REGISTRO ABONOS'!$B$8:$BC$10041,54,0)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hidden="1" x14ac:dyDescent="0.2">
      <c r="B1656" s="31">
        <v>1647</v>
      </c>
      <c r="J1656">
        <f t="shared" si="30"/>
        <v>105000</v>
      </c>
      <c r="K1656" t="e">
        <f>VLOOKUP(B1656,'REGISTRO ABONOS'!$B$8:$BC$10041,54,0)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hidden="1" x14ac:dyDescent="0.2">
      <c r="B1657" s="31">
        <v>1648</v>
      </c>
      <c r="J1657">
        <f t="shared" si="30"/>
        <v>105000</v>
      </c>
      <c r="K1657" t="e">
        <f>VLOOKUP(B1657,'REGISTRO ABONOS'!$B$8:$BC$10041,54,0)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hidden="1" x14ac:dyDescent="0.2">
      <c r="B1658" s="31">
        <v>1649</v>
      </c>
      <c r="J1658">
        <f t="shared" si="30"/>
        <v>105000</v>
      </c>
      <c r="K1658" t="e">
        <f>VLOOKUP(B1658,'REGISTRO ABONOS'!$B$8:$BC$10041,54,0)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hidden="1" x14ac:dyDescent="0.2">
      <c r="B1659" s="31">
        <v>1650</v>
      </c>
      <c r="J1659">
        <f t="shared" si="30"/>
        <v>105000</v>
      </c>
      <c r="K1659" t="e">
        <f>VLOOKUP(B1659,'REGISTRO ABONOS'!$B$8:$BC$10041,54,0)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hidden="1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ABONOS'!$B$8:$BC$10041,54,0)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hidden="1" x14ac:dyDescent="0.2">
      <c r="B1661" s="31">
        <v>1652</v>
      </c>
      <c r="J1661">
        <f t="shared" si="31"/>
        <v>105000</v>
      </c>
      <c r="K1661" t="e">
        <f>VLOOKUP(B1661,'REGISTRO ABONOS'!$B$8:$BC$10041,54,0)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hidden="1" x14ac:dyDescent="0.2">
      <c r="B1662" s="31">
        <v>1653</v>
      </c>
      <c r="J1662">
        <f t="shared" si="31"/>
        <v>105000</v>
      </c>
      <c r="K1662" t="e">
        <f>VLOOKUP(B1662,'REGISTRO ABONOS'!$B$8:$BC$10041,54,0)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hidden="1" x14ac:dyDescent="0.2">
      <c r="B1663" s="31">
        <v>1654</v>
      </c>
      <c r="J1663">
        <f t="shared" si="31"/>
        <v>105000</v>
      </c>
      <c r="K1663" t="e">
        <f>VLOOKUP(B1663,'REGISTRO ABONOS'!$B$8:$BC$10041,54,0)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hidden="1" x14ac:dyDescent="0.2">
      <c r="B1664" s="31">
        <v>1655</v>
      </c>
      <c r="J1664">
        <f t="shared" si="31"/>
        <v>105000</v>
      </c>
      <c r="K1664" t="e">
        <f>VLOOKUP(B1664,'REGISTRO ABONOS'!$B$8:$BC$10041,54,0)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hidden="1" x14ac:dyDescent="0.2">
      <c r="B1665" s="31">
        <v>1656</v>
      </c>
      <c r="J1665">
        <f t="shared" si="31"/>
        <v>105000</v>
      </c>
      <c r="K1665" t="e">
        <f>VLOOKUP(B1665,'REGISTRO ABONOS'!$B$8:$BC$10041,54,0)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hidden="1" x14ac:dyDescent="0.2">
      <c r="B1666" s="31">
        <v>1657</v>
      </c>
      <c r="J1666">
        <f t="shared" si="31"/>
        <v>105000</v>
      </c>
      <c r="K1666" t="e">
        <f>VLOOKUP(B1666,'REGISTRO ABONOS'!$B$8:$BC$10041,54,0)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hidden="1" x14ac:dyDescent="0.2">
      <c r="B1667" s="31">
        <v>1658</v>
      </c>
      <c r="J1667">
        <f t="shared" si="31"/>
        <v>105000</v>
      </c>
      <c r="K1667" t="e">
        <f>VLOOKUP(B1667,'REGISTRO ABONOS'!$B$8:$BC$10041,54,0)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hidden="1" x14ac:dyDescent="0.2">
      <c r="B1668" s="31">
        <v>1659</v>
      </c>
      <c r="J1668">
        <f t="shared" si="31"/>
        <v>105000</v>
      </c>
      <c r="K1668" t="e">
        <f>VLOOKUP(B1668,'REGISTRO ABONOS'!$B$8:$BC$10041,54,0)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hidden="1" x14ac:dyDescent="0.2">
      <c r="B1669" s="31">
        <v>1660</v>
      </c>
      <c r="J1669">
        <f t="shared" si="31"/>
        <v>105000</v>
      </c>
      <c r="K1669" t="e">
        <f>VLOOKUP(B1669,'REGISTRO ABONOS'!$B$8:$BC$10041,54,0)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hidden="1" x14ac:dyDescent="0.2">
      <c r="B1670" s="31">
        <v>1661</v>
      </c>
      <c r="J1670">
        <f t="shared" si="31"/>
        <v>105000</v>
      </c>
      <c r="K1670" t="e">
        <f>VLOOKUP(B1670,'REGISTRO ABONOS'!$B$8:$BC$10041,54,0)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hidden="1" x14ac:dyDescent="0.2">
      <c r="B1671" s="31">
        <v>1662</v>
      </c>
      <c r="J1671">
        <f t="shared" si="31"/>
        <v>105000</v>
      </c>
      <c r="K1671" t="e">
        <f>VLOOKUP(B1671,'REGISTRO ABONOS'!$B$8:$BC$10041,54,0)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hidden="1" x14ac:dyDescent="0.2">
      <c r="B1672" s="31">
        <v>1663</v>
      </c>
      <c r="J1672">
        <f t="shared" si="31"/>
        <v>105000</v>
      </c>
      <c r="K1672" t="e">
        <f>VLOOKUP(B1672,'REGISTRO ABONOS'!$B$8:$BC$10041,54,0)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hidden="1" x14ac:dyDescent="0.2">
      <c r="B1673" s="31">
        <v>1664</v>
      </c>
      <c r="J1673">
        <f t="shared" si="31"/>
        <v>105000</v>
      </c>
      <c r="K1673" t="e">
        <f>VLOOKUP(B1673,'REGISTRO ABONOS'!$B$8:$BC$10041,54,0)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hidden="1" x14ac:dyDescent="0.2">
      <c r="B1674" s="31">
        <v>1665</v>
      </c>
      <c r="J1674">
        <f t="shared" si="31"/>
        <v>105000</v>
      </c>
      <c r="K1674" t="e">
        <f>VLOOKUP(B1674,'REGISTRO ABONOS'!$B$8:$BC$10041,54,0)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hidden="1" x14ac:dyDescent="0.2">
      <c r="B1675" s="31">
        <v>1666</v>
      </c>
      <c r="J1675">
        <f t="shared" si="31"/>
        <v>105000</v>
      </c>
      <c r="K1675" t="e">
        <f>VLOOKUP(B1675,'REGISTRO ABONOS'!$B$8:$BC$10041,54,0)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hidden="1" x14ac:dyDescent="0.2">
      <c r="B1676" s="31">
        <v>1667</v>
      </c>
      <c r="J1676">
        <f t="shared" si="31"/>
        <v>105000</v>
      </c>
      <c r="K1676" t="e">
        <f>VLOOKUP(B1676,'REGISTRO ABONOS'!$B$8:$BC$10041,54,0)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hidden="1" x14ac:dyDescent="0.2">
      <c r="B1677" s="31">
        <v>1668</v>
      </c>
      <c r="J1677">
        <f t="shared" si="31"/>
        <v>105000</v>
      </c>
      <c r="K1677" t="e">
        <f>VLOOKUP(B1677,'REGISTRO ABONOS'!$B$8:$BC$10041,54,0)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hidden="1" x14ac:dyDescent="0.2">
      <c r="B1678" s="31">
        <v>1669</v>
      </c>
      <c r="J1678">
        <f t="shared" si="31"/>
        <v>105000</v>
      </c>
      <c r="K1678" t="e">
        <f>VLOOKUP(B1678,'REGISTRO ABONOS'!$B$8:$BC$10041,54,0)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hidden="1" x14ac:dyDescent="0.2">
      <c r="B1679" s="31">
        <v>1670</v>
      </c>
      <c r="J1679">
        <f t="shared" si="31"/>
        <v>105000</v>
      </c>
      <c r="K1679" t="e">
        <f>VLOOKUP(B1679,'REGISTRO ABONOS'!$B$8:$BC$10041,54,0)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hidden="1" x14ac:dyDescent="0.2">
      <c r="B1680" s="31">
        <v>1671</v>
      </c>
      <c r="J1680">
        <f t="shared" si="31"/>
        <v>105000</v>
      </c>
      <c r="K1680" t="e">
        <f>VLOOKUP(B1680,'REGISTRO ABONOS'!$B$8:$BC$10041,54,0)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hidden="1" x14ac:dyDescent="0.2">
      <c r="B1681" s="31">
        <v>1672</v>
      </c>
      <c r="J1681">
        <f t="shared" si="31"/>
        <v>105000</v>
      </c>
      <c r="K1681" t="e">
        <f>VLOOKUP(B1681,'REGISTRO ABONOS'!$B$8:$BC$10041,54,0)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hidden="1" x14ac:dyDescent="0.2">
      <c r="B1682" s="31">
        <v>1673</v>
      </c>
      <c r="J1682">
        <f t="shared" si="31"/>
        <v>105000</v>
      </c>
      <c r="K1682" t="e">
        <f>VLOOKUP(B1682,'REGISTRO ABONOS'!$B$8:$BC$10041,54,0)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hidden="1" x14ac:dyDescent="0.2">
      <c r="B1683" s="31">
        <v>1674</v>
      </c>
      <c r="J1683">
        <f t="shared" si="31"/>
        <v>105000</v>
      </c>
      <c r="K1683" t="e">
        <f>VLOOKUP(B1683,'REGISTRO ABONOS'!$B$8:$BC$10041,54,0)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hidden="1" x14ac:dyDescent="0.2">
      <c r="B1684" s="31">
        <v>1675</v>
      </c>
      <c r="J1684">
        <f t="shared" si="31"/>
        <v>105000</v>
      </c>
      <c r="K1684" t="e">
        <f>VLOOKUP(B1684,'REGISTRO ABONOS'!$B$8:$BC$10041,54,0)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hidden="1" x14ac:dyDescent="0.2">
      <c r="B1685" s="31">
        <v>1676</v>
      </c>
      <c r="J1685">
        <f t="shared" si="31"/>
        <v>105000</v>
      </c>
      <c r="K1685" t="e">
        <f>VLOOKUP(B1685,'REGISTRO ABONOS'!$B$8:$BC$10041,54,0)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hidden="1" x14ac:dyDescent="0.2">
      <c r="B1686" s="31">
        <v>1677</v>
      </c>
      <c r="J1686">
        <f t="shared" si="31"/>
        <v>105000</v>
      </c>
      <c r="K1686" t="e">
        <f>VLOOKUP(B1686,'REGISTRO ABONOS'!$B$8:$BC$10041,54,0)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hidden="1" x14ac:dyDescent="0.2">
      <c r="B1687" s="31">
        <v>1678</v>
      </c>
      <c r="J1687">
        <f t="shared" si="31"/>
        <v>105000</v>
      </c>
      <c r="K1687" t="e">
        <f>VLOOKUP(B1687,'REGISTRO ABONOS'!$B$8:$BC$10041,54,0)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hidden="1" x14ac:dyDescent="0.2">
      <c r="B1688" s="31">
        <v>1679</v>
      </c>
      <c r="J1688">
        <f t="shared" si="31"/>
        <v>105000</v>
      </c>
      <c r="K1688" t="e">
        <f>VLOOKUP(B1688,'REGISTRO ABONOS'!$B$8:$BC$10041,54,0)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hidden="1" x14ac:dyDescent="0.2">
      <c r="B1689" s="31">
        <v>1680</v>
      </c>
      <c r="J1689">
        <f t="shared" si="31"/>
        <v>105000</v>
      </c>
      <c r="K1689" t="e">
        <f>VLOOKUP(B1689,'REGISTRO ABONOS'!$B$8:$BC$10041,54,0)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hidden="1" x14ac:dyDescent="0.2">
      <c r="B1690" s="31">
        <v>1681</v>
      </c>
      <c r="J1690">
        <f t="shared" si="31"/>
        <v>105000</v>
      </c>
      <c r="K1690" t="e">
        <f>VLOOKUP(B1690,'REGISTRO ABONOS'!$B$8:$BC$10041,54,0)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hidden="1" x14ac:dyDescent="0.2">
      <c r="B1691" s="31">
        <v>1682</v>
      </c>
      <c r="J1691">
        <f t="shared" si="31"/>
        <v>105000</v>
      </c>
      <c r="K1691" t="e">
        <f>VLOOKUP(B1691,'REGISTRO ABONOS'!$B$8:$BC$10041,54,0)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hidden="1" x14ac:dyDescent="0.2">
      <c r="B1692" s="31">
        <v>1683</v>
      </c>
      <c r="J1692">
        <f t="shared" si="31"/>
        <v>105000</v>
      </c>
      <c r="K1692" t="e">
        <f>VLOOKUP(B1692,'REGISTRO ABONOS'!$B$8:$BC$10041,54,0)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hidden="1" x14ac:dyDescent="0.2">
      <c r="B1693" s="31">
        <v>1684</v>
      </c>
      <c r="J1693">
        <f t="shared" si="31"/>
        <v>105000</v>
      </c>
      <c r="K1693" t="e">
        <f>VLOOKUP(B1693,'REGISTRO ABONOS'!$B$8:$BC$10041,54,0)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hidden="1" x14ac:dyDescent="0.2">
      <c r="B1694" s="31">
        <v>1685</v>
      </c>
      <c r="J1694">
        <f t="shared" si="31"/>
        <v>105000</v>
      </c>
      <c r="K1694" t="e">
        <f>VLOOKUP(B1694,'REGISTRO ABONOS'!$B$8:$BC$10041,54,0)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hidden="1" x14ac:dyDescent="0.2">
      <c r="B1695" s="31">
        <v>1686</v>
      </c>
      <c r="J1695">
        <f t="shared" si="31"/>
        <v>105000</v>
      </c>
      <c r="K1695" t="e">
        <f>VLOOKUP(B1695,'REGISTRO ABONOS'!$B$8:$BC$10041,54,0)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hidden="1" x14ac:dyDescent="0.2">
      <c r="B1696" s="31">
        <v>1687</v>
      </c>
      <c r="J1696">
        <f t="shared" si="31"/>
        <v>105000</v>
      </c>
      <c r="K1696" t="e">
        <f>VLOOKUP(B1696,'REGISTRO ABONOS'!$B$8:$BC$10041,54,0)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hidden="1" x14ac:dyDescent="0.2">
      <c r="B1697" s="31">
        <v>1688</v>
      </c>
      <c r="J1697">
        <f t="shared" si="31"/>
        <v>105000</v>
      </c>
      <c r="K1697" t="e">
        <f>VLOOKUP(B1697,'REGISTRO ABONOS'!$B$8:$BC$10041,54,0)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hidden="1" x14ac:dyDescent="0.2">
      <c r="B1698" s="31">
        <v>1689</v>
      </c>
      <c r="J1698">
        <f t="shared" si="31"/>
        <v>105000</v>
      </c>
      <c r="K1698" t="e">
        <f>VLOOKUP(B1698,'REGISTRO ABONOS'!$B$8:$BC$10041,54,0)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hidden="1" x14ac:dyDescent="0.2">
      <c r="B1699" s="31">
        <v>1690</v>
      </c>
      <c r="J1699">
        <f t="shared" si="31"/>
        <v>105000</v>
      </c>
      <c r="K1699" t="e">
        <f>VLOOKUP(B1699,'REGISTRO ABONOS'!$B$8:$BC$10041,54,0)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hidden="1" x14ac:dyDescent="0.2">
      <c r="B1700" s="31">
        <v>1691</v>
      </c>
      <c r="J1700">
        <f t="shared" si="31"/>
        <v>105000</v>
      </c>
      <c r="K1700" t="e">
        <f>VLOOKUP(B1700,'REGISTRO ABONOS'!$B$8:$BC$10041,54,0)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hidden="1" x14ac:dyDescent="0.2">
      <c r="B1701" s="31">
        <v>1692</v>
      </c>
      <c r="J1701">
        <f t="shared" si="31"/>
        <v>105000</v>
      </c>
      <c r="K1701" t="e">
        <f>VLOOKUP(B1701,'REGISTRO ABONOS'!$B$8:$BC$10041,54,0)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hidden="1" x14ac:dyDescent="0.2">
      <c r="B1702" s="31">
        <v>1693</v>
      </c>
      <c r="J1702">
        <f t="shared" si="31"/>
        <v>105000</v>
      </c>
      <c r="K1702" t="e">
        <f>VLOOKUP(B1702,'REGISTRO ABONOS'!$B$8:$BC$10041,54,0)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hidden="1" x14ac:dyDescent="0.2">
      <c r="B1703" s="31">
        <v>1694</v>
      </c>
      <c r="J1703">
        <f t="shared" si="31"/>
        <v>105000</v>
      </c>
      <c r="K1703" t="e">
        <f>VLOOKUP(B1703,'REGISTRO ABONOS'!$B$8:$BC$10041,54,0)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hidden="1" x14ac:dyDescent="0.2">
      <c r="B1704" s="31">
        <v>1695</v>
      </c>
      <c r="J1704">
        <f t="shared" si="31"/>
        <v>105000</v>
      </c>
      <c r="K1704" t="e">
        <f>VLOOKUP(B1704,'REGISTRO ABONOS'!$B$8:$BC$10041,54,0)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hidden="1" x14ac:dyDescent="0.2">
      <c r="B1705" s="31">
        <v>1696</v>
      </c>
      <c r="J1705">
        <f t="shared" si="31"/>
        <v>105000</v>
      </c>
      <c r="K1705" t="e">
        <f>VLOOKUP(B1705,'REGISTRO ABONOS'!$B$8:$BC$10041,54,0)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hidden="1" x14ac:dyDescent="0.2">
      <c r="B1706" s="31">
        <v>1697</v>
      </c>
      <c r="J1706">
        <f t="shared" si="31"/>
        <v>105000</v>
      </c>
      <c r="K1706" t="e">
        <f>VLOOKUP(B1706,'REGISTRO ABONOS'!$B$8:$BC$10041,54,0)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hidden="1" x14ac:dyDescent="0.2">
      <c r="B1707" s="31">
        <v>1698</v>
      </c>
      <c r="J1707">
        <f t="shared" si="31"/>
        <v>105000</v>
      </c>
      <c r="K1707" t="e">
        <f>VLOOKUP(B1707,'REGISTRO ABONOS'!$B$8:$BC$10041,54,0)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hidden="1" x14ac:dyDescent="0.2">
      <c r="B1708" s="31">
        <v>1699</v>
      </c>
      <c r="J1708">
        <f t="shared" si="31"/>
        <v>105000</v>
      </c>
      <c r="K1708" t="e">
        <f>VLOOKUP(B1708,'REGISTRO ABONOS'!$B$8:$BC$10041,54,0)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hidden="1" x14ac:dyDescent="0.2">
      <c r="B1709" s="31">
        <v>1700</v>
      </c>
      <c r="J1709">
        <f t="shared" si="31"/>
        <v>105000</v>
      </c>
      <c r="K1709" t="e">
        <f>VLOOKUP(B1709,'REGISTRO ABONOS'!$B$8:$BC$10041,54,0)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hidden="1" x14ac:dyDescent="0.2">
      <c r="B1710" s="31">
        <v>1701</v>
      </c>
      <c r="J1710">
        <f t="shared" si="31"/>
        <v>105000</v>
      </c>
      <c r="K1710" t="e">
        <f>VLOOKUP(B1710,'REGISTRO ABONOS'!$B$8:$BC$10041,54,0)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hidden="1" x14ac:dyDescent="0.2">
      <c r="B1711" s="31">
        <v>1702</v>
      </c>
      <c r="J1711">
        <f t="shared" si="31"/>
        <v>105000</v>
      </c>
      <c r="K1711" t="e">
        <f>VLOOKUP(B1711,'REGISTRO ABONOS'!$B$8:$BC$10041,54,0)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hidden="1" x14ac:dyDescent="0.2">
      <c r="B1712" s="31">
        <v>1703</v>
      </c>
      <c r="J1712">
        <f t="shared" si="31"/>
        <v>105000</v>
      </c>
      <c r="K1712" t="e">
        <f>VLOOKUP(B1712,'REGISTRO ABONOS'!$B$8:$BC$10041,54,0)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hidden="1" x14ac:dyDescent="0.2">
      <c r="B1713" s="31">
        <v>1704</v>
      </c>
      <c r="J1713">
        <f t="shared" si="31"/>
        <v>105000</v>
      </c>
      <c r="K1713" t="e">
        <f>VLOOKUP(B1713,'REGISTRO ABONOS'!$B$8:$BC$10041,54,0)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hidden="1" x14ac:dyDescent="0.2">
      <c r="B1714" s="31">
        <v>1705</v>
      </c>
      <c r="J1714">
        <f t="shared" si="31"/>
        <v>105000</v>
      </c>
      <c r="K1714" t="e">
        <f>VLOOKUP(B1714,'REGISTRO ABONOS'!$B$8:$BC$10041,54,0)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hidden="1" x14ac:dyDescent="0.2">
      <c r="B1715" s="31">
        <v>1706</v>
      </c>
      <c r="J1715">
        <f t="shared" si="31"/>
        <v>105000</v>
      </c>
      <c r="K1715" t="e">
        <f>VLOOKUP(B1715,'REGISTRO ABONOS'!$B$8:$BC$10041,54,0)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hidden="1" x14ac:dyDescent="0.2">
      <c r="B1716" s="31">
        <v>1707</v>
      </c>
      <c r="J1716">
        <f t="shared" si="31"/>
        <v>105000</v>
      </c>
      <c r="K1716" t="e">
        <f>VLOOKUP(B1716,'REGISTRO ABONOS'!$B$8:$BC$10041,54,0)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hidden="1" x14ac:dyDescent="0.2">
      <c r="B1717" s="31">
        <v>1708</v>
      </c>
      <c r="J1717">
        <f t="shared" si="31"/>
        <v>105000</v>
      </c>
      <c r="K1717" t="e">
        <f>VLOOKUP(B1717,'REGISTRO ABONOS'!$B$8:$BC$10041,54,0)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hidden="1" x14ac:dyDescent="0.2">
      <c r="B1718" s="31">
        <v>1709</v>
      </c>
      <c r="J1718">
        <f t="shared" si="31"/>
        <v>105000</v>
      </c>
      <c r="K1718" t="e">
        <f>VLOOKUP(B1718,'REGISTRO ABONOS'!$B$8:$BC$10041,54,0)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hidden="1" x14ac:dyDescent="0.2">
      <c r="B1719" s="31">
        <v>1710</v>
      </c>
      <c r="J1719">
        <f t="shared" si="31"/>
        <v>105000</v>
      </c>
      <c r="K1719" t="e">
        <f>VLOOKUP(B1719,'REGISTRO ABONOS'!$B$8:$BC$10041,54,0)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hidden="1" x14ac:dyDescent="0.2">
      <c r="B1720" s="31">
        <v>1711</v>
      </c>
      <c r="J1720">
        <f t="shared" si="31"/>
        <v>105000</v>
      </c>
      <c r="K1720" t="e">
        <f>VLOOKUP(B1720,'REGISTRO ABONOS'!$B$8:$BC$10041,54,0)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hidden="1" x14ac:dyDescent="0.2">
      <c r="B1721" s="31">
        <v>1712</v>
      </c>
      <c r="J1721">
        <f t="shared" si="31"/>
        <v>105000</v>
      </c>
      <c r="K1721" t="e">
        <f>VLOOKUP(B1721,'REGISTRO ABONOS'!$B$8:$BC$10041,54,0)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hidden="1" x14ac:dyDescent="0.2">
      <c r="B1722" s="31">
        <v>1713</v>
      </c>
      <c r="J1722">
        <f t="shared" si="31"/>
        <v>105000</v>
      </c>
      <c r="K1722" t="e">
        <f>VLOOKUP(B1722,'REGISTRO ABONOS'!$B$8:$BC$10041,54,0)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hidden="1" x14ac:dyDescent="0.2">
      <c r="B1723" s="31">
        <v>1714</v>
      </c>
      <c r="J1723">
        <f t="shared" si="31"/>
        <v>105000</v>
      </c>
      <c r="K1723" t="e">
        <f>VLOOKUP(B1723,'REGISTRO ABONOS'!$B$8:$BC$10041,54,0)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hidden="1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ABONOS'!$B$8:$BC$10041,54,0)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hidden="1" x14ac:dyDescent="0.2">
      <c r="B1725" s="31">
        <v>1716</v>
      </c>
      <c r="J1725">
        <f t="shared" si="32"/>
        <v>105000</v>
      </c>
      <c r="K1725" t="e">
        <f>VLOOKUP(B1725,'REGISTRO ABONOS'!$B$8:$BC$10041,54,0)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hidden="1" x14ac:dyDescent="0.2">
      <c r="B1726" s="31">
        <v>1717</v>
      </c>
      <c r="J1726">
        <f t="shared" si="32"/>
        <v>105000</v>
      </c>
      <c r="K1726" t="e">
        <f>VLOOKUP(B1726,'REGISTRO ABONOS'!$B$8:$BC$10041,54,0)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hidden="1" x14ac:dyDescent="0.2">
      <c r="B1727" s="31">
        <v>1718</v>
      </c>
      <c r="J1727">
        <f t="shared" si="32"/>
        <v>105000</v>
      </c>
      <c r="K1727" t="e">
        <f>VLOOKUP(B1727,'REGISTRO ABONOS'!$B$8:$BC$10041,54,0)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hidden="1" x14ac:dyDescent="0.2">
      <c r="B1728" s="31">
        <v>1719</v>
      </c>
      <c r="J1728">
        <f t="shared" si="32"/>
        <v>105000</v>
      </c>
      <c r="K1728" t="e">
        <f>VLOOKUP(B1728,'REGISTRO ABONOS'!$B$8:$BC$10041,54,0)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2"/>
        <v>105000</v>
      </c>
      <c r="K1729" t="e">
        <f>VLOOKUP(B1729,'REGISTRO ABONOS'!$B$8:$BC$10041,54,0)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hidden="1" x14ac:dyDescent="0.2">
      <c r="B1730" s="31">
        <v>1721</v>
      </c>
      <c r="J1730">
        <f t="shared" si="32"/>
        <v>105000</v>
      </c>
      <c r="K1730" t="e">
        <f>VLOOKUP(B1730,'REGISTRO ABONOS'!$B$8:$BC$10041,54,0)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hidden="1" x14ac:dyDescent="0.2">
      <c r="B1731" s="31">
        <v>1722</v>
      </c>
      <c r="J1731">
        <f t="shared" si="32"/>
        <v>105000</v>
      </c>
      <c r="K1731" t="e">
        <f>VLOOKUP(B1731,'REGISTRO ABONOS'!$B$8:$BC$10041,54,0)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hidden="1" x14ac:dyDescent="0.2">
      <c r="B1732" s="31">
        <v>1723</v>
      </c>
      <c r="J1732">
        <f t="shared" si="32"/>
        <v>105000</v>
      </c>
      <c r="K1732" t="e">
        <f>VLOOKUP(B1732,'REGISTRO ABONOS'!$B$8:$BC$10041,54,0)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hidden="1" x14ac:dyDescent="0.2">
      <c r="B1733" s="31">
        <v>1724</v>
      </c>
      <c r="J1733">
        <f t="shared" si="32"/>
        <v>105000</v>
      </c>
      <c r="K1733" t="e">
        <f>VLOOKUP(B1733,'REGISTRO ABONOS'!$B$8:$BC$10041,54,0)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hidden="1" x14ac:dyDescent="0.2">
      <c r="B1734" s="31">
        <v>1725</v>
      </c>
      <c r="J1734">
        <f t="shared" si="32"/>
        <v>105000</v>
      </c>
      <c r="K1734" t="e">
        <f>VLOOKUP(B1734,'REGISTRO ABONOS'!$B$8:$BC$10041,54,0)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hidden="1" x14ac:dyDescent="0.2">
      <c r="B1735" s="31">
        <v>1726</v>
      </c>
      <c r="J1735">
        <f t="shared" si="32"/>
        <v>105000</v>
      </c>
      <c r="K1735" t="e">
        <f>VLOOKUP(B1735,'REGISTRO ABONOS'!$B$8:$BC$10041,54,0)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hidden="1" x14ac:dyDescent="0.2">
      <c r="B1736" s="31">
        <v>1727</v>
      </c>
      <c r="J1736">
        <f t="shared" si="32"/>
        <v>105000</v>
      </c>
      <c r="K1736" t="e">
        <f>VLOOKUP(B1736,'REGISTRO ABONOS'!$B$8:$BC$10041,54,0)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hidden="1" x14ac:dyDescent="0.2">
      <c r="B1737" s="31">
        <v>1728</v>
      </c>
      <c r="J1737">
        <f t="shared" si="32"/>
        <v>105000</v>
      </c>
      <c r="K1737" t="e">
        <f>VLOOKUP(B1737,'REGISTRO ABONOS'!$B$8:$BC$10041,54,0)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hidden="1" x14ac:dyDescent="0.2">
      <c r="B1738" s="31">
        <v>1729</v>
      </c>
      <c r="J1738">
        <f t="shared" si="32"/>
        <v>105000</v>
      </c>
      <c r="K1738" t="e">
        <f>VLOOKUP(B1738,'REGISTRO ABONOS'!$B$8:$BC$10041,54,0)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hidden="1" x14ac:dyDescent="0.2">
      <c r="B1739" s="31">
        <v>1730</v>
      </c>
      <c r="J1739">
        <f t="shared" si="32"/>
        <v>105000</v>
      </c>
      <c r="K1739" t="e">
        <f>VLOOKUP(B1739,'REGISTRO ABONOS'!$B$8:$BC$10041,54,0)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hidden="1" x14ac:dyDescent="0.2">
      <c r="B1740" s="31">
        <v>1731</v>
      </c>
      <c r="J1740">
        <f t="shared" si="32"/>
        <v>105000</v>
      </c>
      <c r="K1740" t="e">
        <f>VLOOKUP(B1740,'REGISTRO ABONOS'!$B$8:$BC$10041,54,0)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hidden="1" x14ac:dyDescent="0.2">
      <c r="B1741" s="31">
        <v>1732</v>
      </c>
      <c r="J1741">
        <f t="shared" si="32"/>
        <v>105000</v>
      </c>
      <c r="K1741" t="e">
        <f>VLOOKUP(B1741,'REGISTRO ABONOS'!$B$8:$BC$10041,54,0)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hidden="1" x14ac:dyDescent="0.2">
      <c r="B1742" s="31">
        <v>1733</v>
      </c>
      <c r="J1742">
        <f t="shared" si="32"/>
        <v>105000</v>
      </c>
      <c r="K1742" t="e">
        <f>VLOOKUP(B1742,'REGISTRO ABONOS'!$B$8:$BC$10041,54,0)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hidden="1" x14ac:dyDescent="0.2">
      <c r="B1743" s="31">
        <v>1734</v>
      </c>
      <c r="J1743">
        <f t="shared" si="32"/>
        <v>105000</v>
      </c>
      <c r="K1743" t="e">
        <f>VLOOKUP(B1743,'REGISTRO ABONOS'!$B$8:$BC$10041,54,0)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hidden="1" x14ac:dyDescent="0.2">
      <c r="B1744" s="31">
        <v>1735</v>
      </c>
      <c r="J1744">
        <f t="shared" si="32"/>
        <v>105000</v>
      </c>
      <c r="K1744" t="e">
        <f>VLOOKUP(B1744,'REGISTRO ABONOS'!$B$8:$BC$10041,54,0)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hidden="1" x14ac:dyDescent="0.2">
      <c r="B1745" s="31">
        <v>1736</v>
      </c>
      <c r="J1745">
        <f t="shared" si="32"/>
        <v>105000</v>
      </c>
      <c r="K1745" t="e">
        <f>VLOOKUP(B1745,'REGISTRO ABONOS'!$B$8:$BC$10041,54,0)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hidden="1" x14ac:dyDescent="0.2">
      <c r="B1746" s="31">
        <v>1737</v>
      </c>
      <c r="J1746">
        <f t="shared" si="32"/>
        <v>105000</v>
      </c>
      <c r="K1746" t="e">
        <f>VLOOKUP(B1746,'REGISTRO ABONOS'!$B$8:$BC$10041,54,0)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hidden="1" x14ac:dyDescent="0.2">
      <c r="B1747" s="31">
        <v>1738</v>
      </c>
      <c r="C1747" s="10">
        <v>43571</v>
      </c>
      <c r="D1747" t="s">
        <v>485</v>
      </c>
      <c r="H1747" t="s">
        <v>485</v>
      </c>
      <c r="I1747" t="s">
        <v>322</v>
      </c>
      <c r="J1747">
        <f t="shared" si="32"/>
        <v>105000</v>
      </c>
      <c r="K1747" t="e">
        <f>VLOOKUP(B1747,'REGISTRO ABONOS'!$B$8:$BC$10041,54,0)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hidden="1" x14ac:dyDescent="0.2">
      <c r="B1748" s="31">
        <v>1739</v>
      </c>
      <c r="J1748">
        <f t="shared" si="32"/>
        <v>105000</v>
      </c>
      <c r="K1748" t="e">
        <f>VLOOKUP(B1748,'REGISTRO ABONOS'!$B$8:$BC$10041,54,0)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hidden="1" x14ac:dyDescent="0.2">
      <c r="B1749" s="31">
        <v>1740</v>
      </c>
      <c r="J1749">
        <f t="shared" si="32"/>
        <v>105000</v>
      </c>
      <c r="K1749" t="e">
        <f>VLOOKUP(B1749,'REGISTRO ABONOS'!$B$8:$BC$10041,54,0)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hidden="1" x14ac:dyDescent="0.2">
      <c r="B1750" s="31">
        <v>1741</v>
      </c>
      <c r="J1750">
        <f t="shared" si="32"/>
        <v>105000</v>
      </c>
      <c r="K1750" t="e">
        <f>VLOOKUP(B1750,'REGISTRO ABONOS'!$B$8:$BC$10041,54,0)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hidden="1" x14ac:dyDescent="0.2">
      <c r="B1751" s="31">
        <v>1742</v>
      </c>
      <c r="J1751">
        <f t="shared" si="32"/>
        <v>105000</v>
      </c>
      <c r="K1751" t="e">
        <f>VLOOKUP(B1751,'REGISTRO ABONOS'!$B$8:$BC$10041,54,0)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hidden="1" x14ac:dyDescent="0.2">
      <c r="B1752" s="31">
        <v>1743</v>
      </c>
      <c r="J1752">
        <f t="shared" si="32"/>
        <v>105000</v>
      </c>
      <c r="K1752" t="e">
        <f>VLOOKUP(B1752,'REGISTRO ABONOS'!$B$8:$BC$10041,54,0)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hidden="1" x14ac:dyDescent="0.2">
      <c r="B1753" s="31">
        <v>1744</v>
      </c>
      <c r="J1753">
        <f t="shared" si="32"/>
        <v>105000</v>
      </c>
      <c r="K1753" t="e">
        <f>VLOOKUP(B1753,'REGISTRO ABONOS'!$B$8:$BC$10041,54,0)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hidden="1" x14ac:dyDescent="0.2">
      <c r="B1754" s="31">
        <v>1745</v>
      </c>
      <c r="J1754">
        <f t="shared" si="32"/>
        <v>105000</v>
      </c>
      <c r="K1754" t="e">
        <f>VLOOKUP(B1754,'REGISTRO ABONOS'!$B$8:$BC$10041,54,0)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hidden="1" x14ac:dyDescent="0.2">
      <c r="B1755" s="31">
        <v>1746</v>
      </c>
      <c r="J1755">
        <f t="shared" si="32"/>
        <v>105000</v>
      </c>
      <c r="K1755" t="e">
        <f>VLOOKUP(B1755,'REGISTRO ABONOS'!$B$8:$BC$10041,54,0)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hidden="1" x14ac:dyDescent="0.2">
      <c r="B1756" s="31">
        <v>1747</v>
      </c>
      <c r="J1756">
        <f t="shared" si="32"/>
        <v>105000</v>
      </c>
      <c r="K1756" t="e">
        <f>VLOOKUP(B1756,'REGISTRO ABONOS'!$B$8:$BC$10041,54,0)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hidden="1" x14ac:dyDescent="0.2">
      <c r="B1757" s="31">
        <v>1748</v>
      </c>
      <c r="J1757">
        <f t="shared" si="32"/>
        <v>105000</v>
      </c>
      <c r="K1757" t="e">
        <f>VLOOKUP(B1757,'REGISTRO ABONOS'!$B$8:$BC$10041,54,0)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hidden="1" x14ac:dyDescent="0.2">
      <c r="B1758" s="31">
        <v>1749</v>
      </c>
      <c r="J1758">
        <f t="shared" si="32"/>
        <v>105000</v>
      </c>
      <c r="K1758" t="e">
        <f>VLOOKUP(B1758,'REGISTRO ABONOS'!$B$8:$BC$10041,54,0)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hidden="1" x14ac:dyDescent="0.2">
      <c r="B1759" s="31">
        <v>1750</v>
      </c>
      <c r="J1759">
        <f t="shared" si="32"/>
        <v>105000</v>
      </c>
      <c r="K1759" t="e">
        <f>VLOOKUP(B1759,'REGISTRO ABONOS'!$B$8:$BC$10041,54,0)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hidden="1" x14ac:dyDescent="0.2">
      <c r="B1760" s="31">
        <v>1751</v>
      </c>
      <c r="J1760">
        <f t="shared" si="32"/>
        <v>105000</v>
      </c>
      <c r="K1760" t="e">
        <f>VLOOKUP(B1760,'REGISTRO ABONOS'!$B$8:$BC$10041,54,0)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hidden="1" x14ac:dyDescent="0.2">
      <c r="B1761" s="31">
        <v>1752</v>
      </c>
      <c r="J1761">
        <f t="shared" si="32"/>
        <v>105000</v>
      </c>
      <c r="K1761" t="e">
        <f>VLOOKUP(B1761,'REGISTRO ABONOS'!$B$8:$BC$10041,54,0)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hidden="1" x14ac:dyDescent="0.2">
      <c r="B1762" s="31">
        <v>1753</v>
      </c>
      <c r="J1762">
        <f t="shared" si="32"/>
        <v>105000</v>
      </c>
      <c r="K1762" t="e">
        <f>VLOOKUP(B1762,'REGISTRO ABONOS'!$B$8:$BC$10041,54,0)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hidden="1" x14ac:dyDescent="0.2">
      <c r="B1763" s="31">
        <v>1754</v>
      </c>
      <c r="J1763">
        <f t="shared" si="32"/>
        <v>105000</v>
      </c>
      <c r="K1763" t="e">
        <f>VLOOKUP(B1763,'REGISTRO ABONOS'!$B$8:$BC$10041,54,0)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hidden="1" x14ac:dyDescent="0.2">
      <c r="B1764" s="31">
        <v>1755</v>
      </c>
      <c r="J1764">
        <f t="shared" si="32"/>
        <v>105000</v>
      </c>
      <c r="K1764" t="e">
        <f>VLOOKUP(B1764,'REGISTRO ABONOS'!$B$8:$BC$10041,54,0)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hidden="1" x14ac:dyDescent="0.2">
      <c r="B1765" s="31">
        <v>1756</v>
      </c>
      <c r="J1765">
        <f t="shared" si="32"/>
        <v>105000</v>
      </c>
      <c r="K1765" t="e">
        <f>VLOOKUP(B1765,'REGISTRO ABONOS'!$B$8:$BC$10041,54,0)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hidden="1" x14ac:dyDescent="0.2">
      <c r="B1766" s="31">
        <v>1757</v>
      </c>
      <c r="J1766">
        <f t="shared" si="32"/>
        <v>105000</v>
      </c>
      <c r="K1766" t="e">
        <f>VLOOKUP(B1766,'REGISTRO ABONOS'!$B$8:$BC$10041,54,0)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hidden="1" x14ac:dyDescent="0.2">
      <c r="B1767" s="31">
        <v>1758</v>
      </c>
      <c r="J1767">
        <f t="shared" si="32"/>
        <v>105000</v>
      </c>
      <c r="K1767" t="e">
        <f>VLOOKUP(B1767,'REGISTRO ABONOS'!$B$8:$BC$10041,54,0)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hidden="1" x14ac:dyDescent="0.2">
      <c r="B1768" s="31">
        <v>1759</v>
      </c>
      <c r="J1768">
        <f t="shared" si="32"/>
        <v>105000</v>
      </c>
      <c r="K1768" t="e">
        <f>VLOOKUP(B1768,'REGISTRO ABONOS'!$B$8:$BC$10041,54,0)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hidden="1" x14ac:dyDescent="0.2">
      <c r="B1769" s="31">
        <v>1760</v>
      </c>
      <c r="J1769">
        <f t="shared" si="32"/>
        <v>105000</v>
      </c>
      <c r="K1769" t="e">
        <f>VLOOKUP(B1769,'REGISTRO ABONOS'!$B$8:$BC$10041,54,0)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hidden="1" x14ac:dyDescent="0.2">
      <c r="B1770" s="31">
        <v>1761</v>
      </c>
      <c r="J1770">
        <f t="shared" si="32"/>
        <v>105000</v>
      </c>
      <c r="K1770" t="e">
        <f>VLOOKUP(B1770,'REGISTRO ABONOS'!$B$8:$BC$10041,54,0)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hidden="1" x14ac:dyDescent="0.2">
      <c r="B1771" s="31">
        <v>1762</v>
      </c>
      <c r="J1771">
        <f t="shared" si="32"/>
        <v>105000</v>
      </c>
      <c r="K1771" t="e">
        <f>VLOOKUP(B1771,'REGISTRO ABONOS'!$B$8:$BC$10041,54,0)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hidden="1" x14ac:dyDescent="0.2">
      <c r="B1772" s="31">
        <v>1763</v>
      </c>
      <c r="J1772">
        <f t="shared" si="32"/>
        <v>105000</v>
      </c>
      <c r="K1772" t="e">
        <f>VLOOKUP(B1772,'REGISTRO ABONOS'!$B$8:$BC$10041,54,0)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hidden="1" x14ac:dyDescent="0.2">
      <c r="B1773" s="31">
        <v>1764</v>
      </c>
      <c r="J1773">
        <f t="shared" si="32"/>
        <v>105000</v>
      </c>
      <c r="K1773" t="e">
        <f>VLOOKUP(B1773,'REGISTRO ABONOS'!$B$8:$BC$10041,54,0)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hidden="1" x14ac:dyDescent="0.2">
      <c r="B1774" s="31">
        <v>1765</v>
      </c>
      <c r="J1774">
        <f t="shared" si="32"/>
        <v>105000</v>
      </c>
      <c r="K1774" t="e">
        <f>VLOOKUP(B1774,'REGISTRO ABONOS'!$B$8:$BC$10041,54,0)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hidden="1" x14ac:dyDescent="0.2">
      <c r="B1775" s="31">
        <v>1766</v>
      </c>
      <c r="J1775">
        <f t="shared" si="32"/>
        <v>105000</v>
      </c>
      <c r="K1775" t="e">
        <f>VLOOKUP(B1775,'REGISTRO ABONOS'!$B$8:$BC$10041,54,0)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hidden="1" x14ac:dyDescent="0.2">
      <c r="B1776" s="31">
        <v>1767</v>
      </c>
      <c r="J1776">
        <f t="shared" si="32"/>
        <v>105000</v>
      </c>
      <c r="K1776" t="e">
        <f>VLOOKUP(B1776,'REGISTRO ABONOS'!$B$8:$BC$10041,54,0)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hidden="1" x14ac:dyDescent="0.2">
      <c r="B1777" s="31">
        <v>1768</v>
      </c>
      <c r="J1777">
        <f t="shared" si="32"/>
        <v>105000</v>
      </c>
      <c r="K1777" t="e">
        <f>VLOOKUP(B1777,'REGISTRO ABONOS'!$B$8:$BC$10041,54,0)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hidden="1" x14ac:dyDescent="0.2">
      <c r="B1778" s="31">
        <v>1769</v>
      </c>
      <c r="J1778">
        <f t="shared" si="32"/>
        <v>105000</v>
      </c>
      <c r="K1778" t="e">
        <f>VLOOKUP(B1778,'REGISTRO ABONOS'!$B$8:$BC$10041,54,0)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hidden="1" x14ac:dyDescent="0.2">
      <c r="B1779" s="31">
        <v>1770</v>
      </c>
      <c r="J1779">
        <f t="shared" si="32"/>
        <v>105000</v>
      </c>
      <c r="K1779" t="e">
        <f>VLOOKUP(B1779,'REGISTRO ABONOS'!$B$8:$BC$10041,54,0)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hidden="1" x14ac:dyDescent="0.2">
      <c r="B1780" s="31">
        <v>1771</v>
      </c>
      <c r="J1780">
        <f t="shared" si="32"/>
        <v>105000</v>
      </c>
      <c r="K1780" t="e">
        <f>VLOOKUP(B1780,'REGISTRO ABONOS'!$B$8:$BC$10041,54,0)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hidden="1" x14ac:dyDescent="0.2">
      <c r="B1781" s="31">
        <v>1772</v>
      </c>
      <c r="J1781">
        <f t="shared" si="32"/>
        <v>105000</v>
      </c>
      <c r="K1781" t="e">
        <f>VLOOKUP(B1781,'REGISTRO ABONOS'!$B$8:$BC$10041,54,0)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hidden="1" x14ac:dyDescent="0.2">
      <c r="B1782" s="31">
        <v>1773</v>
      </c>
      <c r="J1782">
        <f t="shared" si="32"/>
        <v>105000</v>
      </c>
      <c r="K1782" t="e">
        <f>VLOOKUP(B1782,'REGISTRO ABONOS'!$B$8:$BC$10041,54,0)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hidden="1" x14ac:dyDescent="0.2">
      <c r="B1783" s="31">
        <v>1774</v>
      </c>
      <c r="J1783">
        <f t="shared" si="32"/>
        <v>105000</v>
      </c>
      <c r="K1783" t="e">
        <f>VLOOKUP(B1783,'REGISTRO ABONOS'!$B$8:$BC$10041,54,0)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hidden="1" x14ac:dyDescent="0.2">
      <c r="B1784" s="31">
        <v>1775</v>
      </c>
      <c r="J1784">
        <f t="shared" si="32"/>
        <v>105000</v>
      </c>
      <c r="K1784" t="e">
        <f>VLOOKUP(B1784,'REGISTRO ABONOS'!$B$8:$BC$10041,54,0)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hidden="1" x14ac:dyDescent="0.2">
      <c r="B1785" s="31">
        <v>1776</v>
      </c>
      <c r="J1785">
        <f t="shared" si="32"/>
        <v>105000</v>
      </c>
      <c r="K1785" t="e">
        <f>VLOOKUP(B1785,'REGISTRO ABONOS'!$B$8:$BC$10041,54,0)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hidden="1" x14ac:dyDescent="0.2">
      <c r="B1786" s="31">
        <v>1777</v>
      </c>
      <c r="J1786">
        <f t="shared" si="32"/>
        <v>105000</v>
      </c>
      <c r="K1786" t="e">
        <f>VLOOKUP(B1786,'REGISTRO ABONOS'!$B$8:$BC$10041,54,0)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hidden="1" x14ac:dyDescent="0.2">
      <c r="B1787" s="31">
        <v>1778</v>
      </c>
      <c r="J1787">
        <f t="shared" si="32"/>
        <v>105000</v>
      </c>
      <c r="K1787" t="e">
        <f>VLOOKUP(B1787,'REGISTRO ABONOS'!$B$8:$BC$10041,54,0)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hidden="1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ABONOS'!$B$8:$BC$10041,54,0)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hidden="1" x14ac:dyDescent="0.2">
      <c r="B1789" s="31">
        <v>1780</v>
      </c>
      <c r="J1789">
        <f t="shared" si="33"/>
        <v>105000</v>
      </c>
      <c r="K1789" t="e">
        <f>VLOOKUP(B1789,'REGISTRO ABONOS'!$B$8:$BC$10041,54,0)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hidden="1" x14ac:dyDescent="0.2">
      <c r="B1790" s="31">
        <v>1781</v>
      </c>
      <c r="J1790">
        <f t="shared" si="33"/>
        <v>105000</v>
      </c>
      <c r="K1790" t="e">
        <f>VLOOKUP(B1790,'REGISTRO ABONOS'!$B$8:$BC$10041,54,0)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hidden="1" x14ac:dyDescent="0.2">
      <c r="B1791" s="31">
        <v>1782</v>
      </c>
      <c r="J1791">
        <f t="shared" si="33"/>
        <v>105000</v>
      </c>
      <c r="K1791" t="e">
        <f>VLOOKUP(B1791,'REGISTRO ABONOS'!$B$8:$BC$10041,54,0)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hidden="1" x14ac:dyDescent="0.2">
      <c r="B1792" s="31">
        <v>1783</v>
      </c>
      <c r="J1792">
        <f t="shared" si="33"/>
        <v>105000</v>
      </c>
      <c r="K1792" t="e">
        <f>VLOOKUP(B1792,'REGISTRO ABONOS'!$B$8:$BC$10041,54,0)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hidden="1" x14ac:dyDescent="0.2">
      <c r="B1793" s="31">
        <v>1784</v>
      </c>
      <c r="J1793">
        <f t="shared" si="33"/>
        <v>105000</v>
      </c>
      <c r="K1793" t="e">
        <f>VLOOKUP(B1793,'REGISTRO ABONOS'!$B$8:$BC$10041,54,0)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hidden="1" x14ac:dyDescent="0.2">
      <c r="B1794" s="31">
        <v>1785</v>
      </c>
      <c r="J1794">
        <f t="shared" si="33"/>
        <v>105000</v>
      </c>
      <c r="K1794" t="e">
        <f>VLOOKUP(B1794,'REGISTRO ABONOS'!$B$8:$BC$10041,54,0)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hidden="1" x14ac:dyDescent="0.2">
      <c r="B1795" s="31">
        <v>1786</v>
      </c>
      <c r="J1795">
        <f t="shared" si="33"/>
        <v>105000</v>
      </c>
      <c r="K1795" t="e">
        <f>VLOOKUP(B1795,'REGISTRO ABONOS'!$B$8:$BC$10041,54,0)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hidden="1" x14ac:dyDescent="0.2">
      <c r="B1796" s="31">
        <v>1787</v>
      </c>
      <c r="J1796">
        <f t="shared" si="33"/>
        <v>105000</v>
      </c>
      <c r="K1796" t="e">
        <f>VLOOKUP(B1796,'REGISTRO ABONOS'!$B$8:$BC$10041,54,0)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hidden="1" x14ac:dyDescent="0.2">
      <c r="B1797" s="31">
        <v>1788</v>
      </c>
      <c r="J1797">
        <f t="shared" si="33"/>
        <v>105000</v>
      </c>
      <c r="K1797" t="e">
        <f>VLOOKUP(B1797,'REGISTRO ABONOS'!$B$8:$BC$10041,54,0)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hidden="1" x14ac:dyDescent="0.2">
      <c r="B1798" s="31">
        <v>1789</v>
      </c>
      <c r="J1798">
        <f t="shared" si="33"/>
        <v>105000</v>
      </c>
      <c r="K1798" t="e">
        <f>VLOOKUP(B1798,'REGISTRO ABONOS'!$B$8:$BC$10041,54,0)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hidden="1" x14ac:dyDescent="0.2">
      <c r="B1799" s="31">
        <v>1790</v>
      </c>
      <c r="J1799">
        <f t="shared" si="33"/>
        <v>105000</v>
      </c>
      <c r="K1799" t="e">
        <f>VLOOKUP(B1799,'REGISTRO ABONOS'!$B$8:$BC$10041,54,0)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hidden="1" x14ac:dyDescent="0.2">
      <c r="B1800" s="31">
        <v>1791</v>
      </c>
      <c r="J1800">
        <f t="shared" si="33"/>
        <v>105000</v>
      </c>
      <c r="K1800" t="e">
        <f>VLOOKUP(B1800,'REGISTRO ABONOS'!$B$8:$BC$10041,54,0)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hidden="1" x14ac:dyDescent="0.2">
      <c r="B1801" s="31">
        <v>1792</v>
      </c>
      <c r="J1801">
        <f t="shared" si="33"/>
        <v>105000</v>
      </c>
      <c r="K1801" t="e">
        <f>VLOOKUP(B1801,'REGISTRO ABONOS'!$B$8:$BC$10041,54,0)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hidden="1" x14ac:dyDescent="0.2">
      <c r="B1802" s="31">
        <v>1793</v>
      </c>
      <c r="J1802">
        <f t="shared" si="33"/>
        <v>105000</v>
      </c>
      <c r="K1802" t="e">
        <f>VLOOKUP(B1802,'REGISTRO ABONOS'!$B$8:$BC$10041,54,0)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hidden="1" x14ac:dyDescent="0.2">
      <c r="B1803" s="31">
        <v>1794</v>
      </c>
      <c r="J1803">
        <f t="shared" si="33"/>
        <v>105000</v>
      </c>
      <c r="K1803" t="e">
        <f>VLOOKUP(B1803,'REGISTRO ABONOS'!$B$8:$BC$10041,54,0)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hidden="1" x14ac:dyDescent="0.2">
      <c r="B1804" s="31">
        <v>1795</v>
      </c>
      <c r="J1804">
        <f t="shared" si="33"/>
        <v>105000</v>
      </c>
      <c r="K1804" t="e">
        <f>VLOOKUP(B1804,'REGISTRO ABONOS'!$B$8:$BC$10041,54,0)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hidden="1" x14ac:dyDescent="0.2">
      <c r="B1805" s="31">
        <v>1796</v>
      </c>
      <c r="J1805">
        <f t="shared" si="33"/>
        <v>105000</v>
      </c>
      <c r="K1805" t="e">
        <f>VLOOKUP(B1805,'REGISTRO ABONOS'!$B$8:$BC$10041,54,0)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hidden="1" x14ac:dyDescent="0.2">
      <c r="B1806" s="31">
        <v>1797</v>
      </c>
      <c r="J1806">
        <f t="shared" si="33"/>
        <v>105000</v>
      </c>
      <c r="K1806" t="e">
        <f>VLOOKUP(B1806,'REGISTRO ABONOS'!$B$8:$BC$10041,54,0)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hidden="1" x14ac:dyDescent="0.2">
      <c r="B1807" s="31">
        <v>1798</v>
      </c>
      <c r="J1807">
        <f t="shared" si="33"/>
        <v>105000</v>
      </c>
      <c r="K1807" t="e">
        <f>VLOOKUP(B1807,'REGISTRO ABONOS'!$B$8:$BC$10041,54,0)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hidden="1" x14ac:dyDescent="0.2">
      <c r="B1808" s="31">
        <v>1799</v>
      </c>
      <c r="J1808">
        <f t="shared" si="33"/>
        <v>105000</v>
      </c>
      <c r="K1808" t="e">
        <f>VLOOKUP(B1808,'REGISTRO ABONOS'!$B$8:$BC$10041,54,0)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hidden="1" x14ac:dyDescent="0.2">
      <c r="B1809" s="31">
        <v>1800</v>
      </c>
      <c r="J1809">
        <f t="shared" si="33"/>
        <v>105000</v>
      </c>
      <c r="K1809" t="e">
        <f>VLOOKUP(B1809,'REGISTRO ABONOS'!$B$8:$BC$10041,54,0)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hidden="1" x14ac:dyDescent="0.2">
      <c r="B1810" s="31">
        <v>1801</v>
      </c>
      <c r="J1810">
        <f t="shared" si="33"/>
        <v>105000</v>
      </c>
      <c r="K1810" t="e">
        <f>VLOOKUP(B1810,'REGISTRO ABONOS'!$B$8:$BC$10041,54,0)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hidden="1" x14ac:dyDescent="0.2">
      <c r="B1811" s="31">
        <v>1802</v>
      </c>
      <c r="J1811">
        <f t="shared" si="33"/>
        <v>105000</v>
      </c>
      <c r="K1811" t="e">
        <f>VLOOKUP(B1811,'REGISTRO ABONOS'!$B$8:$BC$10041,54,0)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hidden="1" x14ac:dyDescent="0.2">
      <c r="B1812" s="31">
        <v>1803</v>
      </c>
      <c r="J1812">
        <f t="shared" si="33"/>
        <v>105000</v>
      </c>
      <c r="K1812" t="e">
        <f>VLOOKUP(B1812,'REGISTRO ABONOS'!$B$8:$BC$10041,54,0)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hidden="1" x14ac:dyDescent="0.2">
      <c r="B1813" s="31">
        <v>1804</v>
      </c>
      <c r="J1813">
        <f t="shared" si="33"/>
        <v>105000</v>
      </c>
      <c r="K1813" t="e">
        <f>VLOOKUP(B1813,'REGISTRO ABONOS'!$B$8:$BC$10041,54,0)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hidden="1" x14ac:dyDescent="0.2">
      <c r="B1814" s="31">
        <v>1805</v>
      </c>
      <c r="J1814">
        <f t="shared" si="33"/>
        <v>105000</v>
      </c>
      <c r="K1814" t="e">
        <f>VLOOKUP(B1814,'REGISTRO ABONOS'!$B$8:$BC$10041,54,0)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hidden="1" x14ac:dyDescent="0.2">
      <c r="B1815" s="31">
        <v>1806</v>
      </c>
      <c r="J1815">
        <f t="shared" si="33"/>
        <v>105000</v>
      </c>
      <c r="K1815" t="e">
        <f>VLOOKUP(B1815,'REGISTRO ABONOS'!$B$8:$BC$10041,54,0)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hidden="1" x14ac:dyDescent="0.2">
      <c r="B1816" s="31">
        <v>1807</v>
      </c>
      <c r="J1816">
        <f t="shared" si="33"/>
        <v>105000</v>
      </c>
      <c r="K1816" t="e">
        <f>VLOOKUP(B1816,'REGISTRO ABONOS'!$B$8:$BC$10041,54,0)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hidden="1" x14ac:dyDescent="0.2">
      <c r="B1817" s="31">
        <v>1808</v>
      </c>
      <c r="J1817">
        <f t="shared" si="33"/>
        <v>105000</v>
      </c>
      <c r="K1817" t="e">
        <f>VLOOKUP(B1817,'REGISTRO ABONOS'!$B$8:$BC$10041,54,0)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hidden="1" x14ac:dyDescent="0.2">
      <c r="B1818" s="31">
        <v>1809</v>
      </c>
      <c r="J1818">
        <f t="shared" si="33"/>
        <v>105000</v>
      </c>
      <c r="K1818" t="e">
        <f>VLOOKUP(B1818,'REGISTRO ABONOS'!$B$8:$BC$10041,54,0)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hidden="1" x14ac:dyDescent="0.2">
      <c r="B1819" s="31">
        <v>1810</v>
      </c>
      <c r="J1819">
        <f t="shared" si="33"/>
        <v>105000</v>
      </c>
      <c r="K1819" t="e">
        <f>VLOOKUP(B1819,'REGISTRO ABONOS'!$B$8:$BC$10041,54,0)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hidden="1" x14ac:dyDescent="0.2">
      <c r="B1820" s="31">
        <v>1811</v>
      </c>
      <c r="J1820">
        <f t="shared" si="33"/>
        <v>105000</v>
      </c>
      <c r="K1820" t="e">
        <f>VLOOKUP(B1820,'REGISTRO ABONOS'!$B$8:$BC$10041,54,0)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hidden="1" x14ac:dyDescent="0.2">
      <c r="B1821" s="31">
        <v>1812</v>
      </c>
      <c r="J1821">
        <f t="shared" si="33"/>
        <v>105000</v>
      </c>
      <c r="K1821" t="e">
        <f>VLOOKUP(B1821,'REGISTRO ABONOS'!$B$8:$BC$10041,54,0)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hidden="1" x14ac:dyDescent="0.2">
      <c r="B1822" s="31">
        <v>1813</v>
      </c>
      <c r="J1822">
        <f t="shared" si="33"/>
        <v>105000</v>
      </c>
      <c r="K1822" t="e">
        <f>VLOOKUP(B1822,'REGISTRO ABONOS'!$B$8:$BC$10041,54,0)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hidden="1" x14ac:dyDescent="0.2">
      <c r="B1823" s="31">
        <v>1814</v>
      </c>
      <c r="J1823">
        <f t="shared" si="33"/>
        <v>105000</v>
      </c>
      <c r="K1823" t="e">
        <f>VLOOKUP(B1823,'REGISTRO ABONOS'!$B$8:$BC$10041,54,0)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hidden="1" x14ac:dyDescent="0.2">
      <c r="B1824" s="31">
        <v>1815</v>
      </c>
      <c r="J1824">
        <f t="shared" si="33"/>
        <v>105000</v>
      </c>
      <c r="K1824" t="e">
        <f>VLOOKUP(B1824,'REGISTRO ABONOS'!$B$8:$BC$10041,54,0)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hidden="1" x14ac:dyDescent="0.2">
      <c r="B1825" s="31">
        <v>1816</v>
      </c>
      <c r="J1825">
        <f t="shared" si="33"/>
        <v>105000</v>
      </c>
      <c r="K1825" t="e">
        <f>VLOOKUP(B1825,'REGISTRO ABONOS'!$B$8:$BC$10041,54,0)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hidden="1" x14ac:dyDescent="0.2">
      <c r="B1826" s="31">
        <v>1817</v>
      </c>
      <c r="J1826">
        <f t="shared" si="33"/>
        <v>105000</v>
      </c>
      <c r="K1826" t="e">
        <f>VLOOKUP(B1826,'REGISTRO ABONOS'!$B$8:$BC$10041,54,0)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hidden="1" x14ac:dyDescent="0.2">
      <c r="B1827" s="31">
        <v>1818</v>
      </c>
      <c r="J1827">
        <f t="shared" si="33"/>
        <v>105000</v>
      </c>
      <c r="K1827" t="e">
        <f>VLOOKUP(B1827,'REGISTRO ABONOS'!$B$8:$BC$10041,54,0)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hidden="1" x14ac:dyDescent="0.2">
      <c r="B1828" s="31">
        <v>1819</v>
      </c>
      <c r="J1828">
        <f t="shared" si="33"/>
        <v>105000</v>
      </c>
      <c r="K1828" t="e">
        <f>VLOOKUP(B1828,'REGISTRO ABONOS'!$B$8:$BC$10041,54,0)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hidden="1" x14ac:dyDescent="0.2">
      <c r="B1829" s="31">
        <v>1820</v>
      </c>
      <c r="J1829">
        <f t="shared" si="33"/>
        <v>105000</v>
      </c>
      <c r="K1829" t="e">
        <f>VLOOKUP(B1829,'REGISTRO ABONOS'!$B$8:$BC$10041,54,0)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hidden="1" x14ac:dyDescent="0.2">
      <c r="B1830" s="31">
        <v>1821</v>
      </c>
      <c r="J1830">
        <f t="shared" si="33"/>
        <v>105000</v>
      </c>
      <c r="K1830" t="e">
        <f>VLOOKUP(B1830,'REGISTRO ABONOS'!$B$8:$BC$10041,54,0)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hidden="1" x14ac:dyDescent="0.2">
      <c r="B1831" s="31">
        <v>1822</v>
      </c>
      <c r="J1831">
        <f t="shared" si="33"/>
        <v>105000</v>
      </c>
      <c r="K1831" t="e">
        <f>VLOOKUP(B1831,'REGISTRO ABONOS'!$B$8:$BC$10041,54,0)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hidden="1" x14ac:dyDescent="0.2">
      <c r="B1832" s="31">
        <v>1823</v>
      </c>
      <c r="J1832">
        <f t="shared" si="33"/>
        <v>105000</v>
      </c>
      <c r="K1832" t="e">
        <f>VLOOKUP(B1832,'REGISTRO ABONOS'!$B$8:$BC$10041,54,0)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hidden="1" x14ac:dyDescent="0.2">
      <c r="B1833" s="31">
        <v>1824</v>
      </c>
      <c r="J1833">
        <f t="shared" si="33"/>
        <v>105000</v>
      </c>
      <c r="K1833" t="e">
        <f>VLOOKUP(B1833,'REGISTRO ABONOS'!$B$8:$BC$10041,54,0)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hidden="1" x14ac:dyDescent="0.2">
      <c r="B1834" s="31">
        <v>1825</v>
      </c>
      <c r="J1834">
        <f t="shared" si="33"/>
        <v>105000</v>
      </c>
      <c r="K1834" t="e">
        <f>VLOOKUP(B1834,'REGISTRO ABONOS'!$B$8:$BC$10041,54,0)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hidden="1" x14ac:dyDescent="0.2">
      <c r="B1835" s="31">
        <v>1826</v>
      </c>
      <c r="J1835">
        <f t="shared" si="33"/>
        <v>105000</v>
      </c>
      <c r="K1835" t="e">
        <f>VLOOKUP(B1835,'REGISTRO ABONOS'!$B$8:$BC$10041,54,0)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hidden="1" x14ac:dyDescent="0.2">
      <c r="B1836" s="31">
        <v>1827</v>
      </c>
      <c r="J1836">
        <f t="shared" si="33"/>
        <v>105000</v>
      </c>
      <c r="K1836" t="e">
        <f>VLOOKUP(B1836,'REGISTRO ABONOS'!$B$8:$BC$10041,54,0)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3"/>
        <v>105000</v>
      </c>
      <c r="K1837" t="e">
        <f>VLOOKUP(B1837,'REGISTRO ABONOS'!$B$8:$BC$10041,54,0)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hidden="1" x14ac:dyDescent="0.2">
      <c r="B1838" s="31">
        <v>1829</v>
      </c>
      <c r="J1838">
        <f t="shared" si="33"/>
        <v>105000</v>
      </c>
      <c r="K1838" t="e">
        <f>VLOOKUP(B1838,'REGISTRO ABONOS'!$B$8:$BC$10041,54,0)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hidden="1" x14ac:dyDescent="0.2">
      <c r="B1839" s="31">
        <v>1830</v>
      </c>
      <c r="J1839">
        <f t="shared" si="33"/>
        <v>105000</v>
      </c>
      <c r="K1839" t="e">
        <f>VLOOKUP(B1839,'REGISTRO ABONOS'!$B$8:$BC$10041,54,0)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hidden="1" x14ac:dyDescent="0.2">
      <c r="B1840" s="31">
        <v>1831</v>
      </c>
      <c r="J1840">
        <f t="shared" si="33"/>
        <v>105000</v>
      </c>
      <c r="K1840" t="e">
        <f>VLOOKUP(B1840,'REGISTRO ABONOS'!$B$8:$BC$10041,54,0)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hidden="1" x14ac:dyDescent="0.2">
      <c r="B1841" s="31">
        <v>1832</v>
      </c>
      <c r="J1841">
        <f t="shared" si="33"/>
        <v>105000</v>
      </c>
      <c r="K1841" t="e">
        <f>VLOOKUP(B1841,'REGISTRO ABONOS'!$B$8:$BC$10041,54,0)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hidden="1" x14ac:dyDescent="0.2">
      <c r="B1842" s="31">
        <v>1833</v>
      </c>
      <c r="J1842">
        <f t="shared" si="33"/>
        <v>105000</v>
      </c>
      <c r="K1842" t="e">
        <f>VLOOKUP(B1842,'REGISTRO ABONOS'!$B$8:$BC$10041,54,0)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hidden="1" x14ac:dyDescent="0.2">
      <c r="B1843" s="31">
        <v>1834</v>
      </c>
      <c r="J1843">
        <f t="shared" si="33"/>
        <v>105000</v>
      </c>
      <c r="K1843" t="e">
        <f>VLOOKUP(B1843,'REGISTRO ABONOS'!$B$8:$BC$10041,54,0)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hidden="1" x14ac:dyDescent="0.2">
      <c r="B1844" s="31">
        <v>1835</v>
      </c>
      <c r="J1844">
        <f t="shared" si="33"/>
        <v>105000</v>
      </c>
      <c r="K1844" t="e">
        <f>VLOOKUP(B1844,'REGISTRO ABONOS'!$B$8:$BC$10041,54,0)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hidden="1" x14ac:dyDescent="0.2">
      <c r="B1845" s="31">
        <v>1836</v>
      </c>
      <c r="J1845">
        <f t="shared" si="33"/>
        <v>105000</v>
      </c>
      <c r="K1845" t="e">
        <f>VLOOKUP(B1845,'REGISTRO ABONOS'!$B$8:$BC$10041,54,0)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hidden="1" x14ac:dyDescent="0.2">
      <c r="B1846" s="31">
        <v>1837</v>
      </c>
      <c r="J1846">
        <f t="shared" si="33"/>
        <v>105000</v>
      </c>
      <c r="K1846" t="e">
        <f>VLOOKUP(B1846,'REGISTRO ABONOS'!$B$8:$BC$10041,54,0)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hidden="1" x14ac:dyDescent="0.2">
      <c r="B1847" s="31">
        <v>1838</v>
      </c>
      <c r="J1847">
        <f t="shared" si="33"/>
        <v>105000</v>
      </c>
      <c r="K1847" t="e">
        <f>VLOOKUP(B1847,'REGISTRO ABONOS'!$B$8:$BC$10041,54,0)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hidden="1" x14ac:dyDescent="0.2">
      <c r="B1848" s="31">
        <v>1839</v>
      </c>
      <c r="J1848">
        <f t="shared" si="33"/>
        <v>105000</v>
      </c>
      <c r="K1848" t="e">
        <f>VLOOKUP(B1848,'REGISTRO ABONOS'!$B$8:$BC$10041,54,0)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hidden="1" x14ac:dyDescent="0.2">
      <c r="B1849" s="31">
        <v>1840</v>
      </c>
      <c r="J1849">
        <f t="shared" si="33"/>
        <v>105000</v>
      </c>
      <c r="K1849" t="e">
        <f>VLOOKUP(B1849,'REGISTRO ABONOS'!$B$8:$BC$10041,54,0)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hidden="1" x14ac:dyDescent="0.2">
      <c r="B1850" s="31">
        <v>1841</v>
      </c>
      <c r="J1850">
        <f t="shared" si="33"/>
        <v>105000</v>
      </c>
      <c r="K1850" t="e">
        <f>VLOOKUP(B1850,'REGISTRO ABONOS'!$B$8:$BC$10041,54,0)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hidden="1" x14ac:dyDescent="0.2">
      <c r="B1851" s="31">
        <v>1842</v>
      </c>
      <c r="J1851">
        <f t="shared" si="33"/>
        <v>105000</v>
      </c>
      <c r="K1851" t="e">
        <f>VLOOKUP(B1851,'REGISTRO ABONOS'!$B$8:$BC$10041,54,0)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hidden="1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ABONOS'!$B$8:$BC$10041,54,0)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hidden="1" x14ac:dyDescent="0.2">
      <c r="B1853" s="31">
        <v>1844</v>
      </c>
      <c r="J1853">
        <f t="shared" si="34"/>
        <v>105000</v>
      </c>
      <c r="K1853" t="e">
        <f>VLOOKUP(B1853,'REGISTRO ABONOS'!$B$8:$BC$10041,54,0)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hidden="1" x14ac:dyDescent="0.2">
      <c r="B1854" s="31">
        <v>1845</v>
      </c>
      <c r="J1854">
        <f t="shared" si="34"/>
        <v>105000</v>
      </c>
      <c r="K1854" t="e">
        <f>VLOOKUP(B1854,'REGISTRO ABONOS'!$B$8:$BC$10041,54,0)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hidden="1" x14ac:dyDescent="0.2">
      <c r="B1855" s="31">
        <v>1846</v>
      </c>
      <c r="J1855">
        <f t="shared" si="34"/>
        <v>105000</v>
      </c>
      <c r="K1855" t="e">
        <f>VLOOKUP(B1855,'REGISTRO ABONOS'!$B$8:$BC$10041,54,0)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hidden="1" x14ac:dyDescent="0.2">
      <c r="B1856" s="31">
        <v>1847</v>
      </c>
      <c r="J1856">
        <f t="shared" si="34"/>
        <v>105000</v>
      </c>
      <c r="K1856" t="e">
        <f>VLOOKUP(B1856,'REGISTRO ABONOS'!$B$8:$BC$10041,54,0)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hidden="1" x14ac:dyDescent="0.2">
      <c r="B1857" s="31">
        <v>1848</v>
      </c>
      <c r="J1857">
        <f t="shared" si="34"/>
        <v>105000</v>
      </c>
      <c r="K1857" t="e">
        <f>VLOOKUP(B1857,'REGISTRO ABONOS'!$B$8:$BC$10041,54,0)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hidden="1" x14ac:dyDescent="0.2">
      <c r="B1858" s="31">
        <v>1849</v>
      </c>
      <c r="J1858">
        <f t="shared" si="34"/>
        <v>105000</v>
      </c>
      <c r="K1858" t="e">
        <f>VLOOKUP(B1858,'REGISTRO ABONOS'!$B$8:$BC$10041,54,0)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hidden="1" x14ac:dyDescent="0.2">
      <c r="B1859" s="31">
        <v>1850</v>
      </c>
      <c r="J1859">
        <f t="shared" si="34"/>
        <v>105000</v>
      </c>
      <c r="K1859" t="e">
        <f>VLOOKUP(B1859,'REGISTRO ABONOS'!$B$8:$BC$10041,54,0)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hidden="1" x14ac:dyDescent="0.2">
      <c r="B1860" s="31">
        <v>1851</v>
      </c>
      <c r="J1860">
        <f t="shared" si="34"/>
        <v>105000</v>
      </c>
      <c r="K1860" t="e">
        <f>VLOOKUP(B1860,'REGISTRO ABONOS'!$B$8:$BC$10041,54,0)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hidden="1" x14ac:dyDescent="0.2">
      <c r="B1861" s="31">
        <v>1852</v>
      </c>
      <c r="J1861">
        <f t="shared" si="34"/>
        <v>105000</v>
      </c>
      <c r="K1861" t="e">
        <f>VLOOKUP(B1861,'REGISTRO ABONOS'!$B$8:$BC$10041,54,0)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hidden="1" x14ac:dyDescent="0.2">
      <c r="B1862" s="31">
        <v>1853</v>
      </c>
      <c r="J1862">
        <f t="shared" si="34"/>
        <v>105000</v>
      </c>
      <c r="K1862" t="e">
        <f>VLOOKUP(B1862,'REGISTRO ABONOS'!$B$8:$BC$10041,54,0)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hidden="1" x14ac:dyDescent="0.2">
      <c r="B1863" s="31">
        <v>1854</v>
      </c>
      <c r="J1863">
        <f t="shared" si="34"/>
        <v>105000</v>
      </c>
      <c r="K1863" t="e">
        <f>VLOOKUP(B1863,'REGISTRO ABONOS'!$B$8:$BC$10041,54,0)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hidden="1" x14ac:dyDescent="0.2">
      <c r="B1864" s="31">
        <v>1855</v>
      </c>
      <c r="J1864">
        <f t="shared" si="34"/>
        <v>105000</v>
      </c>
      <c r="K1864" t="e">
        <f>VLOOKUP(B1864,'REGISTRO ABONOS'!$B$8:$BC$10041,54,0)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hidden="1" x14ac:dyDescent="0.2">
      <c r="B1865" s="31">
        <v>1856</v>
      </c>
      <c r="J1865">
        <f t="shared" si="34"/>
        <v>105000</v>
      </c>
      <c r="K1865" t="e">
        <f>VLOOKUP(B1865,'REGISTRO ABONOS'!$B$8:$BC$10041,54,0)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hidden="1" x14ac:dyDescent="0.2">
      <c r="B1866" s="31">
        <v>1857</v>
      </c>
      <c r="J1866">
        <f t="shared" si="34"/>
        <v>105000</v>
      </c>
      <c r="K1866" t="e">
        <f>VLOOKUP(B1866,'REGISTRO ABONOS'!$B$8:$BC$10041,54,0)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hidden="1" x14ac:dyDescent="0.2">
      <c r="B1867" s="31">
        <v>1858</v>
      </c>
      <c r="J1867">
        <f t="shared" si="34"/>
        <v>105000</v>
      </c>
      <c r="K1867" t="e">
        <f>VLOOKUP(B1867,'REGISTRO ABONOS'!$B$8:$BC$10041,54,0)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hidden="1" x14ac:dyDescent="0.2">
      <c r="B1868" s="31">
        <v>1859</v>
      </c>
      <c r="J1868">
        <f t="shared" si="34"/>
        <v>105000</v>
      </c>
      <c r="K1868" t="e">
        <f>VLOOKUP(B1868,'REGISTRO ABONOS'!$B$8:$BC$10041,54,0)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hidden="1" x14ac:dyDescent="0.2">
      <c r="B1869" s="31">
        <v>1860</v>
      </c>
      <c r="J1869">
        <f t="shared" si="34"/>
        <v>105000</v>
      </c>
      <c r="K1869" t="e">
        <f>VLOOKUP(B1869,'REGISTRO ABONOS'!$B$8:$BC$10041,54,0)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hidden="1" x14ac:dyDescent="0.2">
      <c r="B1870" s="31">
        <v>1861</v>
      </c>
      <c r="J1870">
        <f t="shared" si="34"/>
        <v>105000</v>
      </c>
      <c r="K1870" t="e">
        <f>VLOOKUP(B1870,'REGISTRO ABONOS'!$B$8:$BC$10041,54,0)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hidden="1" x14ac:dyDescent="0.2">
      <c r="B1871" s="31">
        <v>1862</v>
      </c>
      <c r="J1871">
        <f t="shared" si="34"/>
        <v>105000</v>
      </c>
      <c r="K1871" t="e">
        <f>VLOOKUP(B1871,'REGISTRO ABONOS'!$B$8:$BC$10041,54,0)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hidden="1" x14ac:dyDescent="0.2">
      <c r="B1872" s="31">
        <v>1863</v>
      </c>
      <c r="J1872">
        <f t="shared" si="34"/>
        <v>105000</v>
      </c>
      <c r="K1872" t="e">
        <f>VLOOKUP(B1872,'REGISTRO ABONOS'!$B$8:$BC$10041,54,0)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hidden="1" x14ac:dyDescent="0.2">
      <c r="B1873" s="31">
        <v>1864</v>
      </c>
      <c r="J1873">
        <f t="shared" si="34"/>
        <v>105000</v>
      </c>
      <c r="K1873" t="e">
        <f>VLOOKUP(B1873,'REGISTRO ABONOS'!$B$8:$BC$10041,54,0)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hidden="1" x14ac:dyDescent="0.2">
      <c r="B1874" s="31">
        <v>1865</v>
      </c>
      <c r="J1874">
        <f t="shared" si="34"/>
        <v>105000</v>
      </c>
      <c r="K1874" t="e">
        <f>VLOOKUP(B1874,'REGISTRO ABONOS'!$B$8:$BC$10041,54,0)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hidden="1" x14ac:dyDescent="0.2">
      <c r="B1875" s="31">
        <v>1866</v>
      </c>
      <c r="J1875">
        <f t="shared" si="34"/>
        <v>105000</v>
      </c>
      <c r="K1875" t="e">
        <f>VLOOKUP(B1875,'REGISTRO ABONOS'!$B$8:$BC$10041,54,0)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hidden="1" x14ac:dyDescent="0.2">
      <c r="B1876" s="31">
        <v>1867</v>
      </c>
      <c r="J1876">
        <f t="shared" si="34"/>
        <v>105000</v>
      </c>
      <c r="K1876" t="e">
        <f>VLOOKUP(B1876,'REGISTRO ABONOS'!$B$8:$BC$10041,54,0)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hidden="1" x14ac:dyDescent="0.2">
      <c r="B1877" s="31">
        <v>1868</v>
      </c>
      <c r="J1877">
        <f t="shared" si="34"/>
        <v>105000</v>
      </c>
      <c r="K1877" t="e">
        <f>VLOOKUP(B1877,'REGISTRO ABONOS'!$B$8:$BC$10041,54,0)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hidden="1" x14ac:dyDescent="0.2">
      <c r="B1878" s="31">
        <v>1869</v>
      </c>
      <c r="J1878">
        <f t="shared" si="34"/>
        <v>105000</v>
      </c>
      <c r="K1878" t="e">
        <f>VLOOKUP(B1878,'REGISTRO ABONOS'!$B$8:$BC$10041,54,0)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hidden="1" x14ac:dyDescent="0.2">
      <c r="B1879" s="31">
        <v>1870</v>
      </c>
      <c r="J1879">
        <f t="shared" si="34"/>
        <v>105000</v>
      </c>
      <c r="K1879" t="e">
        <f>VLOOKUP(B1879,'REGISTRO ABONOS'!$B$8:$BC$10041,54,0)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hidden="1" x14ac:dyDescent="0.2">
      <c r="B1880" s="31">
        <v>1871</v>
      </c>
      <c r="J1880">
        <f t="shared" si="34"/>
        <v>105000</v>
      </c>
      <c r="K1880" t="e">
        <f>VLOOKUP(B1880,'REGISTRO ABONOS'!$B$8:$BC$10041,54,0)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hidden="1" x14ac:dyDescent="0.2">
      <c r="B1881" s="31">
        <v>1872</v>
      </c>
      <c r="J1881">
        <f t="shared" si="34"/>
        <v>105000</v>
      </c>
      <c r="K1881" t="e">
        <f>VLOOKUP(B1881,'REGISTRO ABONOS'!$B$8:$BC$10041,54,0)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hidden="1" x14ac:dyDescent="0.2">
      <c r="B1882" s="31">
        <v>1873</v>
      </c>
      <c r="J1882">
        <f t="shared" si="34"/>
        <v>105000</v>
      </c>
      <c r="K1882" t="e">
        <f>VLOOKUP(B1882,'REGISTRO ABONOS'!$B$8:$BC$10041,54,0)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hidden="1" x14ac:dyDescent="0.2">
      <c r="B1883" s="31">
        <v>1874</v>
      </c>
      <c r="J1883">
        <f t="shared" si="34"/>
        <v>105000</v>
      </c>
      <c r="K1883" t="e">
        <f>VLOOKUP(B1883,'REGISTRO ABONOS'!$B$8:$BC$10041,54,0)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hidden="1" x14ac:dyDescent="0.2">
      <c r="B1884" s="31">
        <v>1875</v>
      </c>
      <c r="J1884">
        <f t="shared" si="34"/>
        <v>105000</v>
      </c>
      <c r="K1884" t="e">
        <f>VLOOKUP(B1884,'REGISTRO ABONOS'!$B$8:$BC$10041,54,0)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hidden="1" x14ac:dyDescent="0.2">
      <c r="B1885" s="31">
        <v>1876</v>
      </c>
      <c r="J1885">
        <f t="shared" si="34"/>
        <v>105000</v>
      </c>
      <c r="K1885" t="e">
        <f>VLOOKUP(B1885,'REGISTRO ABONOS'!$B$8:$BC$10041,54,0)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hidden="1" x14ac:dyDescent="0.2">
      <c r="B1886" s="31">
        <v>1877</v>
      </c>
      <c r="J1886">
        <f t="shared" si="34"/>
        <v>105000</v>
      </c>
      <c r="K1886" t="e">
        <f>VLOOKUP(B1886,'REGISTRO ABONOS'!$B$8:$BC$10041,54,0)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hidden="1" x14ac:dyDescent="0.2">
      <c r="B1887" s="31">
        <v>1878</v>
      </c>
      <c r="J1887">
        <f t="shared" si="34"/>
        <v>105000</v>
      </c>
      <c r="K1887" t="e">
        <f>VLOOKUP(B1887,'REGISTRO ABONOS'!$B$8:$BC$10041,54,0)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hidden="1" x14ac:dyDescent="0.2">
      <c r="B1888" s="31">
        <v>1879</v>
      </c>
      <c r="J1888">
        <f t="shared" si="34"/>
        <v>105000</v>
      </c>
      <c r="K1888" t="e">
        <f>VLOOKUP(B1888,'REGISTRO ABONOS'!$B$8:$BC$10041,54,0)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hidden="1" x14ac:dyDescent="0.2">
      <c r="B1889" s="31">
        <v>1880</v>
      </c>
      <c r="J1889">
        <f t="shared" si="34"/>
        <v>105000</v>
      </c>
      <c r="K1889" t="e">
        <f>VLOOKUP(B1889,'REGISTRO ABONOS'!$B$8:$BC$10041,54,0)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hidden="1" x14ac:dyDescent="0.2">
      <c r="B1890" s="31">
        <v>1881</v>
      </c>
      <c r="J1890">
        <f t="shared" si="34"/>
        <v>105000</v>
      </c>
      <c r="K1890" t="e">
        <f>VLOOKUP(B1890,'REGISTRO ABONOS'!$B$8:$BC$10041,54,0)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hidden="1" x14ac:dyDescent="0.2">
      <c r="B1891" s="31">
        <v>1882</v>
      </c>
      <c r="J1891">
        <f t="shared" si="34"/>
        <v>105000</v>
      </c>
      <c r="K1891" t="e">
        <f>VLOOKUP(B1891,'REGISTRO ABONOS'!$B$8:$BC$10041,54,0)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hidden="1" x14ac:dyDescent="0.2">
      <c r="B1892" s="31">
        <v>1883</v>
      </c>
      <c r="J1892">
        <f t="shared" si="34"/>
        <v>105000</v>
      </c>
      <c r="K1892" t="e">
        <f>VLOOKUP(B1892,'REGISTRO ABONOS'!$B$8:$BC$10041,54,0)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hidden="1" x14ac:dyDescent="0.2">
      <c r="B1893" s="31">
        <v>1884</v>
      </c>
      <c r="J1893">
        <f t="shared" si="34"/>
        <v>105000</v>
      </c>
      <c r="K1893" t="e">
        <f>VLOOKUP(B1893,'REGISTRO ABONOS'!$B$8:$BC$10041,54,0)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hidden="1" x14ac:dyDescent="0.2">
      <c r="B1894" s="31">
        <v>1885</v>
      </c>
      <c r="J1894">
        <f t="shared" si="34"/>
        <v>105000</v>
      </c>
      <c r="K1894" t="e">
        <f>VLOOKUP(B1894,'REGISTRO ABONOS'!$B$8:$BC$10041,54,0)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hidden="1" x14ac:dyDescent="0.2">
      <c r="B1895" s="31">
        <v>1886</v>
      </c>
      <c r="J1895">
        <f t="shared" si="34"/>
        <v>105000</v>
      </c>
      <c r="K1895" t="e">
        <f>VLOOKUP(B1895,'REGISTRO ABONOS'!$B$8:$BC$10041,54,0)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hidden="1" x14ac:dyDescent="0.2">
      <c r="B1896" s="31">
        <v>1887</v>
      </c>
      <c r="J1896">
        <f t="shared" si="34"/>
        <v>105000</v>
      </c>
      <c r="K1896" t="e">
        <f>VLOOKUP(B1896,'REGISTRO ABONOS'!$B$8:$BC$10041,54,0)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hidden="1" x14ac:dyDescent="0.2">
      <c r="B1897" s="31">
        <v>1888</v>
      </c>
      <c r="J1897">
        <f t="shared" si="34"/>
        <v>105000</v>
      </c>
      <c r="K1897" t="e">
        <f>VLOOKUP(B1897,'REGISTRO ABONOS'!$B$8:$BC$10041,54,0)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hidden="1" x14ac:dyDescent="0.2">
      <c r="B1898" s="31">
        <v>1889</v>
      </c>
      <c r="J1898">
        <f t="shared" si="34"/>
        <v>105000</v>
      </c>
      <c r="K1898" t="e">
        <f>VLOOKUP(B1898,'REGISTRO ABONOS'!$B$8:$BC$10041,54,0)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hidden="1" x14ac:dyDescent="0.2">
      <c r="B1899" s="31">
        <v>1890</v>
      </c>
      <c r="J1899">
        <f t="shared" si="34"/>
        <v>105000</v>
      </c>
      <c r="K1899" t="e">
        <f>VLOOKUP(B1899,'REGISTRO ABONOS'!$B$8:$BC$10041,54,0)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hidden="1" x14ac:dyDescent="0.2">
      <c r="B1900" s="31">
        <v>1891</v>
      </c>
      <c r="J1900">
        <f t="shared" si="34"/>
        <v>105000</v>
      </c>
      <c r="K1900" t="e">
        <f>VLOOKUP(B1900,'REGISTRO ABONOS'!$B$8:$BC$10041,54,0)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hidden="1" x14ac:dyDescent="0.2">
      <c r="B1901" s="31">
        <v>1892</v>
      </c>
      <c r="J1901">
        <f t="shared" si="34"/>
        <v>105000</v>
      </c>
      <c r="K1901" t="e">
        <f>VLOOKUP(B1901,'REGISTRO ABONOS'!$B$8:$BC$10041,54,0)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hidden="1" x14ac:dyDescent="0.2">
      <c r="B1902" s="31">
        <v>1893</v>
      </c>
      <c r="J1902">
        <f t="shared" si="34"/>
        <v>105000</v>
      </c>
      <c r="K1902" t="e">
        <f>VLOOKUP(B1902,'REGISTRO ABONOS'!$B$8:$BC$10041,54,0)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hidden="1" x14ac:dyDescent="0.2">
      <c r="B1903" s="31">
        <v>1894</v>
      </c>
      <c r="J1903">
        <f t="shared" si="34"/>
        <v>105000</v>
      </c>
      <c r="K1903" t="e">
        <f>VLOOKUP(B1903,'REGISTRO ABONOS'!$B$8:$BC$10041,54,0)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hidden="1" x14ac:dyDescent="0.2">
      <c r="B1904" s="31">
        <v>1895</v>
      </c>
      <c r="J1904">
        <f t="shared" si="34"/>
        <v>105000</v>
      </c>
      <c r="K1904" t="e">
        <f>VLOOKUP(B1904,'REGISTRO ABONOS'!$B$8:$BC$10041,54,0)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hidden="1" x14ac:dyDescent="0.2">
      <c r="B1905" s="31">
        <v>1896</v>
      </c>
      <c r="J1905">
        <f t="shared" si="34"/>
        <v>105000</v>
      </c>
      <c r="K1905" t="e">
        <f>VLOOKUP(B1905,'REGISTRO ABONOS'!$B$8:$BC$10041,54,0)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hidden="1" x14ac:dyDescent="0.2">
      <c r="B1906" s="31">
        <v>1897</v>
      </c>
      <c r="J1906">
        <f t="shared" si="34"/>
        <v>105000</v>
      </c>
      <c r="K1906" t="e">
        <f>VLOOKUP(B1906,'REGISTRO ABONOS'!$B$8:$BC$10041,54,0)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hidden="1" x14ac:dyDescent="0.2">
      <c r="B1907" s="31">
        <v>1898</v>
      </c>
      <c r="J1907">
        <f t="shared" si="34"/>
        <v>105000</v>
      </c>
      <c r="K1907" t="e">
        <f>VLOOKUP(B1907,'REGISTRO ABONOS'!$B$8:$BC$10041,54,0)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hidden="1" x14ac:dyDescent="0.2">
      <c r="B1908" s="31">
        <v>1899</v>
      </c>
      <c r="J1908">
        <f t="shared" si="34"/>
        <v>105000</v>
      </c>
      <c r="K1908" t="e">
        <f>VLOOKUP(B1908,'REGISTRO ABONOS'!$B$8:$BC$10041,54,0)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hidden="1" x14ac:dyDescent="0.2">
      <c r="B1909" s="31">
        <v>1900</v>
      </c>
      <c r="J1909">
        <f t="shared" si="34"/>
        <v>105000</v>
      </c>
      <c r="K1909" t="e">
        <f>VLOOKUP(B1909,'REGISTRO ABONOS'!$B$8:$BC$10041,54,0)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hidden="1" x14ac:dyDescent="0.2">
      <c r="B1910" s="31">
        <v>1901</v>
      </c>
      <c r="J1910">
        <f t="shared" si="34"/>
        <v>105000</v>
      </c>
      <c r="K1910" t="e">
        <f>VLOOKUP(B1910,'REGISTRO ABONOS'!$B$8:$BC$10041,54,0)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hidden="1" x14ac:dyDescent="0.2">
      <c r="B1911" s="31">
        <v>1902</v>
      </c>
      <c r="J1911">
        <f t="shared" si="34"/>
        <v>105000</v>
      </c>
      <c r="K1911" t="e">
        <f>VLOOKUP(B1911,'REGISTRO ABONOS'!$B$8:$BC$10041,54,0)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hidden="1" x14ac:dyDescent="0.2">
      <c r="B1912" s="31">
        <v>1903</v>
      </c>
      <c r="J1912">
        <f t="shared" si="34"/>
        <v>105000</v>
      </c>
      <c r="K1912" t="e">
        <f>VLOOKUP(B1912,'REGISTRO ABONOS'!$B$8:$BC$10041,54,0)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hidden="1" x14ac:dyDescent="0.2">
      <c r="B1913" s="31">
        <v>1904</v>
      </c>
      <c r="J1913">
        <f t="shared" si="34"/>
        <v>105000</v>
      </c>
      <c r="K1913" t="e">
        <f>VLOOKUP(B1913,'REGISTRO ABONOS'!$B$8:$BC$10041,54,0)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hidden="1" x14ac:dyDescent="0.2">
      <c r="B1914" s="31">
        <v>1905</v>
      </c>
      <c r="J1914">
        <f t="shared" si="34"/>
        <v>105000</v>
      </c>
      <c r="K1914" t="e">
        <f>VLOOKUP(B1914,'REGISTRO ABONOS'!$B$8:$BC$10041,54,0)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hidden="1" x14ac:dyDescent="0.2">
      <c r="B1915" s="31">
        <v>1906</v>
      </c>
      <c r="J1915">
        <f t="shared" si="34"/>
        <v>105000</v>
      </c>
      <c r="K1915" t="e">
        <f>VLOOKUP(B1915,'REGISTRO ABONOS'!$B$8:$BC$10041,54,0)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hidden="1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ABONOS'!$B$8:$BC$10041,54,0)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hidden="1" x14ac:dyDescent="0.2">
      <c r="B1917" s="31">
        <v>1908</v>
      </c>
      <c r="J1917">
        <f t="shared" si="35"/>
        <v>105000</v>
      </c>
      <c r="K1917" t="e">
        <f>VLOOKUP(B1917,'REGISTRO ABONOS'!$B$8:$BC$10041,54,0)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hidden="1" x14ac:dyDescent="0.2">
      <c r="B1918" s="31">
        <v>1909</v>
      </c>
      <c r="J1918">
        <f t="shared" si="35"/>
        <v>105000</v>
      </c>
      <c r="K1918" t="e">
        <f>VLOOKUP(B1918,'REGISTRO ABONOS'!$B$8:$BC$10041,54,0)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hidden="1" x14ac:dyDescent="0.2">
      <c r="B1919" s="31">
        <v>1910</v>
      </c>
      <c r="J1919">
        <f t="shared" si="35"/>
        <v>105000</v>
      </c>
      <c r="K1919" t="e">
        <f>VLOOKUP(B1919,'REGISTRO ABONOS'!$B$8:$BC$10041,54,0)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hidden="1" x14ac:dyDescent="0.2">
      <c r="B1920" s="31">
        <v>1911</v>
      </c>
      <c r="J1920">
        <f t="shared" si="35"/>
        <v>105000</v>
      </c>
      <c r="K1920" t="e">
        <f>VLOOKUP(B1920,'REGISTRO ABONOS'!$B$8:$BC$10041,54,0)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hidden="1" x14ac:dyDescent="0.2">
      <c r="B1921" s="31">
        <v>1912</v>
      </c>
      <c r="J1921">
        <f t="shared" si="35"/>
        <v>105000</v>
      </c>
      <c r="K1921" t="e">
        <f>VLOOKUP(B1921,'REGISTRO ABONOS'!$B$8:$BC$10041,54,0)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hidden="1" x14ac:dyDescent="0.2">
      <c r="B1922" s="31">
        <v>1913</v>
      </c>
      <c r="J1922">
        <f t="shared" si="35"/>
        <v>105000</v>
      </c>
      <c r="K1922" t="e">
        <f>VLOOKUP(B1922,'REGISTRO ABONOS'!$B$8:$BC$10041,54,0)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hidden="1" x14ac:dyDescent="0.2">
      <c r="B1923" s="31">
        <v>1914</v>
      </c>
      <c r="J1923">
        <f t="shared" si="35"/>
        <v>105000</v>
      </c>
      <c r="K1923" t="e">
        <f>VLOOKUP(B1923,'REGISTRO ABONOS'!$B$8:$BC$10041,54,0)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hidden="1" x14ac:dyDescent="0.2">
      <c r="B1924" s="31">
        <v>1915</v>
      </c>
      <c r="J1924">
        <f t="shared" si="35"/>
        <v>105000</v>
      </c>
      <c r="K1924" t="e">
        <f>VLOOKUP(B1924,'REGISTRO ABONOS'!$B$8:$BC$10041,54,0)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hidden="1" x14ac:dyDescent="0.2">
      <c r="B1925" s="31">
        <v>1916</v>
      </c>
      <c r="J1925">
        <f t="shared" si="35"/>
        <v>105000</v>
      </c>
      <c r="K1925" t="e">
        <f>VLOOKUP(B1925,'REGISTRO ABONOS'!$B$8:$BC$10041,54,0)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hidden="1" x14ac:dyDescent="0.2">
      <c r="B1926" s="31">
        <v>1917</v>
      </c>
      <c r="J1926">
        <f t="shared" si="35"/>
        <v>105000</v>
      </c>
      <c r="K1926" t="e">
        <f>VLOOKUP(B1926,'REGISTRO ABONOS'!$B$8:$BC$10041,54,0)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hidden="1" x14ac:dyDescent="0.2">
      <c r="B1927" s="31">
        <v>1918</v>
      </c>
      <c r="J1927">
        <f t="shared" si="35"/>
        <v>105000</v>
      </c>
      <c r="K1927" t="e">
        <f>VLOOKUP(B1927,'REGISTRO ABONOS'!$B$8:$BC$10041,54,0)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hidden="1" x14ac:dyDescent="0.2">
      <c r="B1928" s="31">
        <v>1919</v>
      </c>
      <c r="J1928">
        <f t="shared" si="35"/>
        <v>105000</v>
      </c>
      <c r="K1928" t="e">
        <f>VLOOKUP(B1928,'REGISTRO ABONOS'!$B$8:$BC$10041,54,0)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hidden="1" x14ac:dyDescent="0.2">
      <c r="B1929" s="31">
        <v>1920</v>
      </c>
      <c r="J1929">
        <f t="shared" si="35"/>
        <v>105000</v>
      </c>
      <c r="K1929" t="e">
        <f>VLOOKUP(B1929,'REGISTRO ABONOS'!$B$8:$BC$10041,54,0)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hidden="1" x14ac:dyDescent="0.2">
      <c r="B1930" s="31">
        <v>1921</v>
      </c>
      <c r="J1930">
        <f t="shared" si="35"/>
        <v>105000</v>
      </c>
      <c r="K1930" t="e">
        <f>VLOOKUP(B1930,'REGISTRO ABONOS'!$B$8:$BC$10041,54,0)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hidden="1" x14ac:dyDescent="0.2">
      <c r="B1931" s="31">
        <v>1922</v>
      </c>
      <c r="J1931">
        <f t="shared" si="35"/>
        <v>105000</v>
      </c>
      <c r="K1931" t="e">
        <f>VLOOKUP(B1931,'REGISTRO ABONOS'!$B$8:$BC$10041,54,0)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hidden="1" x14ac:dyDescent="0.2">
      <c r="B1932" s="31">
        <v>1923</v>
      </c>
      <c r="J1932">
        <f t="shared" si="35"/>
        <v>105000</v>
      </c>
      <c r="K1932" t="e">
        <f>VLOOKUP(B1932,'REGISTRO ABONOS'!$B$8:$BC$10041,54,0)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hidden="1" x14ac:dyDescent="0.2">
      <c r="B1933" s="31">
        <v>1924</v>
      </c>
      <c r="J1933">
        <f t="shared" si="35"/>
        <v>105000</v>
      </c>
      <c r="K1933" t="e">
        <f>VLOOKUP(B1933,'REGISTRO ABONOS'!$B$8:$BC$10041,54,0)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hidden="1" x14ac:dyDescent="0.2">
      <c r="B1934" s="31">
        <v>1925</v>
      </c>
      <c r="J1934">
        <f t="shared" si="35"/>
        <v>105000</v>
      </c>
      <c r="K1934" t="e">
        <f>VLOOKUP(B1934,'REGISTRO ABONOS'!$B$8:$BC$10041,54,0)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hidden="1" x14ac:dyDescent="0.2">
      <c r="B1935" s="31">
        <v>1926</v>
      </c>
      <c r="J1935">
        <f t="shared" si="35"/>
        <v>105000</v>
      </c>
      <c r="K1935" t="e">
        <f>VLOOKUP(B1935,'REGISTRO ABONOS'!$B$8:$BC$10041,54,0)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hidden="1" x14ac:dyDescent="0.2">
      <c r="B1936" s="31">
        <v>1927</v>
      </c>
      <c r="J1936">
        <f t="shared" si="35"/>
        <v>105000</v>
      </c>
      <c r="K1936" t="e">
        <f>VLOOKUP(B1936,'REGISTRO ABONOS'!$B$8:$BC$10041,54,0)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hidden="1" x14ac:dyDescent="0.2">
      <c r="B1937" s="31">
        <v>1928</v>
      </c>
      <c r="J1937">
        <f t="shared" si="35"/>
        <v>105000</v>
      </c>
      <c r="K1937" t="e">
        <f>VLOOKUP(B1937,'REGISTRO ABONOS'!$B$8:$BC$10041,54,0)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hidden="1" x14ac:dyDescent="0.2">
      <c r="B1938" s="31">
        <v>1929</v>
      </c>
      <c r="J1938">
        <f t="shared" si="35"/>
        <v>105000</v>
      </c>
      <c r="K1938" t="e">
        <f>VLOOKUP(B1938,'REGISTRO ABONOS'!$B$8:$BC$10041,54,0)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hidden="1" x14ac:dyDescent="0.2">
      <c r="B1939" s="31">
        <v>1930</v>
      </c>
      <c r="J1939">
        <f t="shared" si="35"/>
        <v>105000</v>
      </c>
      <c r="K1939" t="e">
        <f>VLOOKUP(B1939,'REGISTRO ABONOS'!$B$8:$BC$10041,54,0)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hidden="1" x14ac:dyDescent="0.2">
      <c r="B1940" s="31">
        <v>1931</v>
      </c>
      <c r="J1940">
        <f t="shared" si="35"/>
        <v>105000</v>
      </c>
      <c r="K1940" t="e">
        <f>VLOOKUP(B1940,'REGISTRO ABONOS'!$B$8:$BC$10041,54,0)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hidden="1" x14ac:dyDescent="0.2">
      <c r="B1941" s="31">
        <v>1932</v>
      </c>
      <c r="J1941">
        <f t="shared" si="35"/>
        <v>105000</v>
      </c>
      <c r="K1941" t="e">
        <f>VLOOKUP(B1941,'REGISTRO ABONOS'!$B$8:$BC$10041,54,0)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hidden="1" x14ac:dyDescent="0.2">
      <c r="B1942" s="31">
        <v>1933</v>
      </c>
      <c r="J1942">
        <f t="shared" si="35"/>
        <v>105000</v>
      </c>
      <c r="K1942" t="e">
        <f>VLOOKUP(B1942,'REGISTRO ABONOS'!$B$8:$BC$10041,54,0)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hidden="1" x14ac:dyDescent="0.2">
      <c r="B1943" s="31">
        <v>1934</v>
      </c>
      <c r="J1943">
        <f t="shared" si="35"/>
        <v>105000</v>
      </c>
      <c r="K1943" t="e">
        <f>VLOOKUP(B1943,'REGISTRO ABONOS'!$B$8:$BC$10041,54,0)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hidden="1" x14ac:dyDescent="0.2">
      <c r="B1944" s="31">
        <v>1935</v>
      </c>
      <c r="J1944">
        <f t="shared" si="35"/>
        <v>105000</v>
      </c>
      <c r="K1944" t="e">
        <f>VLOOKUP(B1944,'REGISTRO ABONOS'!$B$8:$BC$10041,54,0)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5"/>
        <v>105000</v>
      </c>
      <c r="K1945">
        <f>VLOOKUP(B1945,'REGISTRO ABONOS'!$B$8:$BC$10041,54,0)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hidden="1" x14ac:dyDescent="0.2">
      <c r="B1946" s="31">
        <v>1937</v>
      </c>
      <c r="J1946">
        <f t="shared" si="35"/>
        <v>105000</v>
      </c>
      <c r="K1946" t="e">
        <f>VLOOKUP(B1946,'REGISTRO ABONOS'!$B$8:$BC$10041,54,0)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hidden="1" x14ac:dyDescent="0.2">
      <c r="B1947" s="31">
        <v>1938</v>
      </c>
      <c r="J1947">
        <f t="shared" si="35"/>
        <v>105000</v>
      </c>
      <c r="K1947" t="e">
        <f>VLOOKUP(B1947,'REGISTRO ABONOS'!$B$8:$BC$10041,54,0)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hidden="1" x14ac:dyDescent="0.2">
      <c r="B1948" s="31">
        <v>1939</v>
      </c>
      <c r="J1948">
        <f t="shared" si="35"/>
        <v>105000</v>
      </c>
      <c r="K1948" t="e">
        <f>VLOOKUP(B1948,'REGISTRO ABONOS'!$B$8:$BC$10041,54,0)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hidden="1" x14ac:dyDescent="0.2">
      <c r="B1949" s="31">
        <v>1940</v>
      </c>
      <c r="J1949">
        <f t="shared" si="35"/>
        <v>105000</v>
      </c>
      <c r="K1949" t="e">
        <f>VLOOKUP(B1949,'REGISTRO ABONOS'!$B$8:$BC$10041,54,0)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hidden="1" x14ac:dyDescent="0.2">
      <c r="B1950" s="31">
        <v>1941</v>
      </c>
      <c r="J1950">
        <f t="shared" si="35"/>
        <v>105000</v>
      </c>
      <c r="K1950" t="e">
        <f>VLOOKUP(B1950,'REGISTRO ABONOS'!$B$8:$BC$10041,54,0)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hidden="1" x14ac:dyDescent="0.2">
      <c r="B1951" s="31">
        <v>1942</v>
      </c>
      <c r="J1951">
        <f t="shared" si="35"/>
        <v>105000</v>
      </c>
      <c r="K1951" t="e">
        <f>VLOOKUP(B1951,'REGISTRO ABONOS'!$B$8:$BC$10041,54,0)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hidden="1" x14ac:dyDescent="0.2">
      <c r="B1952" s="31">
        <v>1943</v>
      </c>
      <c r="J1952">
        <f t="shared" si="35"/>
        <v>105000</v>
      </c>
      <c r="K1952" t="e">
        <f>VLOOKUP(B1952,'REGISTRO ABONOS'!$B$8:$BC$10041,54,0)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5"/>
        <v>105000</v>
      </c>
      <c r="K1953" t="e">
        <f>VLOOKUP(B1953,'REGISTRO ABONOS'!$B$8:$BC$10041,54,0)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hidden="1" x14ac:dyDescent="0.2">
      <c r="B1954" s="31">
        <v>1945</v>
      </c>
      <c r="J1954">
        <f t="shared" si="35"/>
        <v>105000</v>
      </c>
      <c r="K1954" t="e">
        <f>VLOOKUP(B1954,'REGISTRO ABONOS'!$B$8:$BC$10041,54,0)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hidden="1" x14ac:dyDescent="0.2">
      <c r="B1955" s="31">
        <v>1946</v>
      </c>
      <c r="J1955">
        <f t="shared" si="35"/>
        <v>105000</v>
      </c>
      <c r="K1955" t="e">
        <f>VLOOKUP(B1955,'REGISTRO ABONOS'!$B$8:$BC$10041,54,0)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hidden="1" x14ac:dyDescent="0.2">
      <c r="B1956" s="31">
        <v>1947</v>
      </c>
      <c r="J1956">
        <f t="shared" si="35"/>
        <v>105000</v>
      </c>
      <c r="K1956" t="e">
        <f>VLOOKUP(B1956,'REGISTRO ABONOS'!$B$8:$BC$10041,54,0)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hidden="1" x14ac:dyDescent="0.2">
      <c r="B1957" s="31">
        <v>1948</v>
      </c>
      <c r="J1957">
        <f t="shared" si="35"/>
        <v>105000</v>
      </c>
      <c r="K1957" t="e">
        <f>VLOOKUP(B1957,'REGISTRO ABONOS'!$B$8:$BC$10041,54,0)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hidden="1" x14ac:dyDescent="0.2">
      <c r="B1958" s="31">
        <v>1949</v>
      </c>
      <c r="J1958">
        <f t="shared" si="35"/>
        <v>105000</v>
      </c>
      <c r="K1958" t="e">
        <f>VLOOKUP(B1958,'REGISTRO ABONOS'!$B$8:$BC$10041,54,0)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hidden="1" x14ac:dyDescent="0.2">
      <c r="B1959" s="31">
        <v>1950</v>
      </c>
      <c r="J1959">
        <f t="shared" si="35"/>
        <v>105000</v>
      </c>
      <c r="K1959" t="e">
        <f>VLOOKUP(B1959,'REGISTRO ABONOS'!$B$8:$BC$10041,54,0)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hidden="1" x14ac:dyDescent="0.2">
      <c r="B1960" s="31">
        <v>1951</v>
      </c>
      <c r="J1960">
        <f t="shared" si="35"/>
        <v>105000</v>
      </c>
      <c r="K1960" t="e">
        <f>VLOOKUP(B1960,'REGISTRO ABONOS'!$B$8:$BC$10041,54,0)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hidden="1" x14ac:dyDescent="0.2">
      <c r="B1961" s="31">
        <v>1952</v>
      </c>
      <c r="J1961">
        <f t="shared" si="35"/>
        <v>105000</v>
      </c>
      <c r="K1961" t="e">
        <f>VLOOKUP(B1961,'REGISTRO ABONOS'!$B$8:$BC$10041,54,0)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hidden="1" x14ac:dyDescent="0.2">
      <c r="B1962" s="31">
        <v>1953</v>
      </c>
      <c r="J1962">
        <f t="shared" si="35"/>
        <v>105000</v>
      </c>
      <c r="K1962" t="e">
        <f>VLOOKUP(B1962,'REGISTRO ABONOS'!$B$8:$BC$10041,54,0)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hidden="1" x14ac:dyDescent="0.2">
      <c r="B1963" s="31">
        <v>1954</v>
      </c>
      <c r="J1963">
        <f t="shared" si="35"/>
        <v>105000</v>
      </c>
      <c r="K1963" t="e">
        <f>VLOOKUP(B1963,'REGISTRO ABONOS'!$B$8:$BC$10041,54,0)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hidden="1" x14ac:dyDescent="0.2">
      <c r="B1964" s="31">
        <v>1955</v>
      </c>
      <c r="J1964">
        <f t="shared" si="35"/>
        <v>105000</v>
      </c>
      <c r="K1964" t="e">
        <f>VLOOKUP(B1964,'REGISTRO ABONOS'!$B$8:$BC$10041,54,0)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hidden="1" x14ac:dyDescent="0.2">
      <c r="B1965" s="31">
        <v>1956</v>
      </c>
      <c r="J1965">
        <f t="shared" si="35"/>
        <v>105000</v>
      </c>
      <c r="K1965" t="e">
        <f>VLOOKUP(B1965,'REGISTRO ABONOS'!$B$8:$BC$10041,54,0)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hidden="1" x14ac:dyDescent="0.2">
      <c r="B1966" s="31">
        <v>1957</v>
      </c>
      <c r="J1966">
        <f t="shared" si="35"/>
        <v>105000</v>
      </c>
      <c r="K1966" t="e">
        <f>VLOOKUP(B1966,'REGISTRO ABONOS'!$B$8:$BC$10041,54,0)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5"/>
        <v>105000</v>
      </c>
      <c r="K1967" t="e">
        <f>VLOOKUP(B1967,'REGISTRO ABONOS'!$B$8:$BC$10041,54,0)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hidden="1" x14ac:dyDescent="0.2">
      <c r="B1968" s="31">
        <v>1959</v>
      </c>
      <c r="J1968">
        <f t="shared" si="35"/>
        <v>105000</v>
      </c>
      <c r="K1968" t="e">
        <f>VLOOKUP(B1968,'REGISTRO ABONOS'!$B$8:$BC$10041,54,0)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hidden="1" x14ac:dyDescent="0.2">
      <c r="B1969" s="31">
        <v>1960</v>
      </c>
      <c r="J1969">
        <f t="shared" si="35"/>
        <v>105000</v>
      </c>
      <c r="K1969" t="e">
        <f>VLOOKUP(B1969,'REGISTRO ABONOS'!$B$8:$BC$10041,54,0)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hidden="1" x14ac:dyDescent="0.2">
      <c r="B1970" s="31">
        <v>1961</v>
      </c>
      <c r="J1970">
        <f t="shared" si="35"/>
        <v>105000</v>
      </c>
      <c r="K1970" t="e">
        <f>VLOOKUP(B1970,'REGISTRO ABONOS'!$B$8:$BC$10041,54,0)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hidden="1" x14ac:dyDescent="0.2">
      <c r="B1971" s="31">
        <v>1962</v>
      </c>
      <c r="J1971">
        <f t="shared" si="35"/>
        <v>105000</v>
      </c>
      <c r="K1971" t="e">
        <f>VLOOKUP(B1971,'REGISTRO ABONOS'!$B$8:$BC$10041,54,0)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hidden="1" x14ac:dyDescent="0.2">
      <c r="B1972" s="31">
        <v>1963</v>
      </c>
      <c r="J1972">
        <f t="shared" si="35"/>
        <v>105000</v>
      </c>
      <c r="K1972" t="e">
        <f>VLOOKUP(B1972,'REGISTRO ABONOS'!$B$8:$BC$10041,54,0)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hidden="1" x14ac:dyDescent="0.2">
      <c r="B1973" s="31">
        <v>1964</v>
      </c>
      <c r="J1973">
        <f t="shared" si="35"/>
        <v>105000</v>
      </c>
      <c r="K1973" t="e">
        <f>VLOOKUP(B1973,'REGISTRO ABONOS'!$B$8:$BC$10041,54,0)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5"/>
        <v>130000</v>
      </c>
      <c r="K1974">
        <f>VLOOKUP(B1974,'REGISTRO ABONOS'!$B$8:$BC$10041,54,0)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hidden="1" x14ac:dyDescent="0.2">
      <c r="B1975" s="31">
        <v>1966</v>
      </c>
      <c r="J1975">
        <f t="shared" si="35"/>
        <v>105000</v>
      </c>
      <c r="K1975" t="e">
        <f>VLOOKUP(B1975,'REGISTRO ABONOS'!$B$8:$BC$10041,54,0)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hidden="1" x14ac:dyDescent="0.2">
      <c r="B1976" s="31">
        <v>1967</v>
      </c>
      <c r="J1976">
        <f t="shared" si="35"/>
        <v>105000</v>
      </c>
      <c r="K1976" t="e">
        <f>VLOOKUP(B1976,'REGISTRO ABONOS'!$B$8:$BC$10041,54,0)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hidden="1" x14ac:dyDescent="0.2">
      <c r="B1977" s="31">
        <v>1968</v>
      </c>
      <c r="J1977">
        <f t="shared" si="35"/>
        <v>105000</v>
      </c>
      <c r="K1977" t="e">
        <f>VLOOKUP(B1977,'REGISTRO ABONOS'!$B$8:$BC$10041,54,0)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hidden="1" x14ac:dyDescent="0.2">
      <c r="B1978" s="31">
        <v>1969</v>
      </c>
      <c r="J1978">
        <f t="shared" si="35"/>
        <v>105000</v>
      </c>
      <c r="K1978" t="e">
        <f>VLOOKUP(B1978,'REGISTRO ABONOS'!$B$8:$BC$10041,54,0)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hidden="1" x14ac:dyDescent="0.2">
      <c r="B1979" s="31">
        <v>1970</v>
      </c>
      <c r="J1979">
        <f t="shared" si="35"/>
        <v>105000</v>
      </c>
      <c r="K1979" t="e">
        <f>VLOOKUP(B1979,'REGISTRO ABONOS'!$B$8:$BC$10041,54,0)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hidden="1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ABONOS'!$B$8:$BC$10041,54,0)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hidden="1" x14ac:dyDescent="0.2">
      <c r="B1981" s="31">
        <v>1972</v>
      </c>
      <c r="J1981">
        <f t="shared" si="36"/>
        <v>105000</v>
      </c>
      <c r="K1981" t="e">
        <f>VLOOKUP(B1981,'REGISTRO ABONOS'!$B$8:$BC$10041,54,0)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hidden="1" x14ac:dyDescent="0.2">
      <c r="B1982" s="31">
        <v>1973</v>
      </c>
      <c r="J1982">
        <f t="shared" si="36"/>
        <v>105000</v>
      </c>
      <c r="K1982" t="e">
        <f>VLOOKUP(B1982,'REGISTRO ABONOS'!$B$8:$BC$10041,54,0)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hidden="1" x14ac:dyDescent="0.2">
      <c r="B1983" s="31">
        <v>1974</v>
      </c>
      <c r="J1983">
        <f t="shared" si="36"/>
        <v>105000</v>
      </c>
      <c r="K1983" t="e">
        <f>VLOOKUP(B1983,'REGISTRO ABONOS'!$B$8:$BC$10041,54,0)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hidden="1" x14ac:dyDescent="0.2">
      <c r="B1984" s="31">
        <v>1975</v>
      </c>
      <c r="J1984">
        <f t="shared" si="36"/>
        <v>105000</v>
      </c>
      <c r="K1984" t="e">
        <f>VLOOKUP(B1984,'REGISTRO ABONOS'!$B$8:$BC$10041,54,0)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hidden="1" x14ac:dyDescent="0.2">
      <c r="B1985" s="31">
        <v>1976</v>
      </c>
      <c r="J1985">
        <f t="shared" si="36"/>
        <v>105000</v>
      </c>
      <c r="K1985" t="e">
        <f>VLOOKUP(B1985,'REGISTRO ABONOS'!$B$8:$BC$10041,54,0)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hidden="1" x14ac:dyDescent="0.2">
      <c r="B1986" s="31">
        <v>1977</v>
      </c>
      <c r="J1986">
        <f t="shared" si="36"/>
        <v>105000</v>
      </c>
      <c r="K1986" t="e">
        <f>VLOOKUP(B1986,'REGISTRO ABONOS'!$B$8:$BC$10041,54,0)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hidden="1" x14ac:dyDescent="0.2">
      <c r="B1987" s="31">
        <v>1978</v>
      </c>
      <c r="J1987">
        <f t="shared" si="36"/>
        <v>105000</v>
      </c>
      <c r="K1987" t="e">
        <f>VLOOKUP(B1987,'REGISTRO ABONOS'!$B$8:$BC$10041,54,0)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hidden="1" x14ac:dyDescent="0.2">
      <c r="B1988" s="31">
        <v>1979</v>
      </c>
      <c r="J1988">
        <f t="shared" si="36"/>
        <v>105000</v>
      </c>
      <c r="K1988" t="e">
        <f>VLOOKUP(B1988,'REGISTRO ABONOS'!$B$8:$BC$10041,54,0)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hidden="1" x14ac:dyDescent="0.2">
      <c r="B1989" s="31">
        <v>1980</v>
      </c>
      <c r="J1989">
        <f t="shared" si="36"/>
        <v>105000</v>
      </c>
      <c r="K1989" t="e">
        <f>VLOOKUP(B1989,'REGISTRO ABONOS'!$B$8:$BC$10041,54,0)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6"/>
        <v>105000</v>
      </c>
      <c r="K1990" t="e">
        <f>VLOOKUP(B1990,'REGISTRO ABONOS'!$B$8:$BC$10041,54,0)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hidden="1" x14ac:dyDescent="0.2">
      <c r="B1991" s="31">
        <v>1982</v>
      </c>
      <c r="J1991">
        <f t="shared" si="36"/>
        <v>105000</v>
      </c>
      <c r="K1991" t="e">
        <f>VLOOKUP(B1991,'REGISTRO ABONOS'!$B$8:$BC$10041,54,0)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hidden="1" x14ac:dyDescent="0.2">
      <c r="B1992" s="31">
        <v>1983</v>
      </c>
      <c r="J1992">
        <f t="shared" si="36"/>
        <v>105000</v>
      </c>
      <c r="K1992" t="e">
        <f>VLOOKUP(B1992,'REGISTRO ABONOS'!$B$8:$BC$10041,54,0)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hidden="1" x14ac:dyDescent="0.2">
      <c r="B1993" s="31">
        <v>1984</v>
      </c>
      <c r="J1993">
        <f t="shared" si="36"/>
        <v>105000</v>
      </c>
      <c r="K1993" t="e">
        <f>VLOOKUP(B1993,'REGISTRO ABONOS'!$B$8:$BC$10041,54,0)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6"/>
        <v>105000</v>
      </c>
      <c r="K1994" t="e">
        <f>VLOOKUP(B1994,'REGISTRO ABONOS'!$B$8:$BC$10041,54,0)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hidden="1" x14ac:dyDescent="0.2">
      <c r="B1995" s="31">
        <v>1986</v>
      </c>
      <c r="J1995">
        <f t="shared" si="36"/>
        <v>105000</v>
      </c>
      <c r="K1995" t="e">
        <f>VLOOKUP(B1995,'REGISTRO ABONOS'!$B$8:$BC$10041,54,0)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hidden="1" x14ac:dyDescent="0.2">
      <c r="B1996" s="31">
        <v>1987</v>
      </c>
      <c r="J1996">
        <f t="shared" si="36"/>
        <v>105000</v>
      </c>
      <c r="K1996" t="e">
        <f>VLOOKUP(B1996,'REGISTRO ABONOS'!$B$8:$BC$10041,54,0)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hidden="1" x14ac:dyDescent="0.2">
      <c r="B1997" s="31">
        <v>1988</v>
      </c>
      <c r="J1997">
        <f t="shared" si="36"/>
        <v>105000</v>
      </c>
      <c r="K1997" t="e">
        <f>VLOOKUP(B1997,'REGISTRO ABONOS'!$B$8:$BC$10041,54,0)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hidden="1" x14ac:dyDescent="0.2">
      <c r="B1998" s="31">
        <v>1989</v>
      </c>
      <c r="J1998">
        <f t="shared" si="36"/>
        <v>105000</v>
      </c>
      <c r="K1998" t="e">
        <f>VLOOKUP(B1998,'REGISTRO ABONOS'!$B$8:$BC$10041,54,0)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hidden="1" x14ac:dyDescent="0.2">
      <c r="B1999" s="31">
        <v>1990</v>
      </c>
      <c r="J1999">
        <f t="shared" si="36"/>
        <v>105000</v>
      </c>
      <c r="K1999" t="e">
        <f>VLOOKUP(B1999,'REGISTRO ABONOS'!$B$8:$BC$10041,54,0)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hidden="1" x14ac:dyDescent="0.2">
      <c r="B2000" s="31">
        <v>1991</v>
      </c>
      <c r="J2000">
        <f t="shared" si="36"/>
        <v>105000</v>
      </c>
      <c r="K2000" t="e">
        <f>VLOOKUP(B2000,'REGISTRO ABONOS'!$B$8:$BC$10041,54,0)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hidden="1" x14ac:dyDescent="0.2">
      <c r="B2001" s="31">
        <v>1992</v>
      </c>
      <c r="J2001">
        <f t="shared" si="36"/>
        <v>105000</v>
      </c>
      <c r="K2001" t="e">
        <f>VLOOKUP(B2001,'REGISTRO ABONOS'!$B$8:$BC$10041,54,0)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hidden="1" x14ac:dyDescent="0.2">
      <c r="B2002" s="31">
        <v>1993</v>
      </c>
      <c r="J2002">
        <f t="shared" si="36"/>
        <v>105000</v>
      </c>
      <c r="K2002" t="e">
        <f>VLOOKUP(B2002,'REGISTRO ABONOS'!$B$8:$BC$10041,54,0)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hidden="1" x14ac:dyDescent="0.2">
      <c r="B2003" s="31">
        <v>1994</v>
      </c>
      <c r="J2003">
        <f t="shared" si="36"/>
        <v>105000</v>
      </c>
      <c r="K2003" t="e">
        <f>VLOOKUP(B2003,'REGISTRO ABONOS'!$B$8:$BC$10041,54,0)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hidden="1" x14ac:dyDescent="0.2">
      <c r="B2004" s="31">
        <v>1995</v>
      </c>
      <c r="J2004">
        <f t="shared" si="36"/>
        <v>105000</v>
      </c>
      <c r="K2004" t="e">
        <f>VLOOKUP(B2004,'REGISTRO ABONOS'!$B$8:$BC$10041,54,0)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hidden="1" x14ac:dyDescent="0.2">
      <c r="B2005" s="31">
        <v>1996</v>
      </c>
      <c r="J2005">
        <f t="shared" si="36"/>
        <v>105000</v>
      </c>
      <c r="K2005" t="e">
        <f>VLOOKUP(B2005,'REGISTRO ABONOS'!$B$8:$BC$10041,54,0)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hidden="1" x14ac:dyDescent="0.2">
      <c r="B2006" s="31">
        <v>1997</v>
      </c>
      <c r="J2006">
        <f t="shared" si="36"/>
        <v>105000</v>
      </c>
      <c r="K2006" t="e">
        <f>VLOOKUP(B2006,'REGISTRO ABONOS'!$B$8:$BC$10041,54,0)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hidden="1" x14ac:dyDescent="0.2">
      <c r="B2007" s="31">
        <v>1998</v>
      </c>
      <c r="J2007">
        <f t="shared" si="36"/>
        <v>105000</v>
      </c>
      <c r="K2007" t="e">
        <f>VLOOKUP(B2007,'REGISTRO ABONOS'!$B$8:$BC$10041,54,0)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hidden="1" x14ac:dyDescent="0.2">
      <c r="B2008" s="31">
        <v>1999</v>
      </c>
      <c r="J2008">
        <f t="shared" si="36"/>
        <v>105000</v>
      </c>
      <c r="K2008" t="e">
        <f>VLOOKUP(B2008,'REGISTRO ABONOS'!$B$8:$BC$10041,54,0)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hidden="1" x14ac:dyDescent="0.2">
      <c r="B2009" s="31">
        <v>2000</v>
      </c>
      <c r="J2009">
        <f t="shared" si="36"/>
        <v>105000</v>
      </c>
      <c r="K2009" t="e">
        <f>VLOOKUP(B2009,'REGISTRO ABONOS'!$B$8:$BC$10041,54,0)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hidden="1" x14ac:dyDescent="0.2">
      <c r="B2010" s="31">
        <v>2001</v>
      </c>
      <c r="J2010">
        <f t="shared" si="36"/>
        <v>105000</v>
      </c>
      <c r="K2010" t="e">
        <f>VLOOKUP(B2010,'REGISTRO ABONOS'!$B$8:$BC$10041,54,0)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hidden="1" x14ac:dyDescent="0.2">
      <c r="B2011" s="31">
        <v>2002</v>
      </c>
      <c r="J2011">
        <f t="shared" si="36"/>
        <v>105000</v>
      </c>
      <c r="K2011" t="e">
        <f>VLOOKUP(B2011,'REGISTRO ABONOS'!$B$8:$BC$10041,54,0)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hidden="1" x14ac:dyDescent="0.2">
      <c r="B2012" s="31">
        <v>2003</v>
      </c>
      <c r="J2012">
        <f t="shared" si="36"/>
        <v>105000</v>
      </c>
      <c r="K2012" t="e">
        <f>VLOOKUP(B2012,'REGISTRO ABONOS'!$B$8:$BC$10041,54,0)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hidden="1" x14ac:dyDescent="0.2">
      <c r="B2013" s="31">
        <v>2004</v>
      </c>
      <c r="J2013">
        <f t="shared" si="36"/>
        <v>105000</v>
      </c>
      <c r="K2013" t="e">
        <f>VLOOKUP(B2013,'REGISTRO ABONOS'!$B$8:$BC$10041,54,0)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hidden="1" x14ac:dyDescent="0.2">
      <c r="B2014" s="31">
        <v>2005</v>
      </c>
      <c r="J2014">
        <f t="shared" si="36"/>
        <v>105000</v>
      </c>
      <c r="K2014" t="e">
        <f>VLOOKUP(B2014,'REGISTRO ABONOS'!$B$8:$BC$10041,54,0)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hidden="1" x14ac:dyDescent="0.2">
      <c r="B2015" s="31">
        <v>2006</v>
      </c>
      <c r="J2015">
        <f t="shared" si="36"/>
        <v>105000</v>
      </c>
      <c r="K2015" t="e">
        <f>VLOOKUP(B2015,'REGISTRO ABONOS'!$B$8:$BC$10041,54,0)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hidden="1" x14ac:dyDescent="0.2">
      <c r="B2016" s="31">
        <v>2007</v>
      </c>
      <c r="J2016">
        <f t="shared" si="36"/>
        <v>105000</v>
      </c>
      <c r="K2016" t="e">
        <f>VLOOKUP(B2016,'REGISTRO ABONOS'!$B$8:$BC$10041,54,0)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hidden="1" x14ac:dyDescent="0.2">
      <c r="B2017" s="31">
        <v>2008</v>
      </c>
      <c r="J2017">
        <f t="shared" si="36"/>
        <v>105000</v>
      </c>
      <c r="K2017" t="e">
        <f>VLOOKUP(B2017,'REGISTRO ABONOS'!$B$8:$BC$10041,54,0)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hidden="1" x14ac:dyDescent="0.2">
      <c r="B2018" s="31">
        <v>2009</v>
      </c>
      <c r="J2018">
        <f t="shared" si="36"/>
        <v>105000</v>
      </c>
      <c r="K2018" t="e">
        <f>VLOOKUP(B2018,'REGISTRO ABONOS'!$B$8:$BC$10041,54,0)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hidden="1" x14ac:dyDescent="0.2">
      <c r="B2019" s="31">
        <v>2010</v>
      </c>
      <c r="J2019">
        <f t="shared" si="36"/>
        <v>105000</v>
      </c>
      <c r="K2019" t="e">
        <f>VLOOKUP(B2019,'REGISTRO ABONOS'!$B$8:$BC$10041,54,0)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hidden="1" x14ac:dyDescent="0.2">
      <c r="B2020" s="31">
        <v>2011</v>
      </c>
      <c r="J2020">
        <f t="shared" si="36"/>
        <v>105000</v>
      </c>
      <c r="K2020" t="e">
        <f>VLOOKUP(B2020,'REGISTRO ABONOS'!$B$8:$BC$10041,54,0)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hidden="1" x14ac:dyDescent="0.2">
      <c r="B2021" s="31">
        <v>2012</v>
      </c>
      <c r="J2021">
        <f t="shared" si="36"/>
        <v>105000</v>
      </c>
      <c r="K2021" t="e">
        <f>VLOOKUP(B2021,'REGISTRO ABONOS'!$B$8:$BC$10041,54,0)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hidden="1" x14ac:dyDescent="0.2">
      <c r="B2022" s="31">
        <v>2013</v>
      </c>
      <c r="J2022">
        <f t="shared" si="36"/>
        <v>105000</v>
      </c>
      <c r="K2022" t="e">
        <f>VLOOKUP(B2022,'REGISTRO ABONOS'!$B$8:$BC$10041,54,0)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hidden="1" x14ac:dyDescent="0.2">
      <c r="B2023" s="31">
        <v>2014</v>
      </c>
      <c r="J2023">
        <f t="shared" si="36"/>
        <v>105000</v>
      </c>
      <c r="K2023" t="e">
        <f>VLOOKUP(B2023,'REGISTRO ABONOS'!$B$8:$BC$10041,54,0)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hidden="1" x14ac:dyDescent="0.2">
      <c r="B2024" s="31">
        <v>2015</v>
      </c>
      <c r="J2024">
        <f t="shared" si="36"/>
        <v>105000</v>
      </c>
      <c r="K2024" t="e">
        <f>VLOOKUP(B2024,'REGISTRO ABONOS'!$B$8:$BC$10041,54,0)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hidden="1" x14ac:dyDescent="0.2">
      <c r="B2025" s="31">
        <v>2016</v>
      </c>
      <c r="J2025">
        <f t="shared" si="36"/>
        <v>105000</v>
      </c>
      <c r="K2025" t="e">
        <f>VLOOKUP(B2025,'REGISTRO ABONOS'!$B$8:$BC$10041,54,0)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hidden="1" x14ac:dyDescent="0.2">
      <c r="B2026" s="31">
        <v>2017</v>
      </c>
      <c r="J2026">
        <f t="shared" si="36"/>
        <v>105000</v>
      </c>
      <c r="K2026" t="e">
        <f>VLOOKUP(B2026,'REGISTRO ABONOS'!$B$8:$BC$10041,54,0)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hidden="1" x14ac:dyDescent="0.2">
      <c r="B2027" s="31">
        <v>2018</v>
      </c>
      <c r="J2027">
        <f t="shared" si="36"/>
        <v>105000</v>
      </c>
      <c r="K2027" t="e">
        <f>VLOOKUP(B2027,'REGISTRO ABONOS'!$B$8:$BC$10041,54,0)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hidden="1" x14ac:dyDescent="0.2">
      <c r="B2028" s="31">
        <v>2019</v>
      </c>
      <c r="J2028">
        <f t="shared" si="36"/>
        <v>105000</v>
      </c>
      <c r="K2028" t="e">
        <f>VLOOKUP(B2028,'REGISTRO ABONOS'!$B$8:$BC$10041,54,0)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hidden="1" x14ac:dyDescent="0.2">
      <c r="B2029" s="31">
        <v>2020</v>
      </c>
      <c r="J2029">
        <f t="shared" si="36"/>
        <v>105000</v>
      </c>
      <c r="K2029" t="e">
        <f>VLOOKUP(B2029,'REGISTRO ABONOS'!$B$8:$BC$10041,54,0)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hidden="1" x14ac:dyDescent="0.2">
      <c r="B2030" s="31">
        <v>2021</v>
      </c>
      <c r="J2030">
        <f t="shared" si="36"/>
        <v>105000</v>
      </c>
      <c r="K2030" t="e">
        <f>VLOOKUP(B2030,'REGISTRO ABONOS'!$B$8:$BC$10041,54,0)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hidden="1" x14ac:dyDescent="0.2">
      <c r="B2031" s="31">
        <v>2022</v>
      </c>
      <c r="J2031">
        <f t="shared" si="36"/>
        <v>105000</v>
      </c>
      <c r="K2031" t="e">
        <f>VLOOKUP(B2031,'REGISTRO ABONOS'!$B$8:$BC$10041,54,0)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hidden="1" x14ac:dyDescent="0.2">
      <c r="B2032" s="31">
        <v>2023</v>
      </c>
      <c r="J2032">
        <f t="shared" si="36"/>
        <v>105000</v>
      </c>
      <c r="K2032" t="e">
        <f>VLOOKUP(B2032,'REGISTRO ABONOS'!$B$8:$BC$10041,54,0)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hidden="1" x14ac:dyDescent="0.2">
      <c r="B2033" s="31">
        <v>2024</v>
      </c>
      <c r="J2033">
        <f t="shared" si="36"/>
        <v>105000</v>
      </c>
      <c r="K2033" t="e">
        <f>VLOOKUP(B2033,'REGISTRO ABONOS'!$B$8:$BC$10041,54,0)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hidden="1" x14ac:dyDescent="0.2">
      <c r="B2034" s="31">
        <v>2025</v>
      </c>
      <c r="J2034">
        <f t="shared" si="36"/>
        <v>105000</v>
      </c>
      <c r="K2034" t="e">
        <f>VLOOKUP(B2034,'REGISTRO ABONOS'!$B$8:$BC$10041,54,0)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hidden="1" x14ac:dyDescent="0.2">
      <c r="B2035" s="31">
        <v>2026</v>
      </c>
      <c r="J2035">
        <f t="shared" si="36"/>
        <v>105000</v>
      </c>
      <c r="K2035" t="e">
        <f>VLOOKUP(B2035,'REGISTRO ABONOS'!$B$8:$BC$10041,54,0)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hidden="1" x14ac:dyDescent="0.2">
      <c r="B2036" s="31">
        <v>2027</v>
      </c>
      <c r="J2036">
        <f t="shared" si="36"/>
        <v>105000</v>
      </c>
      <c r="K2036" t="e">
        <f>VLOOKUP(B2036,'REGISTRO ABONOS'!$B$8:$BC$10041,54,0)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hidden="1" x14ac:dyDescent="0.2">
      <c r="B2037" s="31">
        <v>2028</v>
      </c>
      <c r="J2037">
        <f t="shared" si="36"/>
        <v>105000</v>
      </c>
      <c r="K2037" t="e">
        <f>VLOOKUP(B2037,'REGISTRO ABONOS'!$B$8:$BC$10041,54,0)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hidden="1" x14ac:dyDescent="0.2">
      <c r="B2038" s="31">
        <v>2029</v>
      </c>
      <c r="J2038">
        <f t="shared" si="36"/>
        <v>105000</v>
      </c>
      <c r="K2038" t="e">
        <f>VLOOKUP(B2038,'REGISTRO ABONOS'!$B$8:$BC$10041,54,0)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hidden="1" x14ac:dyDescent="0.2">
      <c r="B2039" s="31">
        <v>2030</v>
      </c>
      <c r="J2039">
        <f t="shared" si="36"/>
        <v>105000</v>
      </c>
      <c r="K2039" t="e">
        <f>VLOOKUP(B2039,'REGISTRO ABONOS'!$B$8:$BC$10041,54,0)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hidden="1" x14ac:dyDescent="0.2">
      <c r="B2040" s="31">
        <v>2031</v>
      </c>
      <c r="J2040">
        <f t="shared" si="36"/>
        <v>105000</v>
      </c>
      <c r="K2040" t="e">
        <f>VLOOKUP(B2040,'REGISTRO ABONOS'!$B$8:$BC$10041,54,0)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hidden="1" x14ac:dyDescent="0.2">
      <c r="B2041" s="31">
        <v>2032</v>
      </c>
      <c r="J2041">
        <f t="shared" si="36"/>
        <v>105000</v>
      </c>
      <c r="K2041" t="e">
        <f>VLOOKUP(B2041,'REGISTRO ABONOS'!$B$8:$BC$10041,54,0)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hidden="1" x14ac:dyDescent="0.2">
      <c r="B2042" s="31">
        <v>2033</v>
      </c>
      <c r="J2042">
        <f t="shared" si="36"/>
        <v>105000</v>
      </c>
      <c r="K2042" t="e">
        <f>VLOOKUP(B2042,'REGISTRO ABONOS'!$B$8:$BC$10041,54,0)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hidden="1" x14ac:dyDescent="0.2">
      <c r="B2043" s="31">
        <v>2034</v>
      </c>
      <c r="J2043">
        <f t="shared" si="36"/>
        <v>105000</v>
      </c>
      <c r="K2043" t="e">
        <f>VLOOKUP(B2043,'REGISTRO ABONOS'!$B$8:$BC$10041,54,0)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hidden="1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ABONOS'!$B$8:$BC$10041,54,0)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hidden="1" x14ac:dyDescent="0.2">
      <c r="B2045" s="31">
        <v>2036</v>
      </c>
      <c r="J2045">
        <f t="shared" si="37"/>
        <v>105000</v>
      </c>
      <c r="K2045" t="e">
        <f>VLOOKUP(B2045,'REGISTRO ABONOS'!$B$8:$BC$10041,54,0)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hidden="1" x14ac:dyDescent="0.2">
      <c r="B2046" s="31">
        <v>2037</v>
      </c>
      <c r="J2046">
        <f t="shared" si="37"/>
        <v>105000</v>
      </c>
      <c r="K2046" t="e">
        <f>VLOOKUP(B2046,'REGISTRO ABONOS'!$B$8:$BC$10041,54,0)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hidden="1" x14ac:dyDescent="0.2">
      <c r="B2047" s="31">
        <v>2038</v>
      </c>
      <c r="J2047">
        <f t="shared" si="37"/>
        <v>105000</v>
      </c>
      <c r="K2047" t="e">
        <f>VLOOKUP(B2047,'REGISTRO ABONOS'!$B$8:$BC$10041,54,0)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hidden="1" x14ac:dyDescent="0.2">
      <c r="B2048" s="31">
        <v>2039</v>
      </c>
      <c r="J2048">
        <f t="shared" si="37"/>
        <v>105000</v>
      </c>
      <c r="K2048" t="e">
        <f>VLOOKUP(B2048,'REGISTRO ABONOS'!$B$8:$BC$10041,54,0)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hidden="1" x14ac:dyDescent="0.2">
      <c r="B2049" s="31">
        <v>2040</v>
      </c>
      <c r="J2049">
        <f t="shared" si="37"/>
        <v>105000</v>
      </c>
      <c r="K2049" t="e">
        <f>VLOOKUP(B2049,'REGISTRO ABONOS'!$B$8:$BC$10041,54,0)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hidden="1" x14ac:dyDescent="0.2">
      <c r="B2050" s="31">
        <v>2041</v>
      </c>
      <c r="J2050">
        <f t="shared" si="37"/>
        <v>105000</v>
      </c>
      <c r="K2050" t="e">
        <f>VLOOKUP(B2050,'REGISTRO ABONOS'!$B$8:$BC$10041,54,0)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hidden="1" x14ac:dyDescent="0.2">
      <c r="B2051" s="31">
        <v>2042</v>
      </c>
      <c r="J2051">
        <f t="shared" si="37"/>
        <v>105000</v>
      </c>
      <c r="K2051" t="e">
        <f>VLOOKUP(B2051,'REGISTRO ABONOS'!$B$8:$BC$10041,54,0)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hidden="1" x14ac:dyDescent="0.2">
      <c r="B2052" s="31">
        <v>2043</v>
      </c>
      <c r="J2052">
        <f t="shared" si="37"/>
        <v>105000</v>
      </c>
      <c r="K2052" t="e">
        <f>VLOOKUP(B2052,'REGISTRO ABONOS'!$B$8:$BC$10041,54,0)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hidden="1" x14ac:dyDescent="0.2">
      <c r="B2053" s="31">
        <v>2044</v>
      </c>
      <c r="J2053">
        <f t="shared" si="37"/>
        <v>105000</v>
      </c>
      <c r="K2053" t="e">
        <f>VLOOKUP(B2053,'REGISTRO ABONOS'!$B$8:$BC$10041,54,0)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hidden="1" x14ac:dyDescent="0.2">
      <c r="B2054" s="31">
        <v>2045</v>
      </c>
      <c r="J2054">
        <f t="shared" si="37"/>
        <v>105000</v>
      </c>
      <c r="K2054" t="e">
        <f>VLOOKUP(B2054,'REGISTRO ABONOS'!$B$8:$BC$10041,54,0)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hidden="1" x14ac:dyDescent="0.2">
      <c r="B2055" s="31">
        <v>2046</v>
      </c>
      <c r="J2055">
        <f t="shared" si="37"/>
        <v>105000</v>
      </c>
      <c r="K2055" t="e">
        <f>VLOOKUP(B2055,'REGISTRO ABONOS'!$B$8:$BC$10041,54,0)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hidden="1" x14ac:dyDescent="0.2">
      <c r="B2056" s="31">
        <v>2047</v>
      </c>
      <c r="J2056">
        <f t="shared" si="37"/>
        <v>105000</v>
      </c>
      <c r="K2056" t="e">
        <f>VLOOKUP(B2056,'REGISTRO ABONOS'!$B$8:$BC$10041,54,0)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hidden="1" x14ac:dyDescent="0.2">
      <c r="B2057" s="31">
        <v>2048</v>
      </c>
      <c r="J2057">
        <f t="shared" si="37"/>
        <v>105000</v>
      </c>
      <c r="K2057" t="e">
        <f>VLOOKUP(B2057,'REGISTRO ABONOS'!$B$8:$BC$10041,54,0)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hidden="1" x14ac:dyDescent="0.2">
      <c r="B2058" s="31">
        <v>2049</v>
      </c>
      <c r="J2058">
        <f t="shared" si="37"/>
        <v>105000</v>
      </c>
      <c r="K2058" t="e">
        <f>VLOOKUP(B2058,'REGISTRO ABONOS'!$B$8:$BC$10041,54,0)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hidden="1" x14ac:dyDescent="0.2">
      <c r="B2059" s="31">
        <v>2050</v>
      </c>
      <c r="J2059">
        <f t="shared" si="37"/>
        <v>105000</v>
      </c>
      <c r="K2059" t="e">
        <f>VLOOKUP(B2059,'REGISTRO ABONOS'!$B$8:$BC$10041,54,0)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hidden="1" x14ac:dyDescent="0.2">
      <c r="B2060" s="31">
        <v>2051</v>
      </c>
      <c r="J2060">
        <f t="shared" si="37"/>
        <v>105000</v>
      </c>
      <c r="K2060" t="e">
        <f>VLOOKUP(B2060,'REGISTRO ABONOS'!$B$8:$BC$10041,54,0)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hidden="1" x14ac:dyDescent="0.2">
      <c r="B2061" s="31">
        <v>2052</v>
      </c>
      <c r="J2061">
        <f t="shared" si="37"/>
        <v>105000</v>
      </c>
      <c r="K2061" t="e">
        <f>VLOOKUP(B2061,'REGISTRO ABONOS'!$B$8:$BC$10041,54,0)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hidden="1" x14ac:dyDescent="0.2">
      <c r="B2062" s="31">
        <v>2053</v>
      </c>
      <c r="J2062">
        <f t="shared" si="37"/>
        <v>105000</v>
      </c>
      <c r="K2062" t="e">
        <f>VLOOKUP(B2062,'REGISTRO ABONOS'!$B$8:$BC$10041,54,0)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hidden="1" x14ac:dyDescent="0.2">
      <c r="B2063" s="31">
        <v>2054</v>
      </c>
      <c r="J2063">
        <f t="shared" si="37"/>
        <v>105000</v>
      </c>
      <c r="K2063" t="e">
        <f>VLOOKUP(B2063,'REGISTRO ABONOS'!$B$8:$BC$10041,54,0)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hidden="1" x14ac:dyDescent="0.2">
      <c r="B2064" s="31">
        <v>2055</v>
      </c>
      <c r="J2064">
        <f t="shared" si="37"/>
        <v>105000</v>
      </c>
      <c r="K2064" t="e">
        <f>VLOOKUP(B2064,'REGISTRO ABONOS'!$B$8:$BC$10041,54,0)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hidden="1" x14ac:dyDescent="0.2">
      <c r="B2065" s="31">
        <v>2056</v>
      </c>
      <c r="J2065">
        <f t="shared" si="37"/>
        <v>105000</v>
      </c>
      <c r="K2065" t="e">
        <f>VLOOKUP(B2065,'REGISTRO ABONOS'!$B$8:$BC$10041,54,0)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hidden="1" x14ac:dyDescent="0.2">
      <c r="B2066" s="31">
        <v>2057</v>
      </c>
      <c r="J2066">
        <f t="shared" si="37"/>
        <v>105000</v>
      </c>
      <c r="K2066" t="e">
        <f>VLOOKUP(B2066,'REGISTRO ABONOS'!$B$8:$BC$10041,54,0)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hidden="1" x14ac:dyDescent="0.2">
      <c r="B2067" s="31">
        <v>2058</v>
      </c>
      <c r="J2067">
        <f t="shared" si="37"/>
        <v>105000</v>
      </c>
      <c r="K2067" t="e">
        <f>VLOOKUP(B2067,'REGISTRO ABONOS'!$B$8:$BC$10041,54,0)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hidden="1" x14ac:dyDescent="0.2">
      <c r="B2068" s="31">
        <v>2059</v>
      </c>
      <c r="J2068">
        <f t="shared" si="37"/>
        <v>105000</v>
      </c>
      <c r="K2068" t="e">
        <f>VLOOKUP(B2068,'REGISTRO ABONOS'!$B$8:$BC$10041,54,0)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hidden="1" x14ac:dyDescent="0.2">
      <c r="B2069" s="31">
        <v>2060</v>
      </c>
      <c r="J2069">
        <f t="shared" si="37"/>
        <v>105000</v>
      </c>
      <c r="K2069" t="e">
        <f>VLOOKUP(B2069,'REGISTRO ABONOS'!$B$8:$BC$10041,54,0)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hidden="1" x14ac:dyDescent="0.2">
      <c r="B2070" s="31">
        <v>2061</v>
      </c>
      <c r="J2070">
        <f t="shared" si="37"/>
        <v>105000</v>
      </c>
      <c r="K2070" t="e">
        <f>VLOOKUP(B2070,'REGISTRO ABONOS'!$B$8:$BC$10041,54,0)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hidden="1" x14ac:dyDescent="0.2">
      <c r="B2071" s="31">
        <v>2062</v>
      </c>
      <c r="J2071">
        <f t="shared" si="37"/>
        <v>105000</v>
      </c>
      <c r="K2071" t="e">
        <f>VLOOKUP(B2071,'REGISTRO ABONOS'!$B$8:$BC$10041,54,0)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hidden="1" x14ac:dyDescent="0.2">
      <c r="B2072" s="31">
        <v>2063</v>
      </c>
      <c r="J2072">
        <f t="shared" si="37"/>
        <v>105000</v>
      </c>
      <c r="K2072" t="e">
        <f>VLOOKUP(B2072,'REGISTRO ABONOS'!$B$8:$BC$10041,54,0)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hidden="1" x14ac:dyDescent="0.2">
      <c r="B2073" s="31">
        <v>2064</v>
      </c>
      <c r="J2073">
        <f t="shared" si="37"/>
        <v>105000</v>
      </c>
      <c r="K2073" t="e">
        <f>VLOOKUP(B2073,'REGISTRO ABONOS'!$B$8:$BC$10041,54,0)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hidden="1" x14ac:dyDescent="0.2">
      <c r="B2074" s="31">
        <v>2065</v>
      </c>
      <c r="J2074">
        <f t="shared" si="37"/>
        <v>105000</v>
      </c>
      <c r="K2074" t="e">
        <f>VLOOKUP(B2074,'REGISTRO ABONOS'!$B$8:$BC$10041,54,0)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hidden="1" x14ac:dyDescent="0.2">
      <c r="B2075" s="31">
        <v>2066</v>
      </c>
      <c r="J2075">
        <f t="shared" si="37"/>
        <v>105000</v>
      </c>
      <c r="K2075" t="e">
        <f>VLOOKUP(B2075,'REGISTRO ABONOS'!$B$8:$BC$10041,54,0)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hidden="1" x14ac:dyDescent="0.2">
      <c r="B2076" s="31">
        <v>2067</v>
      </c>
      <c r="J2076">
        <f t="shared" si="37"/>
        <v>105000</v>
      </c>
      <c r="K2076" t="e">
        <f>VLOOKUP(B2076,'REGISTRO ABONOS'!$B$8:$BC$10041,54,0)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hidden="1" x14ac:dyDescent="0.2">
      <c r="B2077" s="31">
        <v>2068</v>
      </c>
      <c r="J2077">
        <f t="shared" si="37"/>
        <v>105000</v>
      </c>
      <c r="K2077" t="e">
        <f>VLOOKUP(B2077,'REGISTRO ABONOS'!$B$8:$BC$10041,54,0)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hidden="1" x14ac:dyDescent="0.2">
      <c r="B2078" s="31">
        <v>2069</v>
      </c>
      <c r="J2078">
        <f t="shared" si="37"/>
        <v>105000</v>
      </c>
      <c r="K2078" t="e">
        <f>VLOOKUP(B2078,'REGISTRO ABONOS'!$B$8:$BC$10041,54,0)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hidden="1" x14ac:dyDescent="0.2">
      <c r="B2079" s="31">
        <v>2070</v>
      </c>
      <c r="J2079">
        <f t="shared" si="37"/>
        <v>105000</v>
      </c>
      <c r="K2079" t="e">
        <f>VLOOKUP(B2079,'REGISTRO ABONOS'!$B$8:$BC$10041,54,0)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hidden="1" x14ac:dyDescent="0.2">
      <c r="B2080" s="31">
        <v>2071</v>
      </c>
      <c r="J2080">
        <f t="shared" si="37"/>
        <v>105000</v>
      </c>
      <c r="K2080" t="e">
        <f>VLOOKUP(B2080,'REGISTRO ABONOS'!$B$8:$BC$10041,54,0)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hidden="1" x14ac:dyDescent="0.2">
      <c r="B2081" s="31">
        <v>2072</v>
      </c>
      <c r="J2081">
        <f t="shared" si="37"/>
        <v>105000</v>
      </c>
      <c r="K2081" t="e">
        <f>VLOOKUP(B2081,'REGISTRO ABONOS'!$B$8:$BC$10041,54,0)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hidden="1" x14ac:dyDescent="0.2">
      <c r="B2082" s="31">
        <v>2073</v>
      </c>
      <c r="J2082">
        <f t="shared" si="37"/>
        <v>105000</v>
      </c>
      <c r="K2082" t="e">
        <f>VLOOKUP(B2082,'REGISTRO ABONOS'!$B$8:$BC$10041,54,0)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hidden="1" x14ac:dyDescent="0.2">
      <c r="B2083" s="31">
        <v>2074</v>
      </c>
      <c r="J2083">
        <f t="shared" si="37"/>
        <v>105000</v>
      </c>
      <c r="K2083" t="e">
        <f>VLOOKUP(B2083,'REGISTRO ABONOS'!$B$8:$BC$10041,54,0)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hidden="1" x14ac:dyDescent="0.2">
      <c r="B2084" s="31">
        <v>2075</v>
      </c>
      <c r="J2084">
        <f t="shared" si="37"/>
        <v>105000</v>
      </c>
      <c r="K2084" t="e">
        <f>VLOOKUP(B2084,'REGISTRO ABONOS'!$B$8:$BC$10041,54,0)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hidden="1" x14ac:dyDescent="0.2">
      <c r="B2085" s="31">
        <v>2076</v>
      </c>
      <c r="J2085">
        <f t="shared" si="37"/>
        <v>105000</v>
      </c>
      <c r="K2085" t="e">
        <f>VLOOKUP(B2085,'REGISTRO ABONOS'!$B$8:$BC$10041,54,0)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hidden="1" x14ac:dyDescent="0.2">
      <c r="B2086" s="31">
        <v>2077</v>
      </c>
      <c r="J2086">
        <f t="shared" si="37"/>
        <v>105000</v>
      </c>
      <c r="K2086" t="e">
        <f>VLOOKUP(B2086,'REGISTRO ABONOS'!$B$8:$BC$10041,54,0)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hidden="1" x14ac:dyDescent="0.2">
      <c r="B2087" s="31">
        <v>2078</v>
      </c>
      <c r="J2087">
        <f t="shared" si="37"/>
        <v>105000</v>
      </c>
      <c r="K2087" t="e">
        <f>VLOOKUP(B2087,'REGISTRO ABONOS'!$B$8:$BC$10041,54,0)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hidden="1" x14ac:dyDescent="0.2">
      <c r="B2088" s="31">
        <v>2079</v>
      </c>
      <c r="J2088">
        <f t="shared" si="37"/>
        <v>105000</v>
      </c>
      <c r="K2088" t="e">
        <f>VLOOKUP(B2088,'REGISTRO ABONOS'!$B$8:$BC$10041,54,0)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hidden="1" x14ac:dyDescent="0.2">
      <c r="B2089" s="31">
        <v>2080</v>
      </c>
      <c r="J2089">
        <f t="shared" si="37"/>
        <v>105000</v>
      </c>
      <c r="K2089" t="e">
        <f>VLOOKUP(B2089,'REGISTRO ABONOS'!$B$8:$BC$10041,54,0)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hidden="1" x14ac:dyDescent="0.2">
      <c r="B2090" s="31">
        <v>2081</v>
      </c>
      <c r="J2090">
        <f t="shared" si="37"/>
        <v>105000</v>
      </c>
      <c r="K2090" t="e">
        <f>VLOOKUP(B2090,'REGISTRO ABONOS'!$B$8:$BC$10041,54,0)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hidden="1" x14ac:dyDescent="0.2">
      <c r="B2091" s="31">
        <v>2082</v>
      </c>
      <c r="J2091">
        <f t="shared" si="37"/>
        <v>105000</v>
      </c>
      <c r="K2091" t="e">
        <f>VLOOKUP(B2091,'REGISTRO ABONOS'!$B$8:$BC$10041,54,0)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hidden="1" x14ac:dyDescent="0.2">
      <c r="B2092" s="31">
        <v>2083</v>
      </c>
      <c r="J2092">
        <f t="shared" si="37"/>
        <v>105000</v>
      </c>
      <c r="K2092" t="e">
        <f>VLOOKUP(B2092,'REGISTRO ABONOS'!$B$8:$BC$10041,54,0)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hidden="1" x14ac:dyDescent="0.2">
      <c r="B2093" s="31">
        <v>2084</v>
      </c>
      <c r="J2093">
        <f t="shared" si="37"/>
        <v>105000</v>
      </c>
      <c r="K2093" t="e">
        <f>VLOOKUP(B2093,'REGISTRO ABONOS'!$B$8:$BC$10041,54,0)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hidden="1" x14ac:dyDescent="0.2">
      <c r="B2094" s="31">
        <v>2085</v>
      </c>
      <c r="J2094">
        <f t="shared" si="37"/>
        <v>105000</v>
      </c>
      <c r="K2094" t="e">
        <f>VLOOKUP(B2094,'REGISTRO ABONOS'!$B$8:$BC$10041,54,0)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hidden="1" x14ac:dyDescent="0.2">
      <c r="B2095" s="31">
        <v>2086</v>
      </c>
      <c r="J2095">
        <f t="shared" si="37"/>
        <v>105000</v>
      </c>
      <c r="K2095" t="e">
        <f>VLOOKUP(B2095,'REGISTRO ABONOS'!$B$8:$BC$10041,54,0)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hidden="1" x14ac:dyDescent="0.2">
      <c r="B2096" s="31">
        <v>2087</v>
      </c>
      <c r="J2096">
        <f t="shared" si="37"/>
        <v>105000</v>
      </c>
      <c r="K2096" t="e">
        <f>VLOOKUP(B2096,'REGISTRO ABONOS'!$B$8:$BC$10041,54,0)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hidden="1" x14ac:dyDescent="0.2">
      <c r="B2097" s="31">
        <v>2088</v>
      </c>
      <c r="J2097">
        <f t="shared" si="37"/>
        <v>105000</v>
      </c>
      <c r="K2097" t="e">
        <f>VLOOKUP(B2097,'REGISTRO ABONOS'!$B$8:$BC$10041,54,0)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hidden="1" x14ac:dyDescent="0.2">
      <c r="B2098" s="31">
        <v>2089</v>
      </c>
      <c r="J2098">
        <f t="shared" si="37"/>
        <v>105000</v>
      </c>
      <c r="K2098" t="e">
        <f>VLOOKUP(B2098,'REGISTRO ABONOS'!$B$8:$BC$10041,54,0)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hidden="1" x14ac:dyDescent="0.2">
      <c r="B2099" s="31">
        <v>2090</v>
      </c>
      <c r="J2099">
        <f t="shared" si="37"/>
        <v>105000</v>
      </c>
      <c r="K2099" t="e">
        <f>VLOOKUP(B2099,'REGISTRO ABONOS'!$B$8:$BC$10041,54,0)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hidden="1" x14ac:dyDescent="0.2">
      <c r="B2100" s="31">
        <v>2091</v>
      </c>
      <c r="J2100">
        <f t="shared" si="37"/>
        <v>105000</v>
      </c>
      <c r="K2100" t="e">
        <f>VLOOKUP(B2100,'REGISTRO ABONOS'!$B$8:$BC$10041,54,0)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hidden="1" x14ac:dyDescent="0.2">
      <c r="B2101" s="31">
        <v>2092</v>
      </c>
      <c r="J2101">
        <f t="shared" si="37"/>
        <v>105000</v>
      </c>
      <c r="K2101" t="e">
        <f>VLOOKUP(B2101,'REGISTRO ABONOS'!$B$8:$BC$10041,54,0)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hidden="1" x14ac:dyDescent="0.2">
      <c r="B2102" s="31">
        <v>2093</v>
      </c>
      <c r="J2102">
        <f t="shared" si="37"/>
        <v>105000</v>
      </c>
      <c r="K2102" t="e">
        <f>VLOOKUP(B2102,'REGISTRO ABONOS'!$B$8:$BC$10041,54,0)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hidden="1" x14ac:dyDescent="0.2">
      <c r="B2103" s="31">
        <v>2094</v>
      </c>
      <c r="J2103">
        <f t="shared" si="37"/>
        <v>105000</v>
      </c>
      <c r="K2103" t="e">
        <f>VLOOKUP(B2103,'REGISTRO ABONOS'!$B$8:$BC$10041,54,0)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hidden="1" x14ac:dyDescent="0.2">
      <c r="B2104" s="31">
        <v>2095</v>
      </c>
      <c r="J2104">
        <f t="shared" si="37"/>
        <v>105000</v>
      </c>
      <c r="K2104" t="e">
        <f>VLOOKUP(B2104,'REGISTRO ABONOS'!$B$8:$BC$10041,54,0)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hidden="1" x14ac:dyDescent="0.2">
      <c r="B2105" s="31">
        <v>2096</v>
      </c>
      <c r="J2105">
        <f t="shared" si="37"/>
        <v>105000</v>
      </c>
      <c r="K2105" t="e">
        <f>VLOOKUP(B2105,'REGISTRO ABONOS'!$B$8:$BC$10041,54,0)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hidden="1" x14ac:dyDescent="0.2">
      <c r="B2106" s="31">
        <v>2097</v>
      </c>
      <c r="J2106">
        <f t="shared" si="37"/>
        <v>105000</v>
      </c>
      <c r="K2106" t="e">
        <f>VLOOKUP(B2106,'REGISTRO ABONOS'!$B$8:$BC$10041,54,0)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hidden="1" x14ac:dyDescent="0.2">
      <c r="B2107" s="31">
        <v>2098</v>
      </c>
      <c r="J2107">
        <f t="shared" si="37"/>
        <v>105000</v>
      </c>
      <c r="K2107" t="e">
        <f>VLOOKUP(B2107,'REGISTRO ABONOS'!$B$8:$BC$10041,54,0)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hidden="1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ABONOS'!$B$8:$BC$10041,54,0)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hidden="1" x14ac:dyDescent="0.2">
      <c r="B2109" s="31">
        <v>2100</v>
      </c>
      <c r="J2109">
        <f t="shared" si="38"/>
        <v>105000</v>
      </c>
      <c r="K2109" t="e">
        <f>VLOOKUP(B2109,'REGISTRO ABONOS'!$B$8:$BC$10041,54,0)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hidden="1" x14ac:dyDescent="0.2">
      <c r="B2110" s="31">
        <v>2101</v>
      </c>
      <c r="J2110">
        <f t="shared" si="38"/>
        <v>105000</v>
      </c>
      <c r="K2110" t="e">
        <f>VLOOKUP(B2110,'REGISTRO ABONOS'!$B$8:$BC$10041,54,0)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hidden="1" x14ac:dyDescent="0.2">
      <c r="B2111" s="31">
        <v>2102</v>
      </c>
      <c r="J2111">
        <f t="shared" si="38"/>
        <v>105000</v>
      </c>
      <c r="K2111" t="e">
        <f>VLOOKUP(B2111,'REGISTRO ABONOS'!$B$8:$BC$10041,54,0)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hidden="1" x14ac:dyDescent="0.2">
      <c r="B2112" s="31">
        <v>2103</v>
      </c>
      <c r="J2112">
        <f t="shared" si="38"/>
        <v>105000</v>
      </c>
      <c r="K2112" t="e">
        <f>VLOOKUP(B2112,'REGISTRO ABONOS'!$B$8:$BC$10041,54,0)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hidden="1" x14ac:dyDescent="0.2">
      <c r="B2113" s="31">
        <v>2104</v>
      </c>
      <c r="J2113">
        <f t="shared" si="38"/>
        <v>105000</v>
      </c>
      <c r="K2113" t="e">
        <f>VLOOKUP(B2113,'REGISTRO ABONOS'!$B$8:$BC$10041,54,0)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hidden="1" x14ac:dyDescent="0.2">
      <c r="B2114" s="31">
        <v>2105</v>
      </c>
      <c r="J2114">
        <f t="shared" si="38"/>
        <v>105000</v>
      </c>
      <c r="K2114" t="e">
        <f>VLOOKUP(B2114,'REGISTRO ABONOS'!$B$8:$BC$10041,54,0)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hidden="1" x14ac:dyDescent="0.2">
      <c r="B2115" s="31">
        <v>2106</v>
      </c>
      <c r="J2115">
        <f t="shared" si="38"/>
        <v>105000</v>
      </c>
      <c r="K2115" t="e">
        <f>VLOOKUP(B2115,'REGISTRO ABONOS'!$B$8:$BC$10041,54,0)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hidden="1" x14ac:dyDescent="0.2">
      <c r="B2116" s="31">
        <v>2107</v>
      </c>
      <c r="J2116">
        <f t="shared" si="38"/>
        <v>105000</v>
      </c>
      <c r="K2116" t="e">
        <f>VLOOKUP(B2116,'REGISTRO ABONOS'!$B$8:$BC$10041,54,0)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hidden="1" x14ac:dyDescent="0.2">
      <c r="B2117" s="31">
        <v>2108</v>
      </c>
      <c r="J2117">
        <f t="shared" si="38"/>
        <v>105000</v>
      </c>
      <c r="K2117" t="e">
        <f>VLOOKUP(B2117,'REGISTRO ABONOS'!$B$8:$BC$10041,54,0)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hidden="1" x14ac:dyDescent="0.2">
      <c r="B2118" s="31">
        <v>2109</v>
      </c>
      <c r="J2118">
        <f t="shared" si="38"/>
        <v>105000</v>
      </c>
      <c r="K2118" t="e">
        <f>VLOOKUP(B2118,'REGISTRO ABONOS'!$B$8:$BC$10041,54,0)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hidden="1" x14ac:dyDescent="0.2">
      <c r="B2119" s="31">
        <v>2110</v>
      </c>
      <c r="J2119">
        <f t="shared" si="38"/>
        <v>105000</v>
      </c>
      <c r="K2119" t="e">
        <f>VLOOKUP(B2119,'REGISTRO ABONOS'!$B$8:$BC$10041,54,0)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hidden="1" x14ac:dyDescent="0.2">
      <c r="B2120" s="31">
        <v>2111</v>
      </c>
      <c r="J2120">
        <f t="shared" si="38"/>
        <v>105000</v>
      </c>
      <c r="K2120" t="e">
        <f>VLOOKUP(B2120,'REGISTRO ABONOS'!$B$8:$BC$10041,54,0)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hidden="1" x14ac:dyDescent="0.2">
      <c r="B2121" s="31">
        <v>2112</v>
      </c>
      <c r="J2121">
        <f t="shared" si="38"/>
        <v>105000</v>
      </c>
      <c r="K2121" t="e">
        <f>VLOOKUP(B2121,'REGISTRO ABONOS'!$B$8:$BC$10041,54,0)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hidden="1" x14ac:dyDescent="0.2">
      <c r="B2122" s="31">
        <v>2113</v>
      </c>
      <c r="C2122" s="10">
        <v>43571</v>
      </c>
      <c r="D2122" t="s">
        <v>489</v>
      </c>
      <c r="H2122" t="s">
        <v>489</v>
      </c>
      <c r="I2122" t="s">
        <v>322</v>
      </c>
      <c r="J2122">
        <f t="shared" si="38"/>
        <v>105000</v>
      </c>
      <c r="K2122" t="e">
        <f>VLOOKUP(B2122,'REGISTRO ABONOS'!$B$8:$BC$10041,54,0)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hidden="1" x14ac:dyDescent="0.2">
      <c r="B2123" s="31">
        <v>2114</v>
      </c>
      <c r="J2123">
        <f t="shared" si="38"/>
        <v>105000</v>
      </c>
      <c r="K2123" t="e">
        <f>VLOOKUP(B2123,'REGISTRO ABONOS'!$B$8:$BC$10041,54,0)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hidden="1" x14ac:dyDescent="0.2">
      <c r="B2124" s="31">
        <v>2115</v>
      </c>
      <c r="J2124">
        <f t="shared" si="38"/>
        <v>105000</v>
      </c>
      <c r="K2124" t="e">
        <f>VLOOKUP(B2124,'REGISTRO ABONOS'!$B$8:$BC$10041,54,0)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hidden="1" x14ac:dyDescent="0.2">
      <c r="B2125" s="31">
        <v>4</v>
      </c>
      <c r="C2125" s="10">
        <v>43571</v>
      </c>
      <c r="D2125" t="s">
        <v>522</v>
      </c>
      <c r="H2125" t="s">
        <v>522</v>
      </c>
      <c r="I2125" t="s">
        <v>322</v>
      </c>
      <c r="J2125">
        <f t="shared" si="38"/>
        <v>105000</v>
      </c>
      <c r="K2125" t="e">
        <f>VLOOKUP(B2125,'REGISTRO ABONOS'!$B$8:$BC$10041,54,0)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hidden="1" x14ac:dyDescent="0.2">
      <c r="B2126" s="31">
        <v>2117</v>
      </c>
      <c r="J2126">
        <f t="shared" si="38"/>
        <v>105000</v>
      </c>
      <c r="K2126" t="e">
        <f>VLOOKUP(B2126,'REGISTRO ABONOS'!$B$8:$BC$10041,54,0)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hidden="1" x14ac:dyDescent="0.2">
      <c r="B2127" s="31">
        <v>2118</v>
      </c>
      <c r="J2127">
        <f t="shared" si="38"/>
        <v>105000</v>
      </c>
      <c r="K2127" t="e">
        <f>VLOOKUP(B2127,'REGISTRO ABONOS'!$B$8:$BC$10041,54,0)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hidden="1" x14ac:dyDescent="0.2">
      <c r="B2128" s="31">
        <v>2119</v>
      </c>
      <c r="J2128">
        <f t="shared" si="38"/>
        <v>105000</v>
      </c>
      <c r="K2128" t="e">
        <f>VLOOKUP(B2128,'REGISTRO ABONOS'!$B$8:$BC$10041,54,0)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hidden="1" x14ac:dyDescent="0.2">
      <c r="B2129" s="31">
        <v>2120</v>
      </c>
      <c r="J2129">
        <f t="shared" si="38"/>
        <v>105000</v>
      </c>
      <c r="K2129" t="e">
        <f>VLOOKUP(B2129,'REGISTRO ABONOS'!$B$8:$BC$10041,54,0)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hidden="1" x14ac:dyDescent="0.2">
      <c r="B2130" s="31">
        <v>2121</v>
      </c>
      <c r="J2130">
        <f t="shared" si="38"/>
        <v>105000</v>
      </c>
      <c r="K2130" t="e">
        <f>VLOOKUP(B2130,'REGISTRO ABONOS'!$B$8:$BC$10041,54,0)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hidden="1" x14ac:dyDescent="0.2">
      <c r="B2131" s="31">
        <v>2122</v>
      </c>
      <c r="J2131">
        <f t="shared" si="38"/>
        <v>105000</v>
      </c>
      <c r="K2131" t="e">
        <f>VLOOKUP(B2131,'REGISTRO ABONOS'!$B$8:$BC$10041,54,0)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hidden="1" x14ac:dyDescent="0.2">
      <c r="B2132" s="31">
        <v>2123</v>
      </c>
      <c r="J2132">
        <f t="shared" si="38"/>
        <v>105000</v>
      </c>
      <c r="K2132" t="e">
        <f>VLOOKUP(B2132,'REGISTRO ABONOS'!$B$8:$BC$10041,54,0)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hidden="1" x14ac:dyDescent="0.2">
      <c r="B2133" s="31">
        <v>2124</v>
      </c>
      <c r="J2133">
        <f t="shared" si="38"/>
        <v>105000</v>
      </c>
      <c r="K2133" t="e">
        <f>VLOOKUP(B2133,'REGISTRO ABONOS'!$B$8:$BC$10041,54,0)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hidden="1" x14ac:dyDescent="0.2">
      <c r="B2134" s="31">
        <v>2125</v>
      </c>
      <c r="J2134">
        <f t="shared" si="38"/>
        <v>105000</v>
      </c>
      <c r="K2134" t="e">
        <f>VLOOKUP(B2134,'REGISTRO ABONOS'!$B$8:$BC$10041,54,0)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hidden="1" x14ac:dyDescent="0.2">
      <c r="B2135" s="31">
        <v>2126</v>
      </c>
      <c r="J2135">
        <f t="shared" si="38"/>
        <v>105000</v>
      </c>
      <c r="K2135" t="e">
        <f>VLOOKUP(B2135,'REGISTRO ABONOS'!$B$8:$BC$10041,54,0)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hidden="1" x14ac:dyDescent="0.2">
      <c r="B2136" s="31">
        <v>2127</v>
      </c>
      <c r="J2136">
        <f t="shared" si="38"/>
        <v>105000</v>
      </c>
      <c r="K2136" t="e">
        <f>VLOOKUP(B2136,'REGISTRO ABONOS'!$B$8:$BC$10041,54,0)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hidden="1" x14ac:dyDescent="0.2">
      <c r="B2137" s="31">
        <v>2128</v>
      </c>
      <c r="J2137">
        <f t="shared" si="38"/>
        <v>105000</v>
      </c>
      <c r="K2137" t="e">
        <f>VLOOKUP(B2137,'REGISTRO ABONOS'!$B$8:$BC$10041,54,0)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hidden="1" x14ac:dyDescent="0.2">
      <c r="B2138" s="31">
        <v>2129</v>
      </c>
      <c r="J2138">
        <f t="shared" si="38"/>
        <v>105000</v>
      </c>
      <c r="K2138" t="e">
        <f>VLOOKUP(B2138,'REGISTRO ABONOS'!$B$8:$BC$10041,54,0)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hidden="1" x14ac:dyDescent="0.2">
      <c r="B2139" s="31">
        <v>2130</v>
      </c>
      <c r="J2139">
        <f t="shared" si="38"/>
        <v>105000</v>
      </c>
      <c r="K2139" t="e">
        <f>VLOOKUP(B2139,'REGISTRO ABONOS'!$B$8:$BC$10041,54,0)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hidden="1" x14ac:dyDescent="0.2">
      <c r="B2140" s="31">
        <v>2131</v>
      </c>
      <c r="J2140">
        <f t="shared" si="38"/>
        <v>105000</v>
      </c>
      <c r="K2140" t="e">
        <f>VLOOKUP(B2140,'REGISTRO ABONOS'!$B$8:$BC$10041,54,0)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hidden="1" x14ac:dyDescent="0.2">
      <c r="B2141" s="31">
        <v>2132</v>
      </c>
      <c r="J2141">
        <f t="shared" si="38"/>
        <v>105000</v>
      </c>
      <c r="K2141" t="e">
        <f>VLOOKUP(B2141,'REGISTRO ABONOS'!$B$8:$BC$10041,54,0)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hidden="1" x14ac:dyDescent="0.2">
      <c r="B2142" s="31">
        <v>2133</v>
      </c>
      <c r="J2142">
        <f t="shared" si="38"/>
        <v>105000</v>
      </c>
      <c r="K2142" t="e">
        <f>VLOOKUP(B2142,'REGISTRO ABONOS'!$B$8:$BC$10041,54,0)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hidden="1" x14ac:dyDescent="0.2">
      <c r="B2143" s="31">
        <v>2134</v>
      </c>
      <c r="J2143">
        <f t="shared" si="38"/>
        <v>105000</v>
      </c>
      <c r="K2143" t="e">
        <f>VLOOKUP(B2143,'REGISTRO ABONOS'!$B$8:$BC$10041,54,0)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hidden="1" x14ac:dyDescent="0.2">
      <c r="B2144" s="31">
        <v>2135</v>
      </c>
      <c r="J2144">
        <f t="shared" si="38"/>
        <v>105000</v>
      </c>
      <c r="K2144" t="e">
        <f>VLOOKUP(B2144,'REGISTRO ABONOS'!$B$8:$BC$10041,54,0)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hidden="1" x14ac:dyDescent="0.2">
      <c r="B2145" s="31">
        <v>2136</v>
      </c>
      <c r="J2145">
        <f t="shared" si="38"/>
        <v>105000</v>
      </c>
      <c r="K2145" t="e">
        <f>VLOOKUP(B2145,'REGISTRO ABONOS'!$B$8:$BC$10041,54,0)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hidden="1" x14ac:dyDescent="0.2">
      <c r="B2146" s="31">
        <v>2137</v>
      </c>
      <c r="J2146">
        <f t="shared" si="38"/>
        <v>105000</v>
      </c>
      <c r="K2146" t="e">
        <f>VLOOKUP(B2146,'REGISTRO ABONOS'!$B$8:$BC$10041,54,0)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hidden="1" x14ac:dyDescent="0.2">
      <c r="B2147" s="31">
        <v>2138</v>
      </c>
      <c r="J2147">
        <f t="shared" si="38"/>
        <v>105000</v>
      </c>
      <c r="K2147" t="e">
        <f>VLOOKUP(B2147,'REGISTRO ABONOS'!$B$8:$BC$10041,54,0)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hidden="1" x14ac:dyDescent="0.2">
      <c r="B2148" s="31">
        <v>2139</v>
      </c>
      <c r="J2148">
        <f t="shared" si="38"/>
        <v>105000</v>
      </c>
      <c r="K2148" t="e">
        <f>VLOOKUP(B2148,'REGISTRO ABONOS'!$B$8:$BC$10041,54,0)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hidden="1" x14ac:dyDescent="0.2">
      <c r="B2149" s="31">
        <v>2140</v>
      </c>
      <c r="J2149">
        <f t="shared" si="38"/>
        <v>105000</v>
      </c>
      <c r="K2149" t="e">
        <f>VLOOKUP(B2149,'REGISTRO ABONOS'!$B$8:$BC$10041,54,0)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hidden="1" x14ac:dyDescent="0.2">
      <c r="B2150" s="31">
        <v>2141</v>
      </c>
      <c r="J2150">
        <f t="shared" si="38"/>
        <v>105000</v>
      </c>
      <c r="K2150" t="e">
        <f>VLOOKUP(B2150,'REGISTRO ABONOS'!$B$8:$BC$10041,54,0)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hidden="1" x14ac:dyDescent="0.2">
      <c r="B2151" s="31">
        <v>2142</v>
      </c>
      <c r="J2151">
        <f t="shared" si="38"/>
        <v>105000</v>
      </c>
      <c r="K2151" t="e">
        <f>VLOOKUP(B2151,'REGISTRO ABONOS'!$B$8:$BC$10041,54,0)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hidden="1" x14ac:dyDescent="0.2">
      <c r="B2152" s="31">
        <v>2143</v>
      </c>
      <c r="J2152">
        <f t="shared" si="38"/>
        <v>105000</v>
      </c>
      <c r="K2152" t="e">
        <f>VLOOKUP(B2152,'REGISTRO ABONOS'!$B$8:$BC$10041,54,0)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hidden="1" x14ac:dyDescent="0.2">
      <c r="B2153" s="31">
        <v>2144</v>
      </c>
      <c r="J2153">
        <f t="shared" si="38"/>
        <v>105000</v>
      </c>
      <c r="K2153" t="e">
        <f>VLOOKUP(B2153,'REGISTRO ABONOS'!$B$8:$BC$10041,54,0)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hidden="1" x14ac:dyDescent="0.2">
      <c r="B2154" s="31">
        <v>2145</v>
      </c>
      <c r="J2154">
        <f t="shared" si="38"/>
        <v>105000</v>
      </c>
      <c r="K2154" t="e">
        <f>VLOOKUP(B2154,'REGISTRO ABONOS'!$B$8:$BC$10041,54,0)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hidden="1" x14ac:dyDescent="0.2">
      <c r="B2155" s="31">
        <v>2146</v>
      </c>
      <c r="J2155">
        <f t="shared" si="38"/>
        <v>105000</v>
      </c>
      <c r="K2155" t="e">
        <f>VLOOKUP(B2155,'REGISTRO ABONOS'!$B$8:$BC$10041,54,0)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hidden="1" x14ac:dyDescent="0.2">
      <c r="B2156" s="31">
        <v>2147</v>
      </c>
      <c r="J2156">
        <f t="shared" si="38"/>
        <v>105000</v>
      </c>
      <c r="K2156" t="e">
        <f>VLOOKUP(B2156,'REGISTRO ABONOS'!$B$8:$BC$10041,54,0)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hidden="1" x14ac:dyDescent="0.2">
      <c r="B2157" s="31">
        <v>2148</v>
      </c>
      <c r="J2157">
        <f t="shared" si="38"/>
        <v>105000</v>
      </c>
      <c r="K2157" t="e">
        <f>VLOOKUP(B2157,'REGISTRO ABONOS'!$B$8:$BC$10041,54,0)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hidden="1" x14ac:dyDescent="0.2">
      <c r="B2158" s="31">
        <v>2149</v>
      </c>
      <c r="J2158">
        <f t="shared" si="38"/>
        <v>105000</v>
      </c>
      <c r="K2158" t="e">
        <f>VLOOKUP(B2158,'REGISTRO ABONOS'!$B$8:$BC$10041,54,0)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hidden="1" x14ac:dyDescent="0.2">
      <c r="B2159" s="31">
        <v>2150</v>
      </c>
      <c r="J2159">
        <f t="shared" si="38"/>
        <v>105000</v>
      </c>
      <c r="K2159" t="e">
        <f>VLOOKUP(B2159,'REGISTRO ABONOS'!$B$8:$BC$10041,54,0)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hidden="1" x14ac:dyDescent="0.2">
      <c r="B2160" s="31">
        <v>2151</v>
      </c>
      <c r="J2160">
        <f t="shared" si="38"/>
        <v>105000</v>
      </c>
      <c r="K2160" t="e">
        <f>VLOOKUP(B2160,'REGISTRO ABONOS'!$B$8:$BC$10041,54,0)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hidden="1" x14ac:dyDescent="0.2">
      <c r="B2161" s="31">
        <v>2152</v>
      </c>
      <c r="J2161">
        <f t="shared" si="38"/>
        <v>105000</v>
      </c>
      <c r="K2161" t="e">
        <f>VLOOKUP(B2161,'REGISTRO ABONOS'!$B$8:$BC$10041,54,0)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hidden="1" x14ac:dyDescent="0.2">
      <c r="B2162" s="31">
        <v>2153</v>
      </c>
      <c r="J2162">
        <f t="shared" si="38"/>
        <v>105000</v>
      </c>
      <c r="K2162" t="e">
        <f>VLOOKUP(B2162,'REGISTRO ABONOS'!$B$8:$BC$10041,54,0)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hidden="1" x14ac:dyDescent="0.2">
      <c r="B2163" s="31">
        <v>2154</v>
      </c>
      <c r="J2163">
        <f t="shared" si="38"/>
        <v>105000</v>
      </c>
      <c r="K2163" t="e">
        <f>VLOOKUP(B2163,'REGISTRO ABONOS'!$B$8:$BC$10041,54,0)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hidden="1" x14ac:dyDescent="0.2">
      <c r="B2164" s="31">
        <v>2155</v>
      </c>
      <c r="J2164">
        <f t="shared" si="38"/>
        <v>105000</v>
      </c>
      <c r="K2164" t="e">
        <f>VLOOKUP(B2164,'REGISTRO ABONOS'!$B$8:$BC$10041,54,0)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hidden="1" x14ac:dyDescent="0.2">
      <c r="B2165" s="31">
        <v>2156</v>
      </c>
      <c r="J2165">
        <f t="shared" si="38"/>
        <v>105000</v>
      </c>
      <c r="K2165" t="e">
        <f>VLOOKUP(B2165,'REGISTRO ABONOS'!$B$8:$BC$10041,54,0)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hidden="1" x14ac:dyDescent="0.2">
      <c r="B2166" s="31">
        <v>2157</v>
      </c>
      <c r="J2166">
        <f t="shared" si="38"/>
        <v>105000</v>
      </c>
      <c r="K2166" t="e">
        <f>VLOOKUP(B2166,'REGISTRO ABONOS'!$B$8:$BC$10041,54,0)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hidden="1" x14ac:dyDescent="0.2">
      <c r="B2167" s="31">
        <v>2158</v>
      </c>
      <c r="J2167">
        <f t="shared" si="38"/>
        <v>105000</v>
      </c>
      <c r="K2167" t="e">
        <f>VLOOKUP(B2167,'REGISTRO ABONOS'!$B$8:$BC$10041,54,0)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hidden="1" x14ac:dyDescent="0.2">
      <c r="B2168" s="31">
        <v>2159</v>
      </c>
      <c r="J2168">
        <f t="shared" si="38"/>
        <v>105000</v>
      </c>
      <c r="K2168" t="e">
        <f>VLOOKUP(B2168,'REGISTRO ABONOS'!$B$8:$BC$10041,54,0)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hidden="1" x14ac:dyDescent="0.2">
      <c r="B2169" s="31">
        <v>2160</v>
      </c>
      <c r="J2169">
        <f t="shared" si="38"/>
        <v>105000</v>
      </c>
      <c r="K2169" t="e">
        <f>VLOOKUP(B2169,'REGISTRO ABONOS'!$B$8:$BC$10041,54,0)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hidden="1" x14ac:dyDescent="0.2">
      <c r="B2170" s="31">
        <v>2161</v>
      </c>
      <c r="J2170">
        <f t="shared" si="38"/>
        <v>105000</v>
      </c>
      <c r="K2170" t="e">
        <f>VLOOKUP(B2170,'REGISTRO ABONOS'!$B$8:$BC$10041,54,0)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hidden="1" x14ac:dyDescent="0.2">
      <c r="B2171" s="31">
        <v>2162</v>
      </c>
      <c r="J2171">
        <f t="shared" si="38"/>
        <v>105000</v>
      </c>
      <c r="K2171" t="e">
        <f>VLOOKUP(B2171,'REGISTRO ABONOS'!$B$8:$BC$10041,54,0)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hidden="1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ABONOS'!$B$8:$BC$10041,54,0)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hidden="1" x14ac:dyDescent="0.2">
      <c r="B2173" s="31">
        <v>2164</v>
      </c>
      <c r="J2173">
        <f t="shared" si="39"/>
        <v>105000</v>
      </c>
      <c r="K2173" t="e">
        <f>VLOOKUP(B2173,'REGISTRO ABONOS'!$B$8:$BC$10041,54,0)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hidden="1" x14ac:dyDescent="0.2">
      <c r="B2174" s="31">
        <v>2165</v>
      </c>
      <c r="J2174">
        <f t="shared" si="39"/>
        <v>105000</v>
      </c>
      <c r="K2174" t="e">
        <f>VLOOKUP(B2174,'REGISTRO ABONOS'!$B$8:$BC$10041,54,0)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hidden="1" x14ac:dyDescent="0.2">
      <c r="B2175" s="31">
        <v>2166</v>
      </c>
      <c r="J2175">
        <f t="shared" si="39"/>
        <v>105000</v>
      </c>
      <c r="K2175" t="e">
        <f>VLOOKUP(B2175,'REGISTRO ABONOS'!$B$8:$BC$10041,54,0)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hidden="1" x14ac:dyDescent="0.2">
      <c r="B2176" s="31">
        <v>2167</v>
      </c>
      <c r="J2176">
        <f t="shared" si="39"/>
        <v>105000</v>
      </c>
      <c r="K2176" t="e">
        <f>VLOOKUP(B2176,'REGISTRO ABONOS'!$B$8:$BC$10041,54,0)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hidden="1" x14ac:dyDescent="0.2">
      <c r="B2177" s="31">
        <v>2168</v>
      </c>
      <c r="J2177">
        <f t="shared" si="39"/>
        <v>105000</v>
      </c>
      <c r="K2177" t="e">
        <f>VLOOKUP(B2177,'REGISTRO ABONOS'!$B$8:$BC$10041,54,0)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hidden="1" x14ac:dyDescent="0.2">
      <c r="B2178" s="31">
        <v>2169</v>
      </c>
      <c r="J2178">
        <f t="shared" si="39"/>
        <v>105000</v>
      </c>
      <c r="K2178" t="e">
        <f>VLOOKUP(B2178,'REGISTRO ABONOS'!$B$8:$BC$10041,54,0)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hidden="1" x14ac:dyDescent="0.2">
      <c r="B2179" s="31">
        <v>2170</v>
      </c>
      <c r="J2179">
        <f t="shared" si="39"/>
        <v>105000</v>
      </c>
      <c r="K2179" t="e">
        <f>VLOOKUP(B2179,'REGISTRO ABONOS'!$B$8:$BC$10041,54,0)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hidden="1" x14ac:dyDescent="0.2">
      <c r="B2180" s="31">
        <v>2171</v>
      </c>
      <c r="J2180">
        <f t="shared" si="39"/>
        <v>105000</v>
      </c>
      <c r="K2180" t="e">
        <f>VLOOKUP(B2180,'REGISTRO ABONOS'!$B$8:$BC$10041,54,0)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hidden="1" x14ac:dyDescent="0.2">
      <c r="B2181" s="31">
        <v>2172</v>
      </c>
      <c r="J2181">
        <f t="shared" si="39"/>
        <v>105000</v>
      </c>
      <c r="K2181" t="e">
        <f>VLOOKUP(B2181,'REGISTRO ABONOS'!$B$8:$BC$10041,54,0)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hidden="1" x14ac:dyDescent="0.2">
      <c r="B2182" s="31">
        <v>2173</v>
      </c>
      <c r="J2182">
        <f t="shared" si="39"/>
        <v>105000</v>
      </c>
      <c r="K2182" t="e">
        <f>VLOOKUP(B2182,'REGISTRO ABONOS'!$B$8:$BC$10041,54,0)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hidden="1" x14ac:dyDescent="0.2">
      <c r="B2183" s="31">
        <v>2174</v>
      </c>
      <c r="J2183">
        <f t="shared" si="39"/>
        <v>105000</v>
      </c>
      <c r="K2183" t="e">
        <f>VLOOKUP(B2183,'REGISTRO ABONOS'!$B$8:$BC$10041,54,0)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hidden="1" x14ac:dyDescent="0.2">
      <c r="B2184" s="31">
        <v>2175</v>
      </c>
      <c r="J2184">
        <f t="shared" si="39"/>
        <v>105000</v>
      </c>
      <c r="K2184" t="e">
        <f>VLOOKUP(B2184,'REGISTRO ABONOS'!$B$8:$BC$10041,54,0)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hidden="1" x14ac:dyDescent="0.2">
      <c r="B2185" s="31">
        <v>2176</v>
      </c>
      <c r="J2185">
        <f t="shared" si="39"/>
        <v>105000</v>
      </c>
      <c r="K2185" t="e">
        <f>VLOOKUP(B2185,'REGISTRO ABONOS'!$B$8:$BC$10041,54,0)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hidden="1" x14ac:dyDescent="0.2">
      <c r="B2186" s="31">
        <v>2177</v>
      </c>
      <c r="J2186">
        <f t="shared" si="39"/>
        <v>105000</v>
      </c>
      <c r="K2186" t="e">
        <f>VLOOKUP(B2186,'REGISTRO ABONOS'!$B$8:$BC$10041,54,0)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hidden="1" x14ac:dyDescent="0.2">
      <c r="B2187" s="31">
        <v>2178</v>
      </c>
      <c r="J2187">
        <f t="shared" si="39"/>
        <v>105000</v>
      </c>
      <c r="K2187" t="e">
        <f>VLOOKUP(B2187,'REGISTRO ABONOS'!$B$8:$BC$10041,54,0)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hidden="1" x14ac:dyDescent="0.2">
      <c r="B2188" s="31">
        <v>2179</v>
      </c>
      <c r="J2188">
        <f t="shared" si="39"/>
        <v>105000</v>
      </c>
      <c r="K2188" t="e">
        <f>VLOOKUP(B2188,'REGISTRO ABONOS'!$B$8:$BC$10041,54,0)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hidden="1" x14ac:dyDescent="0.2">
      <c r="B2189" s="31">
        <v>2180</v>
      </c>
      <c r="J2189">
        <f t="shared" si="39"/>
        <v>105000</v>
      </c>
      <c r="K2189" t="e">
        <f>VLOOKUP(B2189,'REGISTRO ABONOS'!$B$8:$BC$10041,54,0)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hidden="1" x14ac:dyDescent="0.2">
      <c r="B2190" s="31">
        <v>2181</v>
      </c>
      <c r="J2190">
        <f t="shared" si="39"/>
        <v>105000</v>
      </c>
      <c r="K2190" t="e">
        <f>VLOOKUP(B2190,'REGISTRO ABONOS'!$B$8:$BC$10041,54,0)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hidden="1" x14ac:dyDescent="0.2">
      <c r="B2191" s="31">
        <v>2182</v>
      </c>
      <c r="J2191">
        <f t="shared" si="39"/>
        <v>105000</v>
      </c>
      <c r="K2191" t="e">
        <f>VLOOKUP(B2191,'REGISTRO ABONOS'!$B$8:$BC$10041,54,0)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hidden="1" x14ac:dyDescent="0.2">
      <c r="B2192" s="31">
        <v>2183</v>
      </c>
      <c r="J2192">
        <f t="shared" si="39"/>
        <v>105000</v>
      </c>
      <c r="K2192" t="e">
        <f>VLOOKUP(B2192,'REGISTRO ABONOS'!$B$8:$BC$10041,54,0)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hidden="1" x14ac:dyDescent="0.2">
      <c r="B2193" s="31">
        <v>2184</v>
      </c>
      <c r="J2193">
        <f t="shared" si="39"/>
        <v>105000</v>
      </c>
      <c r="K2193" t="e">
        <f>VLOOKUP(B2193,'REGISTRO ABONOS'!$B$8:$BC$10041,54,0)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hidden="1" x14ac:dyDescent="0.2">
      <c r="B2194" s="31">
        <v>2185</v>
      </c>
      <c r="J2194">
        <f t="shared" si="39"/>
        <v>105000</v>
      </c>
      <c r="K2194" t="e">
        <f>VLOOKUP(B2194,'REGISTRO ABONOS'!$B$8:$BC$10041,54,0)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hidden="1" x14ac:dyDescent="0.2">
      <c r="B2195" s="31">
        <v>2186</v>
      </c>
      <c r="J2195">
        <f t="shared" si="39"/>
        <v>105000</v>
      </c>
      <c r="K2195" t="e">
        <f>VLOOKUP(B2195,'REGISTRO ABONOS'!$B$8:$BC$10041,54,0)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hidden="1" x14ac:dyDescent="0.2">
      <c r="B2196" s="31">
        <v>2187</v>
      </c>
      <c r="J2196">
        <f t="shared" si="39"/>
        <v>105000</v>
      </c>
      <c r="K2196" t="e">
        <f>VLOOKUP(B2196,'REGISTRO ABONOS'!$B$8:$BC$10041,54,0)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hidden="1" x14ac:dyDescent="0.2">
      <c r="B2197" s="31">
        <v>2188</v>
      </c>
      <c r="J2197">
        <f t="shared" si="39"/>
        <v>105000</v>
      </c>
      <c r="K2197" t="e">
        <f>VLOOKUP(B2197,'REGISTRO ABONOS'!$B$8:$BC$10041,54,0)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hidden="1" x14ac:dyDescent="0.2">
      <c r="B2198" s="31">
        <v>2189</v>
      </c>
      <c r="J2198">
        <f t="shared" si="39"/>
        <v>105000</v>
      </c>
      <c r="K2198" t="e">
        <f>VLOOKUP(B2198,'REGISTRO ABONOS'!$B$8:$BC$10041,54,0)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hidden="1" x14ac:dyDescent="0.2">
      <c r="B2199" s="31">
        <v>2190</v>
      </c>
      <c r="J2199">
        <f t="shared" si="39"/>
        <v>105000</v>
      </c>
      <c r="K2199" t="e">
        <f>VLOOKUP(B2199,'REGISTRO ABONOS'!$B$8:$BC$10041,54,0)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hidden="1" x14ac:dyDescent="0.2">
      <c r="B2200" s="31">
        <v>2191</v>
      </c>
      <c r="J2200">
        <f t="shared" si="39"/>
        <v>105000</v>
      </c>
      <c r="K2200" t="e">
        <f>VLOOKUP(B2200,'REGISTRO ABONOS'!$B$8:$BC$10041,54,0)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hidden="1" x14ac:dyDescent="0.2">
      <c r="B2201" s="31">
        <v>2192</v>
      </c>
      <c r="J2201">
        <f t="shared" si="39"/>
        <v>105000</v>
      </c>
      <c r="K2201" t="e">
        <f>VLOOKUP(B2201,'REGISTRO ABONOS'!$B$8:$BC$10041,54,0)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hidden="1" x14ac:dyDescent="0.2">
      <c r="B2202" s="31">
        <v>2193</v>
      </c>
      <c r="J2202">
        <f t="shared" si="39"/>
        <v>105000</v>
      </c>
      <c r="K2202" t="e">
        <f>VLOOKUP(B2202,'REGISTRO ABONOS'!$B$8:$BC$10041,54,0)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hidden="1" x14ac:dyDescent="0.2">
      <c r="B2203" s="31">
        <v>2194</v>
      </c>
      <c r="J2203">
        <f t="shared" si="39"/>
        <v>105000</v>
      </c>
      <c r="K2203" t="e">
        <f>VLOOKUP(B2203,'REGISTRO ABONOS'!$B$8:$BC$10041,54,0)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hidden="1" x14ac:dyDescent="0.2">
      <c r="B2204" s="31">
        <v>2195</v>
      </c>
      <c r="J2204">
        <f t="shared" si="39"/>
        <v>105000</v>
      </c>
      <c r="K2204" t="e">
        <f>VLOOKUP(B2204,'REGISTRO ABONOS'!$B$8:$BC$10041,54,0)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hidden="1" x14ac:dyDescent="0.2">
      <c r="B2205" s="31">
        <v>2196</v>
      </c>
      <c r="J2205">
        <f t="shared" si="39"/>
        <v>105000</v>
      </c>
      <c r="K2205" t="e">
        <f>VLOOKUP(B2205,'REGISTRO ABONOS'!$B$8:$BC$10041,54,0)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hidden="1" x14ac:dyDescent="0.2">
      <c r="B2206" s="31">
        <v>2197</v>
      </c>
      <c r="J2206">
        <f t="shared" si="39"/>
        <v>105000</v>
      </c>
      <c r="K2206" t="e">
        <f>VLOOKUP(B2206,'REGISTRO ABONOS'!$B$8:$BC$10041,54,0)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hidden="1" x14ac:dyDescent="0.2">
      <c r="B2207" s="31">
        <v>2198</v>
      </c>
      <c r="J2207">
        <f t="shared" si="39"/>
        <v>105000</v>
      </c>
      <c r="K2207" t="e">
        <f>VLOOKUP(B2207,'REGISTRO ABONOS'!$B$8:$BC$10041,54,0)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hidden="1" x14ac:dyDescent="0.2">
      <c r="B2208" s="31">
        <v>2199</v>
      </c>
      <c r="J2208">
        <f t="shared" si="39"/>
        <v>105000</v>
      </c>
      <c r="K2208" t="e">
        <f>VLOOKUP(B2208,'REGISTRO ABONOS'!$B$8:$BC$10041,54,0)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hidden="1" x14ac:dyDescent="0.2">
      <c r="B2209" s="31">
        <v>2200</v>
      </c>
      <c r="J2209">
        <f t="shared" si="39"/>
        <v>105000</v>
      </c>
      <c r="K2209" t="e">
        <f>VLOOKUP(B2209,'REGISTRO ABONOS'!$B$8:$BC$10041,54,0)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hidden="1" x14ac:dyDescent="0.2">
      <c r="B2210" s="31">
        <v>2201</v>
      </c>
      <c r="J2210">
        <f t="shared" si="39"/>
        <v>105000</v>
      </c>
      <c r="K2210" t="e">
        <f>VLOOKUP(B2210,'REGISTRO ABONOS'!$B$8:$BC$10041,54,0)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hidden="1" x14ac:dyDescent="0.2">
      <c r="B2211" s="31">
        <v>2202</v>
      </c>
      <c r="J2211">
        <f t="shared" si="39"/>
        <v>105000</v>
      </c>
      <c r="K2211" t="e">
        <f>VLOOKUP(B2211,'REGISTRO ABONOS'!$B$8:$BC$10041,54,0)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hidden="1" x14ac:dyDescent="0.2">
      <c r="B2212" s="31">
        <v>2203</v>
      </c>
      <c r="J2212">
        <f t="shared" si="39"/>
        <v>105000</v>
      </c>
      <c r="K2212" t="e">
        <f>VLOOKUP(B2212,'REGISTRO ABONOS'!$B$8:$BC$10041,54,0)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hidden="1" x14ac:dyDescent="0.2">
      <c r="B2213" s="31">
        <v>2204</v>
      </c>
      <c r="J2213">
        <f t="shared" si="39"/>
        <v>105000</v>
      </c>
      <c r="K2213" t="e">
        <f>VLOOKUP(B2213,'REGISTRO ABONOS'!$B$8:$BC$10041,54,0)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hidden="1" x14ac:dyDescent="0.2">
      <c r="B2214" s="31">
        <v>2205</v>
      </c>
      <c r="J2214">
        <f t="shared" si="39"/>
        <v>105000</v>
      </c>
      <c r="K2214" t="e">
        <f>VLOOKUP(B2214,'REGISTRO ABONOS'!$B$8:$BC$10041,54,0)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hidden="1" x14ac:dyDescent="0.2">
      <c r="B2215" s="31">
        <v>2206</v>
      </c>
      <c r="J2215">
        <f t="shared" si="39"/>
        <v>105000</v>
      </c>
      <c r="K2215" t="e">
        <f>VLOOKUP(B2215,'REGISTRO ABONOS'!$B$8:$BC$10041,54,0)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hidden="1" x14ac:dyDescent="0.2">
      <c r="B2216" s="31">
        <v>2207</v>
      </c>
      <c r="J2216">
        <f t="shared" si="39"/>
        <v>105000</v>
      </c>
      <c r="K2216" t="e">
        <f>VLOOKUP(B2216,'REGISTRO ABONOS'!$B$8:$BC$10041,54,0)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hidden="1" x14ac:dyDescent="0.2">
      <c r="B2217" s="31">
        <v>2208</v>
      </c>
      <c r="J2217">
        <f t="shared" si="39"/>
        <v>105000</v>
      </c>
      <c r="K2217" t="e">
        <f>VLOOKUP(B2217,'REGISTRO ABONOS'!$B$8:$BC$10041,54,0)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hidden="1" x14ac:dyDescent="0.2">
      <c r="B2218" s="31">
        <v>2209</v>
      </c>
      <c r="J2218">
        <f t="shared" si="39"/>
        <v>105000</v>
      </c>
      <c r="K2218" t="e">
        <f>VLOOKUP(B2218,'REGISTRO ABONOS'!$B$8:$BC$10041,54,0)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hidden="1" x14ac:dyDescent="0.2">
      <c r="B2219" s="31">
        <v>2210</v>
      </c>
      <c r="J2219">
        <f t="shared" si="39"/>
        <v>105000</v>
      </c>
      <c r="K2219" t="e">
        <f>VLOOKUP(B2219,'REGISTRO ABONOS'!$B$8:$BC$10041,54,0)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hidden="1" x14ac:dyDescent="0.2">
      <c r="B2220" s="31">
        <v>2211</v>
      </c>
      <c r="J2220">
        <f t="shared" si="39"/>
        <v>105000</v>
      </c>
      <c r="K2220" t="e">
        <f>VLOOKUP(B2220,'REGISTRO ABONOS'!$B$8:$BC$10041,54,0)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hidden="1" x14ac:dyDescent="0.2">
      <c r="B2221" s="31">
        <v>2212</v>
      </c>
      <c r="J2221">
        <f t="shared" si="39"/>
        <v>105000</v>
      </c>
      <c r="K2221" t="e">
        <f>VLOOKUP(B2221,'REGISTRO ABONOS'!$B$8:$BC$10041,54,0)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hidden="1" x14ac:dyDescent="0.2">
      <c r="B2222" s="31">
        <v>2213</v>
      </c>
      <c r="J2222">
        <f t="shared" si="39"/>
        <v>105000</v>
      </c>
      <c r="K2222" t="e">
        <f>VLOOKUP(B2222,'REGISTRO ABONOS'!$B$8:$BC$10041,54,0)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hidden="1" x14ac:dyDescent="0.2">
      <c r="B2223" s="31">
        <v>2214</v>
      </c>
      <c r="J2223">
        <f t="shared" si="39"/>
        <v>105000</v>
      </c>
      <c r="K2223" t="e">
        <f>VLOOKUP(B2223,'REGISTRO ABONOS'!$B$8:$BC$10041,54,0)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hidden="1" x14ac:dyDescent="0.2">
      <c r="B2224" s="31">
        <v>2215</v>
      </c>
      <c r="J2224">
        <f t="shared" si="39"/>
        <v>105000</v>
      </c>
      <c r="K2224" t="e">
        <f>VLOOKUP(B2224,'REGISTRO ABONOS'!$B$8:$BC$10041,54,0)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hidden="1" x14ac:dyDescent="0.2">
      <c r="B2225" s="31">
        <v>2216</v>
      </c>
      <c r="J2225">
        <f t="shared" si="39"/>
        <v>105000</v>
      </c>
      <c r="K2225" t="e">
        <f>VLOOKUP(B2225,'REGISTRO ABONOS'!$B$8:$BC$10041,54,0)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hidden="1" x14ac:dyDescent="0.2">
      <c r="B2226" s="31">
        <v>2217</v>
      </c>
      <c r="J2226">
        <f t="shared" si="39"/>
        <v>105000</v>
      </c>
      <c r="K2226" t="e">
        <f>VLOOKUP(B2226,'REGISTRO ABONOS'!$B$8:$BC$10041,54,0)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hidden="1" x14ac:dyDescent="0.2">
      <c r="B2227" s="31">
        <v>2218</v>
      </c>
      <c r="J2227">
        <f t="shared" si="39"/>
        <v>105000</v>
      </c>
      <c r="K2227" t="e">
        <f>VLOOKUP(B2227,'REGISTRO ABONOS'!$B$8:$BC$10041,54,0)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hidden="1" x14ac:dyDescent="0.2">
      <c r="B2228" s="31">
        <v>2219</v>
      </c>
      <c r="J2228">
        <f t="shared" si="39"/>
        <v>105000</v>
      </c>
      <c r="K2228" t="e">
        <f>VLOOKUP(B2228,'REGISTRO ABONOS'!$B$8:$BC$10041,54,0)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hidden="1" x14ac:dyDescent="0.2">
      <c r="B2229" s="31">
        <v>2220</v>
      </c>
      <c r="J2229">
        <f t="shared" si="39"/>
        <v>105000</v>
      </c>
      <c r="K2229" t="e">
        <f>VLOOKUP(B2229,'REGISTRO ABONOS'!$B$8:$BC$10041,54,0)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hidden="1" x14ac:dyDescent="0.2">
      <c r="B2230" s="31">
        <v>2221</v>
      </c>
      <c r="J2230">
        <f t="shared" si="39"/>
        <v>105000</v>
      </c>
      <c r="K2230" t="e">
        <f>VLOOKUP(B2230,'REGISTRO ABONOS'!$B$8:$BC$10041,54,0)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hidden="1" x14ac:dyDescent="0.2">
      <c r="B2231" s="31">
        <v>2222</v>
      </c>
      <c r="J2231">
        <f t="shared" si="39"/>
        <v>105000</v>
      </c>
      <c r="K2231" t="e">
        <f>VLOOKUP(B2231,'REGISTRO ABONOS'!$B$8:$BC$10041,54,0)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hidden="1" x14ac:dyDescent="0.2">
      <c r="B2232" s="31">
        <v>2223</v>
      </c>
      <c r="J2232">
        <f t="shared" si="39"/>
        <v>105000</v>
      </c>
      <c r="K2232" t="e">
        <f>VLOOKUP(B2232,'REGISTRO ABONOS'!$B$8:$BC$10041,54,0)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hidden="1" x14ac:dyDescent="0.2">
      <c r="B2233" s="31">
        <v>2224</v>
      </c>
      <c r="J2233">
        <f t="shared" si="39"/>
        <v>105000</v>
      </c>
      <c r="K2233" t="e">
        <f>VLOOKUP(B2233,'REGISTRO ABONOS'!$B$8:$BC$10041,54,0)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hidden="1" x14ac:dyDescent="0.2">
      <c r="B2234" s="31">
        <v>2225</v>
      </c>
      <c r="J2234">
        <f t="shared" si="39"/>
        <v>105000</v>
      </c>
      <c r="K2234" t="e">
        <f>VLOOKUP(B2234,'REGISTRO ABONOS'!$B$8:$BC$10041,54,0)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hidden="1" x14ac:dyDescent="0.2">
      <c r="B2235" s="31">
        <v>2226</v>
      </c>
      <c r="J2235">
        <f t="shared" si="39"/>
        <v>105000</v>
      </c>
      <c r="K2235" t="e">
        <f>VLOOKUP(B2235,'REGISTRO ABONOS'!$B$8:$BC$10041,54,0)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hidden="1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ABONOS'!$B$8:$BC$10041,54,0)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hidden="1" x14ac:dyDescent="0.2">
      <c r="B2237" s="31">
        <v>2228</v>
      </c>
      <c r="J2237">
        <f t="shared" si="40"/>
        <v>105000</v>
      </c>
      <c r="K2237" t="e">
        <f>VLOOKUP(B2237,'REGISTRO ABONOS'!$B$8:$BC$10041,54,0)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hidden="1" x14ac:dyDescent="0.2">
      <c r="B2238" s="31">
        <v>2229</v>
      </c>
      <c r="J2238">
        <f t="shared" si="40"/>
        <v>105000</v>
      </c>
      <c r="K2238" t="e">
        <f>VLOOKUP(B2238,'REGISTRO ABONOS'!$B$8:$BC$10041,54,0)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hidden="1" x14ac:dyDescent="0.2">
      <c r="B2239" s="31">
        <v>2230</v>
      </c>
      <c r="J2239">
        <f t="shared" si="40"/>
        <v>105000</v>
      </c>
      <c r="K2239" t="e">
        <f>VLOOKUP(B2239,'REGISTRO ABONOS'!$B$8:$BC$10041,54,0)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hidden="1" x14ac:dyDescent="0.2">
      <c r="B2240" s="31">
        <v>2231</v>
      </c>
      <c r="J2240">
        <f t="shared" si="40"/>
        <v>105000</v>
      </c>
      <c r="K2240" t="e">
        <f>VLOOKUP(B2240,'REGISTRO ABONOS'!$B$8:$BC$10041,54,0)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hidden="1" x14ac:dyDescent="0.2">
      <c r="B2241" s="31">
        <v>2232</v>
      </c>
      <c r="J2241">
        <f t="shared" si="40"/>
        <v>105000</v>
      </c>
      <c r="K2241" t="e">
        <f>VLOOKUP(B2241,'REGISTRO ABONOS'!$B$8:$BC$10041,54,0)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hidden="1" x14ac:dyDescent="0.2">
      <c r="B2242" s="31">
        <v>2233</v>
      </c>
      <c r="J2242">
        <f t="shared" si="40"/>
        <v>105000</v>
      </c>
      <c r="K2242" t="e">
        <f>VLOOKUP(B2242,'REGISTRO ABONOS'!$B$8:$BC$10041,54,0)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hidden="1" x14ac:dyDescent="0.2">
      <c r="B2243" s="31">
        <v>2234</v>
      </c>
      <c r="J2243">
        <f t="shared" si="40"/>
        <v>105000</v>
      </c>
      <c r="K2243" t="e">
        <f>VLOOKUP(B2243,'REGISTRO ABONOS'!$B$8:$BC$10041,54,0)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hidden="1" x14ac:dyDescent="0.2">
      <c r="B2244" s="31">
        <v>2235</v>
      </c>
      <c r="J2244">
        <f t="shared" si="40"/>
        <v>105000</v>
      </c>
      <c r="K2244" t="e">
        <f>VLOOKUP(B2244,'REGISTRO ABONOS'!$B$8:$BC$10041,54,0)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hidden="1" x14ac:dyDescent="0.2">
      <c r="B2245" s="31">
        <v>2236</v>
      </c>
      <c r="J2245">
        <f t="shared" si="40"/>
        <v>105000</v>
      </c>
      <c r="K2245" t="e">
        <f>VLOOKUP(B2245,'REGISTRO ABONOS'!$B$8:$BC$10041,54,0)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hidden="1" x14ac:dyDescent="0.2">
      <c r="B2246" s="31">
        <v>2237</v>
      </c>
      <c r="J2246">
        <f t="shared" si="40"/>
        <v>105000</v>
      </c>
      <c r="K2246" t="e">
        <f>VLOOKUP(B2246,'REGISTRO ABONOS'!$B$8:$BC$10041,54,0)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hidden="1" x14ac:dyDescent="0.2">
      <c r="B2247" s="31">
        <v>2238</v>
      </c>
      <c r="J2247">
        <f t="shared" si="40"/>
        <v>105000</v>
      </c>
      <c r="K2247" t="e">
        <f>VLOOKUP(B2247,'REGISTRO ABONOS'!$B$8:$BC$10041,54,0)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hidden="1" x14ac:dyDescent="0.2">
      <c r="B2248" s="31">
        <v>2239</v>
      </c>
      <c r="J2248">
        <f t="shared" si="40"/>
        <v>105000</v>
      </c>
      <c r="K2248" t="e">
        <f>VLOOKUP(B2248,'REGISTRO ABONOS'!$B$8:$BC$10041,54,0)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hidden="1" x14ac:dyDescent="0.2">
      <c r="B2249" s="31">
        <v>2240</v>
      </c>
      <c r="J2249">
        <f t="shared" si="40"/>
        <v>105000</v>
      </c>
      <c r="K2249" t="e">
        <f>VLOOKUP(B2249,'REGISTRO ABONOS'!$B$8:$BC$10041,54,0)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hidden="1" x14ac:dyDescent="0.2">
      <c r="B2250" s="31">
        <v>2241</v>
      </c>
      <c r="J2250">
        <f t="shared" si="40"/>
        <v>105000</v>
      </c>
      <c r="K2250" t="e">
        <f>VLOOKUP(B2250,'REGISTRO ABONOS'!$B$8:$BC$10041,54,0)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hidden="1" x14ac:dyDescent="0.2">
      <c r="B2251" s="31">
        <v>2242</v>
      </c>
      <c r="J2251">
        <f t="shared" si="40"/>
        <v>105000</v>
      </c>
      <c r="K2251" t="e">
        <f>VLOOKUP(B2251,'REGISTRO ABONOS'!$B$8:$BC$10041,54,0)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hidden="1" x14ac:dyDescent="0.2">
      <c r="B2252" s="31">
        <v>2243</v>
      </c>
      <c r="J2252">
        <f t="shared" si="40"/>
        <v>105000</v>
      </c>
      <c r="K2252" t="e">
        <f>VLOOKUP(B2252,'REGISTRO ABONOS'!$B$8:$BC$10041,54,0)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hidden="1" x14ac:dyDescent="0.2">
      <c r="B2253" s="31">
        <v>2244</v>
      </c>
      <c r="J2253">
        <f t="shared" si="40"/>
        <v>105000</v>
      </c>
      <c r="K2253" t="e">
        <f>VLOOKUP(B2253,'REGISTRO ABONOS'!$B$8:$BC$10041,54,0)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hidden="1" x14ac:dyDescent="0.2">
      <c r="B2254" s="31">
        <v>2245</v>
      </c>
      <c r="J2254">
        <f t="shared" si="40"/>
        <v>105000</v>
      </c>
      <c r="K2254" t="e">
        <f>VLOOKUP(B2254,'REGISTRO ABONOS'!$B$8:$BC$10041,54,0)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hidden="1" x14ac:dyDescent="0.2">
      <c r="B2255" s="31">
        <v>2246</v>
      </c>
      <c r="J2255">
        <f t="shared" si="40"/>
        <v>105000</v>
      </c>
      <c r="K2255" t="e">
        <f>VLOOKUP(B2255,'REGISTRO ABONOS'!$B$8:$BC$10041,54,0)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hidden="1" x14ac:dyDescent="0.2">
      <c r="B2256" s="31">
        <v>2247</v>
      </c>
      <c r="J2256">
        <f t="shared" si="40"/>
        <v>105000</v>
      </c>
      <c r="K2256" t="e">
        <f>VLOOKUP(B2256,'REGISTRO ABONOS'!$B$8:$BC$10041,54,0)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hidden="1" x14ac:dyDescent="0.2">
      <c r="B2257" s="31">
        <v>2248</v>
      </c>
      <c r="J2257">
        <f t="shared" si="40"/>
        <v>105000</v>
      </c>
      <c r="K2257" t="e">
        <f>VLOOKUP(B2257,'REGISTRO ABONOS'!$B$8:$BC$10041,54,0)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hidden="1" x14ac:dyDescent="0.2">
      <c r="B2258" s="31">
        <v>2249</v>
      </c>
      <c r="J2258">
        <f t="shared" si="40"/>
        <v>105000</v>
      </c>
      <c r="K2258" t="e">
        <f>VLOOKUP(B2258,'REGISTRO ABONOS'!$B$8:$BC$10041,54,0)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hidden="1" x14ac:dyDescent="0.2">
      <c r="B2259" s="31">
        <v>2250</v>
      </c>
      <c r="J2259">
        <f t="shared" si="40"/>
        <v>105000</v>
      </c>
      <c r="K2259" t="e">
        <f>VLOOKUP(B2259,'REGISTRO ABONOS'!$B$8:$BC$10041,54,0)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hidden="1" x14ac:dyDescent="0.2">
      <c r="B2260" s="31">
        <v>2251</v>
      </c>
      <c r="J2260">
        <f t="shared" si="40"/>
        <v>105000</v>
      </c>
      <c r="K2260" t="e">
        <f>VLOOKUP(B2260,'REGISTRO ABONOS'!$B$8:$BC$10041,54,0)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hidden="1" x14ac:dyDescent="0.2">
      <c r="B2261" s="31">
        <v>2252</v>
      </c>
      <c r="J2261">
        <f t="shared" si="40"/>
        <v>105000</v>
      </c>
      <c r="K2261" t="e">
        <f>VLOOKUP(B2261,'REGISTRO ABONOS'!$B$8:$BC$10041,54,0)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hidden="1" x14ac:dyDescent="0.2">
      <c r="B2262" s="31">
        <v>2253</v>
      </c>
      <c r="J2262">
        <f t="shared" si="40"/>
        <v>105000</v>
      </c>
      <c r="K2262" t="e">
        <f>VLOOKUP(B2262,'REGISTRO ABONOS'!$B$8:$BC$10041,54,0)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hidden="1" x14ac:dyDescent="0.2">
      <c r="B2263" s="31">
        <v>2254</v>
      </c>
      <c r="J2263">
        <f t="shared" si="40"/>
        <v>105000</v>
      </c>
      <c r="K2263" t="e">
        <f>VLOOKUP(B2263,'REGISTRO ABONOS'!$B$8:$BC$10041,54,0)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hidden="1" x14ac:dyDescent="0.2">
      <c r="B2264" s="31">
        <v>2255</v>
      </c>
      <c r="J2264">
        <f t="shared" si="40"/>
        <v>105000</v>
      </c>
      <c r="K2264" t="e">
        <f>VLOOKUP(B2264,'REGISTRO ABONOS'!$B$8:$BC$10041,54,0)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hidden="1" x14ac:dyDescent="0.2">
      <c r="B2265" s="31">
        <v>2256</v>
      </c>
      <c r="J2265">
        <f t="shared" si="40"/>
        <v>105000</v>
      </c>
      <c r="K2265" t="e">
        <f>VLOOKUP(B2265,'REGISTRO ABONOS'!$B$8:$BC$10041,54,0)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hidden="1" x14ac:dyDescent="0.2">
      <c r="B2266" s="31">
        <v>2257</v>
      </c>
      <c r="J2266">
        <f t="shared" si="40"/>
        <v>105000</v>
      </c>
      <c r="K2266" t="e">
        <f>VLOOKUP(B2266,'REGISTRO ABONOS'!$B$8:$BC$10041,54,0)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hidden="1" x14ac:dyDescent="0.2">
      <c r="B2267" s="31">
        <v>2258</v>
      </c>
      <c r="J2267">
        <f t="shared" si="40"/>
        <v>105000</v>
      </c>
      <c r="K2267" t="e">
        <f>VLOOKUP(B2267,'REGISTRO ABONOS'!$B$8:$BC$10041,54,0)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hidden="1" x14ac:dyDescent="0.2">
      <c r="B2268" s="31">
        <v>2259</v>
      </c>
      <c r="J2268">
        <f t="shared" si="40"/>
        <v>105000</v>
      </c>
      <c r="K2268" t="e">
        <f>VLOOKUP(B2268,'REGISTRO ABONOS'!$B$8:$BC$10041,54,0)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hidden="1" x14ac:dyDescent="0.2">
      <c r="B2269" s="31">
        <v>2260</v>
      </c>
      <c r="J2269">
        <f t="shared" si="40"/>
        <v>105000</v>
      </c>
      <c r="K2269" t="e">
        <f>VLOOKUP(B2269,'REGISTRO ABONOS'!$B$8:$BC$10041,54,0)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hidden="1" x14ac:dyDescent="0.2">
      <c r="B2270" s="31">
        <v>2261</v>
      </c>
      <c r="J2270">
        <f t="shared" si="40"/>
        <v>105000</v>
      </c>
      <c r="K2270" t="e">
        <f>VLOOKUP(B2270,'REGISTRO ABONOS'!$B$8:$BC$10041,54,0)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hidden="1" x14ac:dyDescent="0.2">
      <c r="B2271" s="31">
        <v>2262</v>
      </c>
      <c r="J2271">
        <f t="shared" si="40"/>
        <v>105000</v>
      </c>
      <c r="K2271" t="e">
        <f>VLOOKUP(B2271,'REGISTRO ABONOS'!$B$8:$BC$10041,54,0)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hidden="1" x14ac:dyDescent="0.2">
      <c r="B2272" s="31">
        <v>2263</v>
      </c>
      <c r="J2272">
        <f t="shared" si="40"/>
        <v>105000</v>
      </c>
      <c r="K2272" t="e">
        <f>VLOOKUP(B2272,'REGISTRO ABONOS'!$B$8:$BC$10041,54,0)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hidden="1" x14ac:dyDescent="0.2">
      <c r="B2273" s="31">
        <v>2264</v>
      </c>
      <c r="J2273">
        <f t="shared" si="40"/>
        <v>105000</v>
      </c>
      <c r="K2273" t="e">
        <f>VLOOKUP(B2273,'REGISTRO ABONOS'!$B$8:$BC$10041,54,0)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hidden="1" x14ac:dyDescent="0.2">
      <c r="B2274" s="31">
        <v>2265</v>
      </c>
      <c r="J2274">
        <f t="shared" si="40"/>
        <v>105000</v>
      </c>
      <c r="K2274" t="e">
        <f>VLOOKUP(B2274,'REGISTRO ABONOS'!$B$8:$BC$10041,54,0)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hidden="1" x14ac:dyDescent="0.2">
      <c r="B2275" s="31">
        <v>2266</v>
      </c>
      <c r="J2275">
        <f t="shared" si="40"/>
        <v>105000</v>
      </c>
      <c r="K2275" t="e">
        <f>VLOOKUP(B2275,'REGISTRO ABONOS'!$B$8:$BC$10041,54,0)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hidden="1" x14ac:dyDescent="0.2">
      <c r="B2276" s="31">
        <v>2267</v>
      </c>
      <c r="J2276">
        <f t="shared" si="40"/>
        <v>105000</v>
      </c>
      <c r="K2276" t="e">
        <f>VLOOKUP(B2276,'REGISTRO ABONOS'!$B$8:$BC$10041,54,0)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hidden="1" x14ac:dyDescent="0.2">
      <c r="B2277" s="31">
        <v>2268</v>
      </c>
      <c r="J2277">
        <f t="shared" si="40"/>
        <v>105000</v>
      </c>
      <c r="K2277" t="e">
        <f>VLOOKUP(B2277,'REGISTRO ABONOS'!$B$8:$BC$10041,54,0)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hidden="1" x14ac:dyDescent="0.2">
      <c r="B2278" s="31">
        <v>2269</v>
      </c>
      <c r="J2278">
        <f t="shared" si="40"/>
        <v>105000</v>
      </c>
      <c r="K2278" t="e">
        <f>VLOOKUP(B2278,'REGISTRO ABONOS'!$B$8:$BC$10041,54,0)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hidden="1" x14ac:dyDescent="0.2">
      <c r="B2279" s="31">
        <v>2270</v>
      </c>
      <c r="J2279">
        <f t="shared" si="40"/>
        <v>105000</v>
      </c>
      <c r="K2279" t="e">
        <f>VLOOKUP(B2279,'REGISTRO ABONOS'!$B$8:$BC$10041,54,0)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hidden="1" x14ac:dyDescent="0.2">
      <c r="B2280" s="31">
        <v>2271</v>
      </c>
      <c r="J2280">
        <f t="shared" si="40"/>
        <v>105000</v>
      </c>
      <c r="K2280" t="e">
        <f>VLOOKUP(B2280,'REGISTRO ABONOS'!$B$8:$BC$10041,54,0)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hidden="1" x14ac:dyDescent="0.2">
      <c r="B2281" s="31">
        <v>2272</v>
      </c>
      <c r="J2281">
        <f t="shared" si="40"/>
        <v>105000</v>
      </c>
      <c r="K2281" t="e">
        <f>VLOOKUP(B2281,'REGISTRO ABONOS'!$B$8:$BC$10041,54,0)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hidden="1" x14ac:dyDescent="0.2">
      <c r="B2282" s="31">
        <v>2273</v>
      </c>
      <c r="J2282">
        <f t="shared" si="40"/>
        <v>105000</v>
      </c>
      <c r="K2282" t="e">
        <f>VLOOKUP(B2282,'REGISTRO ABONOS'!$B$8:$BC$10041,54,0)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hidden="1" x14ac:dyDescent="0.2">
      <c r="B2283" s="31">
        <v>2274</v>
      </c>
      <c r="J2283">
        <f t="shared" si="40"/>
        <v>105000</v>
      </c>
      <c r="K2283" t="e">
        <f>VLOOKUP(B2283,'REGISTRO ABONOS'!$B$8:$BC$10041,54,0)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hidden="1" x14ac:dyDescent="0.2">
      <c r="B2284" s="31">
        <v>2275</v>
      </c>
      <c r="J2284">
        <f t="shared" si="40"/>
        <v>105000</v>
      </c>
      <c r="K2284" t="e">
        <f>VLOOKUP(B2284,'REGISTRO ABONOS'!$B$8:$BC$10041,54,0)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hidden="1" x14ac:dyDescent="0.2">
      <c r="B2285" s="31">
        <v>2276</v>
      </c>
      <c r="J2285">
        <f t="shared" si="40"/>
        <v>105000</v>
      </c>
      <c r="K2285" t="e">
        <f>VLOOKUP(B2285,'REGISTRO ABONOS'!$B$8:$BC$10041,54,0)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hidden="1" x14ac:dyDescent="0.2">
      <c r="B2286" s="31">
        <v>2277</v>
      </c>
      <c r="J2286">
        <f t="shared" si="40"/>
        <v>105000</v>
      </c>
      <c r="K2286" t="e">
        <f>VLOOKUP(B2286,'REGISTRO ABONOS'!$B$8:$BC$10041,54,0)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hidden="1" x14ac:dyDescent="0.2">
      <c r="B2287" s="31">
        <v>2278</v>
      </c>
      <c r="J2287">
        <f t="shared" si="40"/>
        <v>105000</v>
      </c>
      <c r="K2287" t="e">
        <f>VLOOKUP(B2287,'REGISTRO ABONOS'!$B$8:$BC$10041,54,0)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hidden="1" x14ac:dyDescent="0.2">
      <c r="B2288" s="31">
        <v>2279</v>
      </c>
      <c r="J2288">
        <f t="shared" si="40"/>
        <v>105000</v>
      </c>
      <c r="K2288" t="e">
        <f>VLOOKUP(B2288,'REGISTRO ABONOS'!$B$8:$BC$10041,54,0)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hidden="1" x14ac:dyDescent="0.2">
      <c r="B2289" s="31">
        <v>2280</v>
      </c>
      <c r="J2289">
        <f t="shared" si="40"/>
        <v>105000</v>
      </c>
      <c r="K2289" t="e">
        <f>VLOOKUP(B2289,'REGISTRO ABONOS'!$B$8:$BC$10041,54,0)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hidden="1" x14ac:dyDescent="0.2">
      <c r="B2290" s="31">
        <v>2281</v>
      </c>
      <c r="J2290">
        <f t="shared" si="40"/>
        <v>105000</v>
      </c>
      <c r="K2290" t="e">
        <f>VLOOKUP(B2290,'REGISTRO ABONOS'!$B$8:$BC$10041,54,0)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hidden="1" x14ac:dyDescent="0.2">
      <c r="B2291" s="31">
        <v>2282</v>
      </c>
      <c r="J2291">
        <f t="shared" si="40"/>
        <v>105000</v>
      </c>
      <c r="K2291" t="e">
        <f>VLOOKUP(B2291,'REGISTRO ABONOS'!$B$8:$BC$10041,54,0)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hidden="1" x14ac:dyDescent="0.2">
      <c r="B2292" s="31">
        <v>2283</v>
      </c>
      <c r="J2292">
        <f t="shared" si="40"/>
        <v>105000</v>
      </c>
      <c r="K2292" t="e">
        <f>VLOOKUP(B2292,'REGISTRO ABONOS'!$B$8:$BC$10041,54,0)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hidden="1" x14ac:dyDescent="0.2">
      <c r="B2293" s="31">
        <v>2284</v>
      </c>
      <c r="J2293">
        <f t="shared" si="40"/>
        <v>105000</v>
      </c>
      <c r="K2293" t="e">
        <f>VLOOKUP(B2293,'REGISTRO ABONOS'!$B$8:$BC$10041,54,0)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hidden="1" x14ac:dyDescent="0.2">
      <c r="B2294" s="31">
        <v>2285</v>
      </c>
      <c r="J2294">
        <f t="shared" si="40"/>
        <v>105000</v>
      </c>
      <c r="K2294" t="e">
        <f>VLOOKUP(B2294,'REGISTRO ABONOS'!$B$8:$BC$10041,54,0)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hidden="1" x14ac:dyDescent="0.2">
      <c r="B2295" s="31">
        <v>2286</v>
      </c>
      <c r="J2295">
        <f t="shared" si="40"/>
        <v>105000</v>
      </c>
      <c r="K2295" t="e">
        <f>VLOOKUP(B2295,'REGISTRO ABONOS'!$B$8:$BC$10041,54,0)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hidden="1" x14ac:dyDescent="0.2">
      <c r="B2296" s="31">
        <v>2287</v>
      </c>
      <c r="J2296">
        <f t="shared" si="40"/>
        <v>105000</v>
      </c>
      <c r="K2296" t="e">
        <f>VLOOKUP(B2296,'REGISTRO ABONOS'!$B$8:$BC$10041,54,0)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hidden="1" x14ac:dyDescent="0.2">
      <c r="B2297" s="31">
        <v>2288</v>
      </c>
      <c r="J2297">
        <f t="shared" si="40"/>
        <v>105000</v>
      </c>
      <c r="K2297" t="e">
        <f>VLOOKUP(B2297,'REGISTRO ABONOS'!$B$8:$BC$10041,54,0)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hidden="1" x14ac:dyDescent="0.2">
      <c r="B2298" s="31">
        <v>2289</v>
      </c>
      <c r="J2298">
        <f t="shared" si="40"/>
        <v>105000</v>
      </c>
      <c r="K2298" t="e">
        <f>VLOOKUP(B2298,'REGISTRO ABONOS'!$B$8:$BC$10041,54,0)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hidden="1" x14ac:dyDescent="0.2">
      <c r="B2299" s="31">
        <v>2290</v>
      </c>
      <c r="J2299">
        <f t="shared" si="40"/>
        <v>105000</v>
      </c>
      <c r="K2299" t="e">
        <f>VLOOKUP(B2299,'REGISTRO ABONOS'!$B$8:$BC$10041,54,0)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hidden="1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ABONOS'!$B$8:$BC$10041,54,0)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hidden="1" x14ac:dyDescent="0.2">
      <c r="B2301" s="31">
        <v>2292</v>
      </c>
      <c r="J2301">
        <f t="shared" si="41"/>
        <v>105000</v>
      </c>
      <c r="K2301" t="e">
        <f>VLOOKUP(B2301,'REGISTRO ABONOS'!$B$8:$BC$10041,54,0)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hidden="1" x14ac:dyDescent="0.2">
      <c r="B2302" s="31">
        <v>2293</v>
      </c>
      <c r="J2302">
        <f t="shared" si="41"/>
        <v>105000</v>
      </c>
      <c r="K2302" t="e">
        <f>VLOOKUP(B2302,'REGISTRO ABONOS'!$B$8:$BC$10041,54,0)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hidden="1" x14ac:dyDescent="0.2">
      <c r="B2303" s="31">
        <v>2294</v>
      </c>
      <c r="J2303">
        <f t="shared" si="41"/>
        <v>105000</v>
      </c>
      <c r="K2303" t="e">
        <f>VLOOKUP(B2303,'REGISTRO ABONOS'!$B$8:$BC$10041,54,0)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hidden="1" x14ac:dyDescent="0.2">
      <c r="B2304" s="31">
        <v>2295</v>
      </c>
      <c r="J2304">
        <f t="shared" si="41"/>
        <v>105000</v>
      </c>
      <c r="K2304" t="e">
        <f>VLOOKUP(B2304,'REGISTRO ABONOS'!$B$8:$BC$10041,54,0)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hidden="1" x14ac:dyDescent="0.2">
      <c r="B2305" s="31">
        <v>2296</v>
      </c>
      <c r="J2305">
        <f t="shared" si="41"/>
        <v>105000</v>
      </c>
      <c r="K2305" t="e">
        <f>VLOOKUP(B2305,'REGISTRO ABONOS'!$B$8:$BC$10041,54,0)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hidden="1" x14ac:dyDescent="0.2">
      <c r="B2306" s="31">
        <v>2297</v>
      </c>
      <c r="J2306">
        <f t="shared" si="41"/>
        <v>105000</v>
      </c>
      <c r="K2306" t="e">
        <f>VLOOKUP(B2306,'REGISTRO ABONOS'!$B$8:$BC$10041,54,0)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hidden="1" x14ac:dyDescent="0.2">
      <c r="B2307" s="31">
        <v>2298</v>
      </c>
      <c r="J2307">
        <f t="shared" si="41"/>
        <v>105000</v>
      </c>
      <c r="K2307" t="e">
        <f>VLOOKUP(B2307,'REGISTRO ABONOS'!$B$8:$BC$10041,54,0)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hidden="1" x14ac:dyDescent="0.2">
      <c r="B2308" s="31">
        <v>2299</v>
      </c>
      <c r="J2308">
        <f t="shared" si="41"/>
        <v>105000</v>
      </c>
      <c r="K2308" t="e">
        <f>VLOOKUP(B2308,'REGISTRO ABONOS'!$B$8:$BC$10041,54,0)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hidden="1" x14ac:dyDescent="0.2">
      <c r="B2309" s="31">
        <v>2300</v>
      </c>
      <c r="J2309">
        <f t="shared" si="41"/>
        <v>105000</v>
      </c>
      <c r="K2309" t="e">
        <f>VLOOKUP(B2309,'REGISTRO ABONOS'!$B$8:$BC$10041,54,0)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hidden="1" x14ac:dyDescent="0.2">
      <c r="B2310" s="31">
        <v>2301</v>
      </c>
      <c r="J2310">
        <f t="shared" si="41"/>
        <v>105000</v>
      </c>
      <c r="K2310" t="e">
        <f>VLOOKUP(B2310,'REGISTRO ABONOS'!$B$8:$BC$10041,54,0)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hidden="1" x14ac:dyDescent="0.2">
      <c r="B2311" s="31">
        <v>2302</v>
      </c>
      <c r="J2311">
        <f t="shared" si="41"/>
        <v>105000</v>
      </c>
      <c r="K2311" t="e">
        <f>VLOOKUP(B2311,'REGISTRO ABONOS'!$B$8:$BC$10041,54,0)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hidden="1" x14ac:dyDescent="0.2">
      <c r="B2312" s="31">
        <v>2303</v>
      </c>
      <c r="J2312">
        <f t="shared" si="41"/>
        <v>105000</v>
      </c>
      <c r="K2312" t="e">
        <f>VLOOKUP(B2312,'REGISTRO ABONOS'!$B$8:$BC$10041,54,0)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hidden="1" x14ac:dyDescent="0.2">
      <c r="B2313" s="31">
        <v>2304</v>
      </c>
      <c r="J2313">
        <f t="shared" si="41"/>
        <v>105000</v>
      </c>
      <c r="K2313" t="e">
        <f>VLOOKUP(B2313,'REGISTRO ABONOS'!$B$8:$BC$10041,54,0)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hidden="1" x14ac:dyDescent="0.2">
      <c r="B2314" s="31">
        <v>2305</v>
      </c>
      <c r="J2314">
        <f t="shared" si="41"/>
        <v>105000</v>
      </c>
      <c r="K2314" t="e">
        <f>VLOOKUP(B2314,'REGISTRO ABONOS'!$B$8:$BC$10041,54,0)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hidden="1" x14ac:dyDescent="0.2">
      <c r="B2315" s="31">
        <v>2306</v>
      </c>
      <c r="J2315">
        <f t="shared" si="41"/>
        <v>105000</v>
      </c>
      <c r="K2315" t="e">
        <f>VLOOKUP(B2315,'REGISTRO ABONOS'!$B$8:$BC$10041,54,0)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hidden="1" x14ac:dyDescent="0.2">
      <c r="B2316" s="31">
        <v>2307</v>
      </c>
      <c r="J2316">
        <f t="shared" si="41"/>
        <v>105000</v>
      </c>
      <c r="K2316" t="e">
        <f>VLOOKUP(B2316,'REGISTRO ABONOS'!$B$8:$BC$10041,54,0)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1"/>
        <v>105000</v>
      </c>
      <c r="K2317" t="e">
        <f>VLOOKUP(B2317,'REGISTRO ABONOS'!$B$8:$BC$10041,54,0)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hidden="1" x14ac:dyDescent="0.2">
      <c r="B2318" s="31">
        <v>2309</v>
      </c>
      <c r="J2318">
        <f t="shared" si="41"/>
        <v>105000</v>
      </c>
      <c r="K2318" t="e">
        <f>VLOOKUP(B2318,'REGISTRO ABONOS'!$B$8:$BC$10041,54,0)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hidden="1" x14ac:dyDescent="0.2">
      <c r="B2319" s="31">
        <v>2310</v>
      </c>
      <c r="J2319">
        <f t="shared" si="41"/>
        <v>105000</v>
      </c>
      <c r="K2319" t="e">
        <f>VLOOKUP(B2319,'REGISTRO ABONOS'!$B$8:$BC$10041,54,0)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hidden="1" x14ac:dyDescent="0.2">
      <c r="B2320" s="31">
        <v>2311</v>
      </c>
      <c r="J2320">
        <f t="shared" si="41"/>
        <v>105000</v>
      </c>
      <c r="K2320" t="e">
        <f>VLOOKUP(B2320,'REGISTRO ABONOS'!$B$8:$BC$10041,54,0)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hidden="1" x14ac:dyDescent="0.2">
      <c r="B2321" s="31">
        <v>2312</v>
      </c>
      <c r="J2321">
        <f t="shared" si="41"/>
        <v>105000</v>
      </c>
      <c r="K2321" t="e">
        <f>VLOOKUP(B2321,'REGISTRO ABONOS'!$B$8:$BC$10041,54,0)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hidden="1" x14ac:dyDescent="0.2">
      <c r="B2322" s="31">
        <v>2313</v>
      </c>
      <c r="J2322">
        <f t="shared" si="41"/>
        <v>105000</v>
      </c>
      <c r="K2322" t="e">
        <f>VLOOKUP(B2322,'REGISTRO ABONOS'!$B$8:$BC$10041,54,0)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hidden="1" x14ac:dyDescent="0.2">
      <c r="B2323" s="31">
        <v>2314</v>
      </c>
      <c r="J2323">
        <f t="shared" si="41"/>
        <v>105000</v>
      </c>
      <c r="K2323" t="e">
        <f>VLOOKUP(B2323,'REGISTRO ABONOS'!$B$8:$BC$10041,54,0)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hidden="1" x14ac:dyDescent="0.2">
      <c r="B2324" s="31">
        <v>2315</v>
      </c>
      <c r="J2324">
        <f t="shared" si="41"/>
        <v>105000</v>
      </c>
      <c r="K2324" t="e">
        <f>VLOOKUP(B2324,'REGISTRO ABONOS'!$B$8:$BC$10041,54,0)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hidden="1" x14ac:dyDescent="0.2">
      <c r="B2325" s="31">
        <v>2316</v>
      </c>
      <c r="J2325">
        <f t="shared" si="41"/>
        <v>105000</v>
      </c>
      <c r="K2325" t="e">
        <f>VLOOKUP(B2325,'REGISTRO ABONOS'!$B$8:$BC$10041,54,0)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1"/>
        <v>105000</v>
      </c>
      <c r="K2326" t="e">
        <f>VLOOKUP(B2326,'REGISTRO ABONOS'!$B$8:$BC$10041,54,0)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1"/>
        <v>105000</v>
      </c>
      <c r="K2327" t="e">
        <f>VLOOKUP(B2327,'REGISTRO ABONOS'!$B$8:$BC$10041,54,0)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1"/>
        <v>105000</v>
      </c>
      <c r="K2328" t="e">
        <f>VLOOKUP(B2328,'REGISTRO ABONOS'!$B$8:$BC$10041,54,0)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hidden="1" x14ac:dyDescent="0.2">
      <c r="B2329" s="31">
        <v>2320</v>
      </c>
      <c r="J2329">
        <f t="shared" si="41"/>
        <v>105000</v>
      </c>
      <c r="K2329" t="e">
        <f>VLOOKUP(B2329,'REGISTRO ABONOS'!$B$8:$BC$10041,54,0)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hidden="1" x14ac:dyDescent="0.2">
      <c r="B2330" s="31">
        <v>2321</v>
      </c>
      <c r="J2330">
        <f t="shared" si="41"/>
        <v>105000</v>
      </c>
      <c r="K2330" t="e">
        <f>VLOOKUP(B2330,'REGISTRO ABONOS'!$B$8:$BC$10041,54,0)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hidden="1" x14ac:dyDescent="0.2">
      <c r="B2331" s="31">
        <v>2322</v>
      </c>
      <c r="J2331">
        <f t="shared" si="41"/>
        <v>105000</v>
      </c>
      <c r="K2331" t="e">
        <f>VLOOKUP(B2331,'REGISTRO ABONOS'!$B$8:$BC$10041,54,0)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hidden="1" x14ac:dyDescent="0.2">
      <c r="B2332" s="31">
        <v>2323</v>
      </c>
      <c r="J2332">
        <f t="shared" si="41"/>
        <v>105000</v>
      </c>
      <c r="K2332" t="e">
        <f>VLOOKUP(B2332,'REGISTRO ABONOS'!$B$8:$BC$10041,54,0)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hidden="1" x14ac:dyDescent="0.2">
      <c r="B2333" s="31">
        <v>2324</v>
      </c>
      <c r="J2333">
        <f t="shared" si="41"/>
        <v>105000</v>
      </c>
      <c r="K2333" t="e">
        <f>VLOOKUP(B2333,'REGISTRO ABONOS'!$B$8:$BC$10041,54,0)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hidden="1" x14ac:dyDescent="0.2">
      <c r="B2334" s="31">
        <v>2325</v>
      </c>
      <c r="J2334">
        <f t="shared" si="41"/>
        <v>105000</v>
      </c>
      <c r="K2334" t="e">
        <f>VLOOKUP(B2334,'REGISTRO ABONOS'!$B$8:$BC$10041,54,0)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hidden="1" x14ac:dyDescent="0.2">
      <c r="B2335" s="31">
        <v>2326</v>
      </c>
      <c r="J2335">
        <f t="shared" si="41"/>
        <v>105000</v>
      </c>
      <c r="K2335" t="e">
        <f>VLOOKUP(B2335,'REGISTRO ABONOS'!$B$8:$BC$10041,54,0)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hidden="1" x14ac:dyDescent="0.2">
      <c r="B2336" s="31">
        <v>2327</v>
      </c>
      <c r="J2336">
        <f t="shared" si="41"/>
        <v>105000</v>
      </c>
      <c r="K2336" t="e">
        <f>VLOOKUP(B2336,'REGISTRO ABONOS'!$B$8:$BC$10041,54,0)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hidden="1" x14ac:dyDescent="0.2">
      <c r="B2337" s="31">
        <v>2328</v>
      </c>
      <c r="J2337">
        <f t="shared" si="41"/>
        <v>105000</v>
      </c>
      <c r="K2337" t="e">
        <f>VLOOKUP(B2337,'REGISTRO ABONOS'!$B$8:$BC$10041,54,0)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hidden="1" x14ac:dyDescent="0.2">
      <c r="B2338" s="31">
        <v>2329</v>
      </c>
      <c r="J2338">
        <f t="shared" si="41"/>
        <v>105000</v>
      </c>
      <c r="K2338" t="e">
        <f>VLOOKUP(B2338,'REGISTRO ABONOS'!$B$8:$BC$10041,54,0)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1"/>
        <v>105000</v>
      </c>
      <c r="K2339" t="e">
        <f>VLOOKUP(B2339,'REGISTRO ABONOS'!$B$8:$BC$10041,54,0)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hidden="1" x14ac:dyDescent="0.2">
      <c r="B2340" s="31">
        <v>2331</v>
      </c>
      <c r="J2340">
        <f t="shared" si="41"/>
        <v>105000</v>
      </c>
      <c r="K2340" t="e">
        <f>VLOOKUP(B2340,'REGISTRO ABONOS'!$B$8:$BC$10041,54,0)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hidden="1" x14ac:dyDescent="0.2">
      <c r="B2341" s="31">
        <v>2332</v>
      </c>
      <c r="J2341">
        <f t="shared" si="41"/>
        <v>105000</v>
      </c>
      <c r="K2341" t="e">
        <f>VLOOKUP(B2341,'REGISTRO ABONOS'!$B$8:$BC$10041,54,0)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hidden="1" x14ac:dyDescent="0.2">
      <c r="B2342" s="31">
        <v>2333</v>
      </c>
      <c r="J2342">
        <f t="shared" si="41"/>
        <v>105000</v>
      </c>
      <c r="K2342" t="e">
        <f>VLOOKUP(B2342,'REGISTRO ABONOS'!$B$8:$BC$10041,54,0)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hidden="1" x14ac:dyDescent="0.2">
      <c r="B2343" s="31">
        <v>2334</v>
      </c>
      <c r="J2343">
        <f t="shared" si="41"/>
        <v>105000</v>
      </c>
      <c r="K2343" t="e">
        <f>VLOOKUP(B2343,'REGISTRO ABONOS'!$B$8:$BC$10041,54,0)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hidden="1" x14ac:dyDescent="0.2">
      <c r="B2344" s="31">
        <v>2335</v>
      </c>
      <c r="J2344">
        <f t="shared" si="41"/>
        <v>105000</v>
      </c>
      <c r="K2344" t="e">
        <f>VLOOKUP(B2344,'REGISTRO ABONOS'!$B$8:$BC$10041,54,0)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hidden="1" x14ac:dyDescent="0.2">
      <c r="B2345" s="31">
        <v>2336</v>
      </c>
      <c r="J2345">
        <f t="shared" si="41"/>
        <v>105000</v>
      </c>
      <c r="K2345" t="e">
        <f>VLOOKUP(B2345,'REGISTRO ABONOS'!$B$8:$BC$10041,54,0)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hidden="1" x14ac:dyDescent="0.2">
      <c r="B2346" s="31">
        <v>2337</v>
      </c>
      <c r="J2346">
        <f t="shared" si="41"/>
        <v>105000</v>
      </c>
      <c r="K2346" t="e">
        <f>VLOOKUP(B2346,'REGISTRO ABONOS'!$B$8:$BC$10041,54,0)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hidden="1" x14ac:dyDescent="0.2">
      <c r="B2347" s="31">
        <v>2338</v>
      </c>
      <c r="J2347">
        <f t="shared" si="41"/>
        <v>105000</v>
      </c>
      <c r="K2347" t="e">
        <f>VLOOKUP(B2347,'REGISTRO ABONOS'!$B$8:$BC$10041,54,0)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hidden="1" x14ac:dyDescent="0.2">
      <c r="B2348" s="31">
        <v>2339</v>
      </c>
      <c r="J2348">
        <f t="shared" si="41"/>
        <v>105000</v>
      </c>
      <c r="K2348" t="e">
        <f>VLOOKUP(B2348,'REGISTRO ABONOS'!$B$8:$BC$10041,54,0)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hidden="1" x14ac:dyDescent="0.2">
      <c r="B2349" s="31">
        <v>2340</v>
      </c>
      <c r="J2349">
        <f t="shared" si="41"/>
        <v>105000</v>
      </c>
      <c r="K2349" t="e">
        <f>VLOOKUP(B2349,'REGISTRO ABONOS'!$B$8:$BC$10041,54,0)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1"/>
        <v>105000</v>
      </c>
      <c r="K2350" t="e">
        <f>VLOOKUP(B2350,'REGISTRO ABONOS'!$B$8:$BC$10041,54,0)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hidden="1" x14ac:dyDescent="0.2">
      <c r="B2351" s="31">
        <v>2342</v>
      </c>
      <c r="J2351">
        <f t="shared" si="41"/>
        <v>105000</v>
      </c>
      <c r="K2351" t="e">
        <f>VLOOKUP(B2351,'REGISTRO ABONOS'!$B$8:$BC$10041,54,0)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hidden="1" x14ac:dyDescent="0.2">
      <c r="B2352" s="31">
        <v>2343</v>
      </c>
      <c r="J2352">
        <f t="shared" si="41"/>
        <v>105000</v>
      </c>
      <c r="K2352" t="e">
        <f>VLOOKUP(B2352,'REGISTRO ABONOS'!$B$8:$BC$10041,54,0)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hidden="1" x14ac:dyDescent="0.2">
      <c r="B2353" s="31">
        <v>2344</v>
      </c>
      <c r="J2353">
        <f t="shared" si="41"/>
        <v>105000</v>
      </c>
      <c r="K2353" t="e">
        <f>VLOOKUP(B2353,'REGISTRO ABONOS'!$B$8:$BC$10041,54,0)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1"/>
        <v>105000</v>
      </c>
      <c r="K2354" t="e">
        <f>VLOOKUP(B2354,'REGISTRO ABONOS'!$B$8:$BC$10041,54,0)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hidden="1" x14ac:dyDescent="0.2">
      <c r="B2355" s="31">
        <v>2346</v>
      </c>
      <c r="C2355" s="10">
        <v>43571</v>
      </c>
      <c r="D2355" t="s">
        <v>494</v>
      </c>
      <c r="H2355" t="s">
        <v>494</v>
      </c>
      <c r="I2355" t="s">
        <v>322</v>
      </c>
      <c r="J2355">
        <f t="shared" si="41"/>
        <v>105000</v>
      </c>
      <c r="K2355" t="e">
        <f>VLOOKUP(B2355,'REGISTRO ABONOS'!$B$8:$BC$10041,54,0)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hidden="1" x14ac:dyDescent="0.2">
      <c r="B2356" s="31">
        <v>2347</v>
      </c>
      <c r="J2356">
        <f t="shared" si="41"/>
        <v>105000</v>
      </c>
      <c r="K2356" t="e">
        <f>VLOOKUP(B2356,'REGISTRO ABONOS'!$B$8:$BC$10041,54,0)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hidden="1" x14ac:dyDescent="0.2">
      <c r="B2357" s="31">
        <v>2348</v>
      </c>
      <c r="J2357">
        <f t="shared" si="41"/>
        <v>105000</v>
      </c>
      <c r="K2357" t="e">
        <f>VLOOKUP(B2357,'REGISTRO ABONOS'!$B$8:$BC$10041,54,0)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hidden="1" x14ac:dyDescent="0.2">
      <c r="B2358" s="31">
        <v>2349</v>
      </c>
      <c r="J2358">
        <f t="shared" si="41"/>
        <v>105000</v>
      </c>
      <c r="K2358" t="e">
        <f>VLOOKUP(B2358,'REGISTRO ABONOS'!$B$8:$BC$10041,54,0)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hidden="1" x14ac:dyDescent="0.2">
      <c r="B2359" s="31">
        <v>2350</v>
      </c>
      <c r="J2359">
        <f t="shared" si="41"/>
        <v>105000</v>
      </c>
      <c r="K2359" t="e">
        <f>VLOOKUP(B2359,'REGISTRO ABONOS'!$B$8:$BC$10041,54,0)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hidden="1" x14ac:dyDescent="0.2">
      <c r="B2360" s="31">
        <v>2351</v>
      </c>
      <c r="J2360">
        <f t="shared" si="41"/>
        <v>105000</v>
      </c>
      <c r="K2360" t="e">
        <f>VLOOKUP(B2360,'REGISTRO ABONOS'!$B$8:$BC$10041,54,0)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1"/>
        <v>105000</v>
      </c>
      <c r="K2361" t="e">
        <f>VLOOKUP(B2361,'REGISTRO ABONOS'!$B$8:$BC$10041,54,0)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hidden="1" x14ac:dyDescent="0.2">
      <c r="B2362" s="31">
        <v>2353</v>
      </c>
      <c r="J2362">
        <f t="shared" si="41"/>
        <v>105000</v>
      </c>
      <c r="K2362" t="e">
        <f>VLOOKUP(B2362,'REGISTRO ABONOS'!$B$8:$BC$10041,54,0)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hidden="1" x14ac:dyDescent="0.2">
      <c r="B2363" s="31">
        <v>2354</v>
      </c>
      <c r="J2363">
        <f t="shared" si="41"/>
        <v>105000</v>
      </c>
      <c r="K2363" t="e">
        <f>VLOOKUP(B2363,'REGISTRO ABONOS'!$B$8:$BC$10041,54,0)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hidden="1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ABONOS'!$B$8:$BC$10041,54,0)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hidden="1" x14ac:dyDescent="0.2">
      <c r="B2365" s="31">
        <v>2356</v>
      </c>
      <c r="J2365">
        <f t="shared" si="42"/>
        <v>105000</v>
      </c>
      <c r="K2365" t="e">
        <f>VLOOKUP(B2365,'REGISTRO ABONOS'!$B$8:$BC$10041,54,0)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hidden="1" x14ac:dyDescent="0.2">
      <c r="B2366" s="31">
        <v>2357</v>
      </c>
      <c r="J2366">
        <f t="shared" si="42"/>
        <v>105000</v>
      </c>
      <c r="K2366" t="e">
        <f>VLOOKUP(B2366,'REGISTRO ABONOS'!$B$8:$BC$10041,54,0)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hidden="1" x14ac:dyDescent="0.2">
      <c r="B2367" s="31">
        <v>2358</v>
      </c>
      <c r="J2367">
        <f t="shared" si="42"/>
        <v>105000</v>
      </c>
      <c r="K2367" t="e">
        <f>VLOOKUP(B2367,'REGISTRO ABONOS'!$B$8:$BC$10041,54,0)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hidden="1" x14ac:dyDescent="0.2">
      <c r="B2368" s="31">
        <v>2359</v>
      </c>
      <c r="J2368">
        <f t="shared" si="42"/>
        <v>105000</v>
      </c>
      <c r="K2368" t="e">
        <f>VLOOKUP(B2368,'REGISTRO ABONOS'!$B$8:$BC$10041,54,0)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hidden="1" x14ac:dyDescent="0.2">
      <c r="B2369" s="31">
        <v>2360</v>
      </c>
      <c r="J2369">
        <f t="shared" si="42"/>
        <v>105000</v>
      </c>
      <c r="K2369" t="e">
        <f>VLOOKUP(B2369,'REGISTRO ABONOS'!$B$8:$BC$10041,54,0)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hidden="1" x14ac:dyDescent="0.2">
      <c r="B2370" s="31">
        <v>2361</v>
      </c>
      <c r="J2370">
        <f t="shared" si="42"/>
        <v>105000</v>
      </c>
      <c r="K2370" t="e">
        <f>VLOOKUP(B2370,'REGISTRO ABONOS'!$B$8:$BC$10041,54,0)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hidden="1" x14ac:dyDescent="0.2">
      <c r="B2371" s="31">
        <v>2362</v>
      </c>
      <c r="J2371">
        <f t="shared" si="42"/>
        <v>105000</v>
      </c>
      <c r="K2371" t="e">
        <f>VLOOKUP(B2371,'REGISTRO ABONOS'!$B$8:$BC$10041,54,0)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hidden="1" x14ac:dyDescent="0.2">
      <c r="B2372" s="31">
        <v>2363</v>
      </c>
      <c r="J2372">
        <f t="shared" si="42"/>
        <v>105000</v>
      </c>
      <c r="K2372" t="e">
        <f>VLOOKUP(B2372,'REGISTRO ABONOS'!$B$8:$BC$10041,54,0)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hidden="1" x14ac:dyDescent="0.2">
      <c r="B2373" s="31">
        <v>2364</v>
      </c>
      <c r="J2373">
        <f t="shared" si="42"/>
        <v>105000</v>
      </c>
      <c r="K2373" t="e">
        <f>VLOOKUP(B2373,'REGISTRO ABONOS'!$B$8:$BC$10041,54,0)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hidden="1" x14ac:dyDescent="0.2">
      <c r="B2374" s="31">
        <v>2365</v>
      </c>
      <c r="J2374">
        <f t="shared" si="42"/>
        <v>105000</v>
      </c>
      <c r="K2374" t="e">
        <f>VLOOKUP(B2374,'REGISTRO ABONOS'!$B$8:$BC$10041,54,0)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hidden="1" x14ac:dyDescent="0.2">
      <c r="B2375" s="31">
        <v>2366</v>
      </c>
      <c r="J2375">
        <f t="shared" si="42"/>
        <v>105000</v>
      </c>
      <c r="K2375" t="e">
        <f>VLOOKUP(B2375,'REGISTRO ABONOS'!$B$8:$BC$10041,54,0)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hidden="1" x14ac:dyDescent="0.2">
      <c r="B2376" s="31">
        <v>2367</v>
      </c>
      <c r="J2376">
        <f t="shared" si="42"/>
        <v>105000</v>
      </c>
      <c r="K2376" t="e">
        <f>VLOOKUP(B2376,'REGISTRO ABONOS'!$B$8:$BC$10041,54,0)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hidden="1" x14ac:dyDescent="0.2">
      <c r="B2377" s="31">
        <v>2368</v>
      </c>
      <c r="J2377">
        <f t="shared" si="42"/>
        <v>105000</v>
      </c>
      <c r="K2377" t="e">
        <f>VLOOKUP(B2377,'REGISTRO ABONOS'!$B$8:$BC$10041,54,0)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hidden="1" x14ac:dyDescent="0.2">
      <c r="B2378" s="31">
        <v>2369</v>
      </c>
      <c r="J2378">
        <f t="shared" si="42"/>
        <v>105000</v>
      </c>
      <c r="K2378" t="e">
        <f>VLOOKUP(B2378,'REGISTRO ABONOS'!$B$8:$BC$10041,54,0)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2"/>
        <v>105000</v>
      </c>
      <c r="K2379" t="e">
        <f>VLOOKUP(B2379,'REGISTRO ABONOS'!$B$8:$BC$10041,54,0)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hidden="1" x14ac:dyDescent="0.2">
      <c r="B2380" s="31">
        <v>2371</v>
      </c>
      <c r="J2380">
        <f t="shared" si="42"/>
        <v>105000</v>
      </c>
      <c r="K2380" t="e">
        <f>VLOOKUP(B2380,'REGISTRO ABONOS'!$B$8:$BC$10041,54,0)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2"/>
        <v>105000</v>
      </c>
      <c r="K2381">
        <f>VLOOKUP(B2381,'REGISTRO ABONOS'!$B$8:$BC$10041,54,0)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hidden="1" x14ac:dyDescent="0.2">
      <c r="B2382" s="31">
        <v>2373</v>
      </c>
      <c r="J2382">
        <f t="shared" si="42"/>
        <v>105000</v>
      </c>
      <c r="K2382" t="e">
        <f>VLOOKUP(B2382,'REGISTRO ABONOS'!$B$8:$BC$10041,54,0)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hidden="1" x14ac:dyDescent="0.2">
      <c r="B2383" s="31">
        <v>2374</v>
      </c>
      <c r="J2383">
        <f t="shared" si="42"/>
        <v>105000</v>
      </c>
      <c r="K2383" t="e">
        <f>VLOOKUP(B2383,'REGISTRO ABONOS'!$B$8:$BC$10041,54,0)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hidden="1" x14ac:dyDescent="0.2">
      <c r="B2384" s="31">
        <v>2375</v>
      </c>
      <c r="J2384">
        <f t="shared" si="42"/>
        <v>105000</v>
      </c>
      <c r="K2384" t="e">
        <f>VLOOKUP(B2384,'REGISTRO ABONOS'!$B$8:$BC$10041,54,0)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hidden="1" x14ac:dyDescent="0.2">
      <c r="B2385" s="31">
        <v>2376</v>
      </c>
      <c r="J2385">
        <f t="shared" si="42"/>
        <v>105000</v>
      </c>
      <c r="K2385" t="e">
        <f>VLOOKUP(B2385,'REGISTRO ABONOS'!$B$8:$BC$10041,54,0)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hidden="1" x14ac:dyDescent="0.2">
      <c r="B2386" s="31">
        <v>2377</v>
      </c>
      <c r="J2386">
        <f t="shared" si="42"/>
        <v>105000</v>
      </c>
      <c r="K2386" t="e">
        <f>VLOOKUP(B2386,'REGISTRO ABONOS'!$B$8:$BC$10041,54,0)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hidden="1" x14ac:dyDescent="0.2">
      <c r="B2387" s="31">
        <v>2378</v>
      </c>
      <c r="J2387">
        <f t="shared" si="42"/>
        <v>105000</v>
      </c>
      <c r="K2387" t="e">
        <f>VLOOKUP(B2387,'REGISTRO ABONOS'!$B$8:$BC$10041,54,0)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hidden="1" x14ac:dyDescent="0.2">
      <c r="B2388" s="31">
        <v>2379</v>
      </c>
      <c r="J2388">
        <f t="shared" si="42"/>
        <v>105000</v>
      </c>
      <c r="K2388" t="e">
        <f>VLOOKUP(B2388,'REGISTRO ABONOS'!$B$8:$BC$10041,54,0)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hidden="1" x14ac:dyDescent="0.2">
      <c r="B2389" s="31">
        <v>2380</v>
      </c>
      <c r="J2389">
        <f t="shared" si="42"/>
        <v>105000</v>
      </c>
      <c r="K2389" t="e">
        <f>VLOOKUP(B2389,'REGISTRO ABONOS'!$B$8:$BC$10041,54,0)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hidden="1" x14ac:dyDescent="0.2">
      <c r="B2390" s="31">
        <v>2381</v>
      </c>
      <c r="J2390">
        <f t="shared" si="42"/>
        <v>105000</v>
      </c>
      <c r="K2390" t="e">
        <f>VLOOKUP(B2390,'REGISTRO ABONOS'!$B$8:$BC$10041,54,0)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hidden="1" x14ac:dyDescent="0.2">
      <c r="B2391" s="31">
        <v>2382</v>
      </c>
      <c r="J2391">
        <f t="shared" si="42"/>
        <v>105000</v>
      </c>
      <c r="K2391" t="e">
        <f>VLOOKUP(B2391,'REGISTRO ABONOS'!$B$8:$BC$10041,54,0)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hidden="1" x14ac:dyDescent="0.2">
      <c r="B2392" s="31">
        <v>2383</v>
      </c>
      <c r="J2392">
        <f t="shared" si="42"/>
        <v>105000</v>
      </c>
      <c r="K2392" t="e">
        <f>VLOOKUP(B2392,'REGISTRO ABONOS'!$B$8:$BC$10041,54,0)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hidden="1" x14ac:dyDescent="0.2">
      <c r="B2393" s="31">
        <v>2384</v>
      </c>
      <c r="J2393">
        <f t="shared" si="42"/>
        <v>105000</v>
      </c>
      <c r="K2393" t="e">
        <f>VLOOKUP(B2393,'REGISTRO ABONOS'!$B$8:$BC$10041,54,0)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hidden="1" x14ac:dyDescent="0.2">
      <c r="B2394" s="31">
        <v>2385</v>
      </c>
      <c r="J2394">
        <f t="shared" si="42"/>
        <v>105000</v>
      </c>
      <c r="K2394" t="e">
        <f>VLOOKUP(B2394,'REGISTRO ABONOS'!$B$8:$BC$10041,54,0)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hidden="1" x14ac:dyDescent="0.2">
      <c r="B2395" s="31">
        <v>2386</v>
      </c>
      <c r="J2395">
        <f t="shared" si="42"/>
        <v>105000</v>
      </c>
      <c r="K2395" t="e">
        <f>VLOOKUP(B2395,'REGISTRO ABONOS'!$B$8:$BC$10041,54,0)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hidden="1" x14ac:dyDescent="0.2">
      <c r="B2396" s="31">
        <v>2387</v>
      </c>
      <c r="J2396">
        <f t="shared" si="42"/>
        <v>105000</v>
      </c>
      <c r="K2396" t="e">
        <f>VLOOKUP(B2396,'REGISTRO ABONOS'!$B$8:$BC$10041,54,0)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hidden="1" x14ac:dyDescent="0.2">
      <c r="B2397" s="31">
        <v>2388</v>
      </c>
      <c r="J2397">
        <f t="shared" si="42"/>
        <v>105000</v>
      </c>
      <c r="K2397" t="e">
        <f>VLOOKUP(B2397,'REGISTRO ABONOS'!$B$8:$BC$10041,54,0)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hidden="1" x14ac:dyDescent="0.2">
      <c r="B2398" s="31">
        <v>2389</v>
      </c>
      <c r="J2398">
        <f t="shared" si="42"/>
        <v>105000</v>
      </c>
      <c r="K2398" t="e">
        <f>VLOOKUP(B2398,'REGISTRO ABONOS'!$B$8:$BC$10041,54,0)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hidden="1" x14ac:dyDescent="0.2">
      <c r="B2399" s="31">
        <v>2390</v>
      </c>
      <c r="J2399">
        <f t="shared" si="42"/>
        <v>105000</v>
      </c>
      <c r="K2399" t="e">
        <f>VLOOKUP(B2399,'REGISTRO ABONOS'!$B$8:$BC$10041,54,0)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hidden="1" x14ac:dyDescent="0.2">
      <c r="B2400" s="31">
        <v>2391</v>
      </c>
      <c r="J2400">
        <f t="shared" si="42"/>
        <v>105000</v>
      </c>
      <c r="K2400" t="e">
        <f>VLOOKUP(B2400,'REGISTRO ABONOS'!$B$8:$BC$10041,54,0)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hidden="1" x14ac:dyDescent="0.2">
      <c r="B2401" s="31">
        <v>2392</v>
      </c>
      <c r="J2401">
        <f t="shared" si="42"/>
        <v>105000</v>
      </c>
      <c r="K2401" t="e">
        <f>VLOOKUP(B2401,'REGISTRO ABONOS'!$B$8:$BC$10041,54,0)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hidden="1" x14ac:dyDescent="0.2">
      <c r="B2402" s="31">
        <v>2393</v>
      </c>
      <c r="J2402">
        <f t="shared" si="42"/>
        <v>105000</v>
      </c>
      <c r="K2402" t="e">
        <f>VLOOKUP(B2402,'REGISTRO ABONOS'!$B$8:$BC$10041,54,0)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hidden="1" x14ac:dyDescent="0.2">
      <c r="B2403" s="31">
        <v>2394</v>
      </c>
      <c r="J2403">
        <f t="shared" si="42"/>
        <v>105000</v>
      </c>
      <c r="K2403" t="e">
        <f>VLOOKUP(B2403,'REGISTRO ABONOS'!$B$8:$BC$10041,54,0)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hidden="1" x14ac:dyDescent="0.2">
      <c r="B2404" s="31">
        <v>2395</v>
      </c>
      <c r="J2404">
        <f t="shared" si="42"/>
        <v>105000</v>
      </c>
      <c r="K2404" t="e">
        <f>VLOOKUP(B2404,'REGISTRO ABONOS'!$B$8:$BC$10041,54,0)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hidden="1" x14ac:dyDescent="0.2">
      <c r="B2405" s="31">
        <v>2396</v>
      </c>
      <c r="J2405">
        <f t="shared" si="42"/>
        <v>105000</v>
      </c>
      <c r="K2405" t="e">
        <f>VLOOKUP(B2405,'REGISTRO ABONOS'!$B$8:$BC$10041,54,0)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hidden="1" x14ac:dyDescent="0.2">
      <c r="B2406" s="31">
        <v>2397</v>
      </c>
      <c r="J2406">
        <f t="shared" si="42"/>
        <v>105000</v>
      </c>
      <c r="K2406" t="e">
        <f>VLOOKUP(B2406,'REGISTRO ABONOS'!$B$8:$BC$10041,54,0)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hidden="1" x14ac:dyDescent="0.2">
      <c r="B2407" s="31">
        <v>2398</v>
      </c>
      <c r="J2407">
        <f t="shared" si="42"/>
        <v>105000</v>
      </c>
      <c r="K2407" t="e">
        <f>VLOOKUP(B2407,'REGISTRO ABONOS'!$B$8:$BC$10041,54,0)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hidden="1" x14ac:dyDescent="0.2">
      <c r="B2408" s="31">
        <v>2399</v>
      </c>
      <c r="J2408">
        <f t="shared" si="42"/>
        <v>105000</v>
      </c>
      <c r="K2408" t="e">
        <f>VLOOKUP(B2408,'REGISTRO ABONOS'!$B$8:$BC$10041,54,0)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hidden="1" x14ac:dyDescent="0.2">
      <c r="B2409" s="31">
        <v>2400</v>
      </c>
      <c r="J2409">
        <f t="shared" si="42"/>
        <v>105000</v>
      </c>
      <c r="K2409" t="e">
        <f>VLOOKUP(B2409,'REGISTRO ABONOS'!$B$8:$BC$10041,54,0)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hidden="1" x14ac:dyDescent="0.2">
      <c r="B2410" s="31">
        <v>2401</v>
      </c>
      <c r="J2410">
        <f t="shared" si="42"/>
        <v>105000</v>
      </c>
      <c r="K2410" t="e">
        <f>VLOOKUP(B2410,'REGISTRO ABONOS'!$B$8:$BC$10041,54,0)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hidden="1" x14ac:dyDescent="0.2">
      <c r="B2411" s="31">
        <v>2402</v>
      </c>
      <c r="J2411">
        <f t="shared" si="42"/>
        <v>105000</v>
      </c>
      <c r="K2411" t="e">
        <f>VLOOKUP(B2411,'REGISTRO ABONOS'!$B$8:$BC$10041,54,0)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hidden="1" x14ac:dyDescent="0.2">
      <c r="B2412" s="31">
        <v>2403</v>
      </c>
      <c r="J2412">
        <f t="shared" si="42"/>
        <v>105000</v>
      </c>
      <c r="K2412" t="e">
        <f>VLOOKUP(B2412,'REGISTRO ABONOS'!$B$8:$BC$10041,54,0)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hidden="1" x14ac:dyDescent="0.2">
      <c r="B2413" s="31">
        <v>2404</v>
      </c>
      <c r="J2413">
        <f t="shared" si="42"/>
        <v>105000</v>
      </c>
      <c r="K2413" t="e">
        <f>VLOOKUP(B2413,'REGISTRO ABONOS'!$B$8:$BC$10041,54,0)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hidden="1" x14ac:dyDescent="0.2">
      <c r="B2414" s="31">
        <v>2405</v>
      </c>
      <c r="J2414">
        <f t="shared" si="42"/>
        <v>105000</v>
      </c>
      <c r="K2414" t="e">
        <f>VLOOKUP(B2414,'REGISTRO ABONOS'!$B$8:$BC$10041,54,0)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hidden="1" x14ac:dyDescent="0.2">
      <c r="B2415" s="31">
        <v>2406</v>
      </c>
      <c r="J2415">
        <f t="shared" si="42"/>
        <v>105000</v>
      </c>
      <c r="K2415" t="e">
        <f>VLOOKUP(B2415,'REGISTRO ABONOS'!$B$8:$BC$10041,54,0)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hidden="1" x14ac:dyDescent="0.2">
      <c r="B2416" s="31">
        <v>2407</v>
      </c>
      <c r="J2416">
        <f t="shared" si="42"/>
        <v>105000</v>
      </c>
      <c r="K2416" t="e">
        <f>VLOOKUP(B2416,'REGISTRO ABONOS'!$B$8:$BC$10041,54,0)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hidden="1" x14ac:dyDescent="0.2">
      <c r="B2417" s="31">
        <v>2408</v>
      </c>
      <c r="J2417">
        <f t="shared" si="42"/>
        <v>105000</v>
      </c>
      <c r="K2417" t="e">
        <f>VLOOKUP(B2417,'REGISTRO ABONOS'!$B$8:$BC$10041,54,0)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hidden="1" x14ac:dyDescent="0.2">
      <c r="B2418" s="31">
        <v>2409</v>
      </c>
      <c r="J2418">
        <f t="shared" si="42"/>
        <v>105000</v>
      </c>
      <c r="K2418" t="e">
        <f>VLOOKUP(B2418,'REGISTRO ABONOS'!$B$8:$BC$10041,54,0)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hidden="1" x14ac:dyDescent="0.2">
      <c r="B2419" s="31">
        <v>2410</v>
      </c>
      <c r="J2419">
        <f t="shared" si="42"/>
        <v>105000</v>
      </c>
      <c r="K2419" t="e">
        <f>VLOOKUP(B2419,'REGISTRO ABONOS'!$B$8:$BC$10041,54,0)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hidden="1" x14ac:dyDescent="0.2">
      <c r="B2420" s="31">
        <v>2411</v>
      </c>
      <c r="J2420">
        <f t="shared" si="42"/>
        <v>105000</v>
      </c>
      <c r="K2420" t="e">
        <f>VLOOKUP(B2420,'REGISTRO ABONOS'!$B$8:$BC$10041,54,0)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hidden="1" x14ac:dyDescent="0.2">
      <c r="B2421" s="31">
        <v>2412</v>
      </c>
      <c r="J2421">
        <f t="shared" si="42"/>
        <v>105000</v>
      </c>
      <c r="K2421" t="e">
        <f>VLOOKUP(B2421,'REGISTRO ABONOS'!$B$8:$BC$10041,54,0)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hidden="1" x14ac:dyDescent="0.2">
      <c r="B2422" s="31">
        <v>2413</v>
      </c>
      <c r="J2422">
        <f t="shared" si="42"/>
        <v>105000</v>
      </c>
      <c r="K2422" t="e">
        <f>VLOOKUP(B2422,'REGISTRO ABONOS'!$B$8:$BC$10041,54,0)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hidden="1" x14ac:dyDescent="0.2">
      <c r="B2423" s="31">
        <v>2414</v>
      </c>
      <c r="J2423">
        <f t="shared" si="42"/>
        <v>105000</v>
      </c>
      <c r="K2423" t="e">
        <f>VLOOKUP(B2423,'REGISTRO ABONOS'!$B$8:$BC$10041,54,0)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hidden="1" x14ac:dyDescent="0.2">
      <c r="B2424" s="31">
        <v>2415</v>
      </c>
      <c r="J2424">
        <f t="shared" si="42"/>
        <v>105000</v>
      </c>
      <c r="K2424" t="e">
        <f>VLOOKUP(B2424,'REGISTRO ABONOS'!$B$8:$BC$10041,54,0)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hidden="1" x14ac:dyDescent="0.2">
      <c r="B2425" s="31">
        <v>2416</v>
      </c>
      <c r="J2425">
        <f t="shared" si="42"/>
        <v>105000</v>
      </c>
      <c r="K2425" t="e">
        <f>VLOOKUP(B2425,'REGISTRO ABONOS'!$B$8:$BC$10041,54,0)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hidden="1" x14ac:dyDescent="0.2">
      <c r="B2426" s="31">
        <v>2417</v>
      </c>
      <c r="J2426">
        <f t="shared" si="42"/>
        <v>105000</v>
      </c>
      <c r="K2426" t="e">
        <f>VLOOKUP(B2426,'REGISTRO ABONOS'!$B$8:$BC$10041,54,0)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hidden="1" x14ac:dyDescent="0.2">
      <c r="B2427" s="31">
        <v>2418</v>
      </c>
      <c r="J2427">
        <f t="shared" si="42"/>
        <v>105000</v>
      </c>
      <c r="K2427" t="e">
        <f>VLOOKUP(B2427,'REGISTRO ABONOS'!$B$8:$BC$10041,54,0)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hidden="1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ABONOS'!$B$8:$BC$10041,54,0)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hidden="1" x14ac:dyDescent="0.2">
      <c r="B2429" s="31">
        <v>2420</v>
      </c>
      <c r="J2429">
        <f t="shared" si="43"/>
        <v>105000</v>
      </c>
      <c r="K2429" t="e">
        <f>VLOOKUP(B2429,'REGISTRO ABONOS'!$B$8:$BC$10041,54,0)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hidden="1" x14ac:dyDescent="0.2">
      <c r="B2430" s="31">
        <v>2421</v>
      </c>
      <c r="J2430">
        <f t="shared" si="43"/>
        <v>105000</v>
      </c>
      <c r="K2430" t="e">
        <f>VLOOKUP(B2430,'REGISTRO ABONOS'!$B$8:$BC$10041,54,0)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hidden="1" x14ac:dyDescent="0.2">
      <c r="B2431" s="31">
        <v>2422</v>
      </c>
      <c r="J2431">
        <f t="shared" si="43"/>
        <v>105000</v>
      </c>
      <c r="K2431" t="e">
        <f>VLOOKUP(B2431,'REGISTRO ABONOS'!$B$8:$BC$10041,54,0)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hidden="1" x14ac:dyDescent="0.2">
      <c r="B2432" s="31">
        <v>2423</v>
      </c>
      <c r="J2432">
        <f t="shared" si="43"/>
        <v>105000</v>
      </c>
      <c r="K2432" t="e">
        <f>VLOOKUP(B2432,'REGISTRO ABONOS'!$B$8:$BC$10041,54,0)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hidden="1" x14ac:dyDescent="0.2">
      <c r="B2433" s="31">
        <v>2424</v>
      </c>
      <c r="J2433">
        <f t="shared" si="43"/>
        <v>105000</v>
      </c>
      <c r="K2433" t="e">
        <f>VLOOKUP(B2433,'REGISTRO ABONOS'!$B$8:$BC$10041,54,0)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hidden="1" x14ac:dyDescent="0.2">
      <c r="B2434" s="31">
        <v>2425</v>
      </c>
      <c r="J2434">
        <f t="shared" si="43"/>
        <v>105000</v>
      </c>
      <c r="K2434" t="e">
        <f>VLOOKUP(B2434,'REGISTRO ABONOS'!$B$8:$BC$10041,54,0)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hidden="1" x14ac:dyDescent="0.2">
      <c r="B2435" s="31">
        <v>2426</v>
      </c>
      <c r="J2435">
        <f t="shared" si="43"/>
        <v>105000</v>
      </c>
      <c r="K2435" t="e">
        <f>VLOOKUP(B2435,'REGISTRO ABONOS'!$B$8:$BC$10041,54,0)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hidden="1" x14ac:dyDescent="0.2">
      <c r="B2436" s="31">
        <v>2427</v>
      </c>
      <c r="J2436">
        <f t="shared" si="43"/>
        <v>105000</v>
      </c>
      <c r="K2436" t="e">
        <f>VLOOKUP(B2436,'REGISTRO ABONOS'!$B$8:$BC$10041,54,0)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hidden="1" x14ac:dyDescent="0.2">
      <c r="B2437" s="31">
        <v>2428</v>
      </c>
      <c r="J2437">
        <f t="shared" si="43"/>
        <v>105000</v>
      </c>
      <c r="K2437" t="e">
        <f>VLOOKUP(B2437,'REGISTRO ABONOS'!$B$8:$BC$10041,54,0)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hidden="1" x14ac:dyDescent="0.2">
      <c r="B2438" s="31">
        <v>2429</v>
      </c>
      <c r="J2438">
        <f t="shared" si="43"/>
        <v>105000</v>
      </c>
      <c r="K2438" t="e">
        <f>VLOOKUP(B2438,'REGISTRO ABONOS'!$B$8:$BC$10041,54,0)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hidden="1" x14ac:dyDescent="0.2">
      <c r="B2439" s="31">
        <v>2430</v>
      </c>
      <c r="J2439">
        <f t="shared" si="43"/>
        <v>105000</v>
      </c>
      <c r="K2439" t="e">
        <f>VLOOKUP(B2439,'REGISTRO ABONOS'!$B$8:$BC$10041,54,0)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hidden="1" x14ac:dyDescent="0.2">
      <c r="B2440" s="31">
        <v>2431</v>
      </c>
      <c r="J2440">
        <f t="shared" si="43"/>
        <v>105000</v>
      </c>
      <c r="K2440" t="e">
        <f>VLOOKUP(B2440,'REGISTRO ABONOS'!$B$8:$BC$10041,54,0)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hidden="1" x14ac:dyDescent="0.2">
      <c r="B2441" s="31">
        <v>2432</v>
      </c>
      <c r="J2441">
        <f t="shared" si="43"/>
        <v>105000</v>
      </c>
      <c r="K2441" t="e">
        <f>VLOOKUP(B2441,'REGISTRO ABONOS'!$B$8:$BC$10041,54,0)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hidden="1" x14ac:dyDescent="0.2">
      <c r="B2442" s="31">
        <v>2433</v>
      </c>
      <c r="J2442">
        <f t="shared" si="43"/>
        <v>105000</v>
      </c>
      <c r="K2442" t="e">
        <f>VLOOKUP(B2442,'REGISTRO ABONOS'!$B$8:$BC$10041,54,0)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hidden="1" x14ac:dyDescent="0.2">
      <c r="B2443" s="31">
        <v>2434</v>
      </c>
      <c r="J2443">
        <f t="shared" si="43"/>
        <v>105000</v>
      </c>
      <c r="K2443" t="e">
        <f>VLOOKUP(B2443,'REGISTRO ABONOS'!$B$8:$BC$10041,54,0)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hidden="1" x14ac:dyDescent="0.2">
      <c r="B2444" s="31">
        <v>2435</v>
      </c>
      <c r="J2444">
        <f t="shared" si="43"/>
        <v>105000</v>
      </c>
      <c r="K2444" t="e">
        <f>VLOOKUP(B2444,'REGISTRO ABONOS'!$B$8:$BC$10041,54,0)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hidden="1" x14ac:dyDescent="0.2">
      <c r="B2445" s="31">
        <v>2436</v>
      </c>
      <c r="J2445">
        <f t="shared" si="43"/>
        <v>105000</v>
      </c>
      <c r="K2445" t="e">
        <f>VLOOKUP(B2445,'REGISTRO ABONOS'!$B$8:$BC$10041,54,0)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hidden="1" x14ac:dyDescent="0.2">
      <c r="B2446" s="31">
        <v>2437</v>
      </c>
      <c r="J2446">
        <f t="shared" si="43"/>
        <v>105000</v>
      </c>
      <c r="K2446" t="e">
        <f>VLOOKUP(B2446,'REGISTRO ABONOS'!$B$8:$BC$10041,54,0)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hidden="1" x14ac:dyDescent="0.2">
      <c r="B2447" s="31">
        <v>2438</v>
      </c>
      <c r="J2447">
        <f t="shared" si="43"/>
        <v>105000</v>
      </c>
      <c r="K2447" t="e">
        <f>VLOOKUP(B2447,'REGISTRO ABONOS'!$B$8:$BC$10041,54,0)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hidden="1" x14ac:dyDescent="0.2">
      <c r="B2448" s="31">
        <v>2439</v>
      </c>
      <c r="J2448">
        <f t="shared" si="43"/>
        <v>105000</v>
      </c>
      <c r="K2448" t="e">
        <f>VLOOKUP(B2448,'REGISTRO ABONOS'!$B$8:$BC$10041,54,0)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hidden="1" x14ac:dyDescent="0.2">
      <c r="B2449" s="31">
        <v>2440</v>
      </c>
      <c r="J2449">
        <f t="shared" si="43"/>
        <v>105000</v>
      </c>
      <c r="K2449" t="e">
        <f>VLOOKUP(B2449,'REGISTRO ABONOS'!$B$8:$BC$10041,54,0)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hidden="1" x14ac:dyDescent="0.2">
      <c r="B2450" s="31">
        <v>2441</v>
      </c>
      <c r="J2450">
        <f t="shared" si="43"/>
        <v>105000</v>
      </c>
      <c r="K2450" t="e">
        <f>VLOOKUP(B2450,'REGISTRO ABONOS'!$B$8:$BC$10041,54,0)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hidden="1" x14ac:dyDescent="0.2">
      <c r="B2451" s="31">
        <v>2442</v>
      </c>
      <c r="J2451">
        <f t="shared" si="43"/>
        <v>105000</v>
      </c>
      <c r="K2451" t="e">
        <f>VLOOKUP(B2451,'REGISTRO ABONOS'!$B$8:$BC$10041,54,0)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hidden="1" x14ac:dyDescent="0.2">
      <c r="B2452" s="31">
        <v>2443</v>
      </c>
      <c r="J2452">
        <f t="shared" si="43"/>
        <v>105000</v>
      </c>
      <c r="K2452" t="e">
        <f>VLOOKUP(B2452,'REGISTRO ABONOS'!$B$8:$BC$10041,54,0)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hidden="1" x14ac:dyDescent="0.2">
      <c r="B2453" s="31">
        <v>2444</v>
      </c>
      <c r="J2453">
        <f t="shared" si="43"/>
        <v>105000</v>
      </c>
      <c r="K2453" t="e">
        <f>VLOOKUP(B2453,'REGISTRO ABONOS'!$B$8:$BC$10041,54,0)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hidden="1" x14ac:dyDescent="0.2">
      <c r="B2454" s="31">
        <v>2445</v>
      </c>
      <c r="J2454">
        <f t="shared" si="43"/>
        <v>105000</v>
      </c>
      <c r="K2454" t="e">
        <f>VLOOKUP(B2454,'REGISTRO ABONOS'!$B$8:$BC$10041,54,0)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hidden="1" x14ac:dyDescent="0.2">
      <c r="B2455" s="31">
        <v>2446</v>
      </c>
      <c r="J2455">
        <f t="shared" si="43"/>
        <v>105000</v>
      </c>
      <c r="K2455" t="e">
        <f>VLOOKUP(B2455,'REGISTRO ABONOS'!$B$8:$BC$10041,54,0)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hidden="1" x14ac:dyDescent="0.2">
      <c r="B2456" s="31">
        <v>2447</v>
      </c>
      <c r="J2456">
        <f t="shared" si="43"/>
        <v>105000</v>
      </c>
      <c r="K2456" t="e">
        <f>VLOOKUP(B2456,'REGISTRO ABONOS'!$B$8:$BC$10041,54,0)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hidden="1" x14ac:dyDescent="0.2">
      <c r="B2457" s="31">
        <v>2448</v>
      </c>
      <c r="J2457">
        <f t="shared" si="43"/>
        <v>105000</v>
      </c>
      <c r="K2457" t="e">
        <f>VLOOKUP(B2457,'REGISTRO ABONOS'!$B$8:$BC$10041,54,0)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hidden="1" x14ac:dyDescent="0.2">
      <c r="B2458" s="31">
        <v>2449</v>
      </c>
      <c r="J2458">
        <f t="shared" si="43"/>
        <v>105000</v>
      </c>
      <c r="K2458" t="e">
        <f>VLOOKUP(B2458,'REGISTRO ABONOS'!$B$8:$BC$10041,54,0)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hidden="1" x14ac:dyDescent="0.2">
      <c r="B2459" s="31">
        <v>2450</v>
      </c>
      <c r="J2459">
        <f t="shared" si="43"/>
        <v>105000</v>
      </c>
      <c r="K2459" t="e">
        <f>VLOOKUP(B2459,'REGISTRO ABONOS'!$B$8:$BC$10041,54,0)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hidden="1" x14ac:dyDescent="0.2">
      <c r="B2460" s="31">
        <v>2451</v>
      </c>
      <c r="J2460">
        <f t="shared" si="43"/>
        <v>105000</v>
      </c>
      <c r="K2460" t="e">
        <f>VLOOKUP(B2460,'REGISTRO ABONOS'!$B$8:$BC$10041,54,0)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hidden="1" x14ac:dyDescent="0.2">
      <c r="B2461" s="31">
        <v>2452</v>
      </c>
      <c r="J2461">
        <f t="shared" si="43"/>
        <v>105000</v>
      </c>
      <c r="K2461" t="e">
        <f>VLOOKUP(B2461,'REGISTRO ABONOS'!$B$8:$BC$10041,54,0)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3"/>
        <v>105000</v>
      </c>
      <c r="K2462" t="e">
        <f>VLOOKUP(B2462,'REGISTRO ABONOS'!$B$8:$BC$10041,54,0)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hidden="1" x14ac:dyDescent="0.2">
      <c r="B2463" s="31">
        <v>2454</v>
      </c>
      <c r="J2463">
        <f t="shared" si="43"/>
        <v>105000</v>
      </c>
      <c r="K2463" t="e">
        <f>VLOOKUP(B2463,'REGISTRO ABONOS'!$B$8:$BC$10041,54,0)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hidden="1" x14ac:dyDescent="0.2">
      <c r="B2464" s="31">
        <v>2455</v>
      </c>
      <c r="J2464">
        <f t="shared" si="43"/>
        <v>105000</v>
      </c>
      <c r="K2464" t="e">
        <f>VLOOKUP(B2464,'REGISTRO ABONOS'!$B$8:$BC$10041,54,0)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hidden="1" x14ac:dyDescent="0.2">
      <c r="B2465" s="31">
        <v>2456</v>
      </c>
      <c r="J2465">
        <f t="shared" si="43"/>
        <v>105000</v>
      </c>
      <c r="K2465" t="e">
        <f>VLOOKUP(B2465,'REGISTRO ABONOS'!$B$8:$BC$10041,54,0)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hidden="1" x14ac:dyDescent="0.2">
      <c r="B2466" s="31">
        <v>2457</v>
      </c>
      <c r="J2466">
        <f t="shared" si="43"/>
        <v>105000</v>
      </c>
      <c r="K2466" t="e">
        <f>VLOOKUP(B2466,'REGISTRO ABONOS'!$B$8:$BC$10041,54,0)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hidden="1" x14ac:dyDescent="0.2">
      <c r="B2467" s="31">
        <v>2458</v>
      </c>
      <c r="J2467">
        <f t="shared" si="43"/>
        <v>105000</v>
      </c>
      <c r="K2467" t="e">
        <f>VLOOKUP(B2467,'REGISTRO ABONOS'!$B$8:$BC$10041,54,0)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hidden="1" x14ac:dyDescent="0.2">
      <c r="B2468" s="31">
        <v>2459</v>
      </c>
      <c r="J2468">
        <f t="shared" si="43"/>
        <v>105000</v>
      </c>
      <c r="K2468" t="e">
        <f>VLOOKUP(B2468,'REGISTRO ABONOS'!$B$8:$BC$10041,54,0)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hidden="1" x14ac:dyDescent="0.2">
      <c r="B2469" s="31">
        <v>2460</v>
      </c>
      <c r="J2469">
        <f t="shared" si="43"/>
        <v>105000</v>
      </c>
      <c r="K2469" t="e">
        <f>VLOOKUP(B2469,'REGISTRO ABONOS'!$B$8:$BC$10041,54,0)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hidden="1" x14ac:dyDescent="0.2">
      <c r="B2470" s="31">
        <v>2461</v>
      </c>
      <c r="J2470">
        <f t="shared" si="43"/>
        <v>105000</v>
      </c>
      <c r="K2470" t="e">
        <f>VLOOKUP(B2470,'REGISTRO ABONOS'!$B$8:$BC$10041,54,0)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hidden="1" x14ac:dyDescent="0.2">
      <c r="B2471" s="31">
        <v>2462</v>
      </c>
      <c r="J2471">
        <f t="shared" si="43"/>
        <v>105000</v>
      </c>
      <c r="K2471" t="e">
        <f>VLOOKUP(B2471,'REGISTRO ABONOS'!$B$8:$BC$10041,54,0)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hidden="1" x14ac:dyDescent="0.2">
      <c r="B2472" s="31">
        <v>2463</v>
      </c>
      <c r="J2472">
        <f t="shared" si="43"/>
        <v>105000</v>
      </c>
      <c r="K2472" t="e">
        <f>VLOOKUP(B2472,'REGISTRO ABONOS'!$B$8:$BC$10041,54,0)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hidden="1" x14ac:dyDescent="0.2">
      <c r="B2473" s="31">
        <v>2464</v>
      </c>
      <c r="J2473">
        <f t="shared" si="43"/>
        <v>105000</v>
      </c>
      <c r="K2473" t="e">
        <f>VLOOKUP(B2473,'REGISTRO ABONOS'!$B$8:$BC$10041,54,0)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hidden="1" x14ac:dyDescent="0.2">
      <c r="B2474" s="31">
        <v>2465</v>
      </c>
      <c r="J2474">
        <f t="shared" si="43"/>
        <v>105000</v>
      </c>
      <c r="K2474" t="e">
        <f>VLOOKUP(B2474,'REGISTRO ABONOS'!$B$8:$BC$10041,54,0)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hidden="1" x14ac:dyDescent="0.2">
      <c r="B2475" s="31">
        <v>2466</v>
      </c>
      <c r="J2475">
        <f t="shared" si="43"/>
        <v>105000</v>
      </c>
      <c r="K2475" t="e">
        <f>VLOOKUP(B2475,'REGISTRO ABONOS'!$B$8:$BC$10041,54,0)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hidden="1" x14ac:dyDescent="0.2">
      <c r="B2476" s="31">
        <v>2467</v>
      </c>
      <c r="J2476">
        <f t="shared" si="43"/>
        <v>105000</v>
      </c>
      <c r="K2476" t="e">
        <f>VLOOKUP(B2476,'REGISTRO ABONOS'!$B$8:$BC$10041,54,0)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hidden="1" x14ac:dyDescent="0.2">
      <c r="B2477" s="31">
        <v>2468</v>
      </c>
      <c r="J2477">
        <f t="shared" si="43"/>
        <v>105000</v>
      </c>
      <c r="K2477" t="e">
        <f>VLOOKUP(B2477,'REGISTRO ABONOS'!$B$8:$BC$10041,54,0)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hidden="1" x14ac:dyDescent="0.2">
      <c r="B2478" s="31">
        <v>2469</v>
      </c>
      <c r="J2478">
        <f t="shared" si="43"/>
        <v>105000</v>
      </c>
      <c r="K2478" t="e">
        <f>VLOOKUP(B2478,'REGISTRO ABONOS'!$B$8:$BC$10041,54,0)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hidden="1" x14ac:dyDescent="0.2">
      <c r="B2479" s="31">
        <v>2470</v>
      </c>
      <c r="J2479">
        <f t="shared" si="43"/>
        <v>105000</v>
      </c>
      <c r="K2479" t="e">
        <f>VLOOKUP(B2479,'REGISTRO ABONOS'!$B$8:$BC$10041,54,0)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hidden="1" x14ac:dyDescent="0.2">
      <c r="B2480" s="31">
        <v>2471</v>
      </c>
      <c r="J2480">
        <f t="shared" si="43"/>
        <v>105000</v>
      </c>
      <c r="K2480" t="e">
        <f>VLOOKUP(B2480,'REGISTRO ABONOS'!$B$8:$BC$10041,54,0)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hidden="1" x14ac:dyDescent="0.2">
      <c r="B2481" s="31">
        <v>2472</v>
      </c>
      <c r="J2481">
        <f t="shared" si="43"/>
        <v>105000</v>
      </c>
      <c r="K2481" t="e">
        <f>VLOOKUP(B2481,'REGISTRO ABONOS'!$B$8:$BC$10041,54,0)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hidden="1" x14ac:dyDescent="0.2">
      <c r="B2482" s="31">
        <v>2473</v>
      </c>
      <c r="J2482">
        <f t="shared" si="43"/>
        <v>105000</v>
      </c>
      <c r="K2482" t="e">
        <f>VLOOKUP(B2482,'REGISTRO ABONOS'!$B$8:$BC$10041,54,0)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hidden="1" x14ac:dyDescent="0.2">
      <c r="B2483" s="31">
        <v>2474</v>
      </c>
      <c r="J2483">
        <f t="shared" si="43"/>
        <v>105000</v>
      </c>
      <c r="K2483" t="e">
        <f>VLOOKUP(B2483,'REGISTRO ABONOS'!$B$8:$BC$10041,54,0)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3"/>
        <v>105000</v>
      </c>
      <c r="K2484" t="e">
        <f>VLOOKUP(B2484,'REGISTRO ABONOS'!$B$8:$BC$10041,54,0)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hidden="1" x14ac:dyDescent="0.2">
      <c r="B2485" s="31">
        <v>2476</v>
      </c>
      <c r="J2485">
        <f t="shared" si="43"/>
        <v>105000</v>
      </c>
      <c r="K2485" t="e">
        <f>VLOOKUP(B2485,'REGISTRO ABONOS'!$B$8:$BC$10041,54,0)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hidden="1" x14ac:dyDescent="0.2">
      <c r="B2486" s="31">
        <v>2477</v>
      </c>
      <c r="J2486">
        <f t="shared" si="43"/>
        <v>105000</v>
      </c>
      <c r="K2486" t="e">
        <f>VLOOKUP(B2486,'REGISTRO ABONOS'!$B$8:$BC$10041,54,0)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hidden="1" x14ac:dyDescent="0.2">
      <c r="B2487" s="31">
        <v>2478</v>
      </c>
      <c r="J2487">
        <f t="shared" si="43"/>
        <v>105000</v>
      </c>
      <c r="K2487" t="e">
        <f>VLOOKUP(B2487,'REGISTRO ABONOS'!$B$8:$BC$10041,54,0)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hidden="1" x14ac:dyDescent="0.2">
      <c r="B2488" s="31">
        <v>2479</v>
      </c>
      <c r="J2488">
        <f t="shared" si="43"/>
        <v>105000</v>
      </c>
      <c r="K2488" t="e">
        <f>VLOOKUP(B2488,'REGISTRO ABONOS'!$B$8:$BC$10041,54,0)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hidden="1" x14ac:dyDescent="0.2">
      <c r="B2489" s="31">
        <v>2480</v>
      </c>
      <c r="J2489">
        <f t="shared" si="43"/>
        <v>105000</v>
      </c>
      <c r="K2489" t="e">
        <f>VLOOKUP(B2489,'REGISTRO ABONOS'!$B$8:$BC$10041,54,0)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hidden="1" x14ac:dyDescent="0.2">
      <c r="B2490" s="31">
        <v>2481</v>
      </c>
      <c r="J2490">
        <f t="shared" si="43"/>
        <v>105000</v>
      </c>
      <c r="K2490" t="e">
        <f>VLOOKUP(B2490,'REGISTRO ABONOS'!$B$8:$BC$10041,54,0)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hidden="1" x14ac:dyDescent="0.2">
      <c r="B2491" s="31">
        <v>2482</v>
      </c>
      <c r="J2491">
        <f t="shared" si="43"/>
        <v>105000</v>
      </c>
      <c r="K2491" t="e">
        <f>VLOOKUP(B2491,'REGISTRO ABONOS'!$B$8:$BC$10041,54,0)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hidden="1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ABONOS'!$B$8:$BC$10041,54,0)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hidden="1" x14ac:dyDescent="0.2">
      <c r="B2493" s="31">
        <v>2484</v>
      </c>
      <c r="J2493">
        <f t="shared" si="44"/>
        <v>105000</v>
      </c>
      <c r="K2493" t="e">
        <f>VLOOKUP(B2493,'REGISTRO ABONOS'!$B$8:$BC$10041,54,0)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hidden="1" x14ac:dyDescent="0.2">
      <c r="B2494" s="31">
        <v>2485</v>
      </c>
      <c r="J2494">
        <f t="shared" si="44"/>
        <v>105000</v>
      </c>
      <c r="K2494" t="e">
        <f>VLOOKUP(B2494,'REGISTRO ABONOS'!$B$8:$BC$10041,54,0)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hidden="1" x14ac:dyDescent="0.2">
      <c r="B2495" s="31">
        <v>2486</v>
      </c>
      <c r="J2495">
        <f t="shared" si="44"/>
        <v>105000</v>
      </c>
      <c r="K2495" t="e">
        <f>VLOOKUP(B2495,'REGISTRO ABONOS'!$B$8:$BC$10041,54,0)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hidden="1" x14ac:dyDescent="0.2">
      <c r="B2496" s="31">
        <v>2487</v>
      </c>
      <c r="J2496">
        <f t="shared" si="44"/>
        <v>105000</v>
      </c>
      <c r="K2496" t="e">
        <f>VLOOKUP(B2496,'REGISTRO ABONOS'!$B$8:$BC$10041,54,0)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hidden="1" x14ac:dyDescent="0.2">
      <c r="B2497" s="31">
        <v>2488</v>
      </c>
      <c r="J2497">
        <f t="shared" si="44"/>
        <v>105000</v>
      </c>
      <c r="K2497" t="e">
        <f>VLOOKUP(B2497,'REGISTRO ABONOS'!$B$8:$BC$10041,54,0)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hidden="1" x14ac:dyDescent="0.2">
      <c r="B2498" s="31">
        <v>2489</v>
      </c>
      <c r="J2498">
        <f t="shared" si="44"/>
        <v>105000</v>
      </c>
      <c r="K2498" t="e">
        <f>VLOOKUP(B2498,'REGISTRO ABONOS'!$B$8:$BC$10041,54,0)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hidden="1" x14ac:dyDescent="0.2">
      <c r="B2499" s="31">
        <v>2490</v>
      </c>
      <c r="J2499">
        <f t="shared" si="44"/>
        <v>105000</v>
      </c>
      <c r="K2499" t="e">
        <f>VLOOKUP(B2499,'REGISTRO ABONOS'!$B$8:$BC$10041,54,0)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hidden="1" x14ac:dyDescent="0.2">
      <c r="B2500" s="31">
        <v>2491</v>
      </c>
      <c r="J2500">
        <f t="shared" si="44"/>
        <v>105000</v>
      </c>
      <c r="K2500" t="e">
        <f>VLOOKUP(B2500,'REGISTRO ABONOS'!$B$8:$BC$10041,54,0)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hidden="1" x14ac:dyDescent="0.2">
      <c r="B2501" s="31">
        <v>2492</v>
      </c>
      <c r="J2501">
        <f t="shared" si="44"/>
        <v>105000</v>
      </c>
      <c r="K2501" t="e">
        <f>VLOOKUP(B2501,'REGISTRO ABONOS'!$B$8:$BC$10041,54,0)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hidden="1" x14ac:dyDescent="0.2">
      <c r="B2502" s="31">
        <v>2493</v>
      </c>
      <c r="J2502">
        <f t="shared" si="44"/>
        <v>105000</v>
      </c>
      <c r="K2502" t="e">
        <f>VLOOKUP(B2502,'REGISTRO ABONOS'!$B$8:$BC$10041,54,0)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hidden="1" x14ac:dyDescent="0.2">
      <c r="B2503" s="31">
        <v>2494</v>
      </c>
      <c r="J2503">
        <f t="shared" si="44"/>
        <v>105000</v>
      </c>
      <c r="K2503" t="e">
        <f>VLOOKUP(B2503,'REGISTRO ABONOS'!$B$8:$BC$10041,54,0)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hidden="1" x14ac:dyDescent="0.2">
      <c r="B2504" s="31">
        <v>2495</v>
      </c>
      <c r="J2504">
        <f t="shared" si="44"/>
        <v>105000</v>
      </c>
      <c r="K2504" t="e">
        <f>VLOOKUP(B2504,'REGISTRO ABONOS'!$B$8:$BC$10041,54,0)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hidden="1" x14ac:dyDescent="0.2">
      <c r="B2505" s="31">
        <v>2496</v>
      </c>
      <c r="J2505">
        <f t="shared" si="44"/>
        <v>105000</v>
      </c>
      <c r="K2505" t="e">
        <f>VLOOKUP(B2505,'REGISTRO ABONOS'!$B$8:$BC$10041,54,0)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hidden="1" x14ac:dyDescent="0.2">
      <c r="B2506" s="31">
        <v>2497</v>
      </c>
      <c r="J2506">
        <f t="shared" si="44"/>
        <v>105000</v>
      </c>
      <c r="K2506" t="e">
        <f>VLOOKUP(B2506,'REGISTRO ABONOS'!$B$8:$BC$10041,54,0)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hidden="1" x14ac:dyDescent="0.2">
      <c r="B2507" s="31">
        <v>2498</v>
      </c>
      <c r="J2507">
        <f t="shared" si="44"/>
        <v>105000</v>
      </c>
      <c r="K2507" t="e">
        <f>VLOOKUP(B2507,'REGISTRO ABONOS'!$B$8:$BC$10041,54,0)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hidden="1" x14ac:dyDescent="0.2">
      <c r="B2508" s="31">
        <v>2499</v>
      </c>
      <c r="J2508">
        <f t="shared" si="44"/>
        <v>105000</v>
      </c>
      <c r="K2508" t="e">
        <f>VLOOKUP(B2508,'REGISTRO ABONOS'!$B$8:$BC$10041,54,0)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hidden="1" x14ac:dyDescent="0.2">
      <c r="B2509" s="31">
        <v>2500</v>
      </c>
      <c r="J2509">
        <f t="shared" si="44"/>
        <v>105000</v>
      </c>
      <c r="K2509" t="e">
        <f>VLOOKUP(B2509,'REGISTRO ABONOS'!$B$8:$BC$10041,54,0)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hidden="1" x14ac:dyDescent="0.2">
      <c r="B2510" s="31">
        <v>2501</v>
      </c>
      <c r="J2510">
        <f t="shared" si="44"/>
        <v>105000</v>
      </c>
      <c r="K2510" t="e">
        <f>VLOOKUP(B2510,'REGISTRO ABONOS'!$B$8:$BC$10041,54,0)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hidden="1" x14ac:dyDescent="0.2">
      <c r="B2511" s="31">
        <v>2502</v>
      </c>
      <c r="J2511">
        <f t="shared" si="44"/>
        <v>105000</v>
      </c>
      <c r="K2511" t="e">
        <f>VLOOKUP(B2511,'REGISTRO ABONOS'!$B$8:$BC$10041,54,0)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hidden="1" x14ac:dyDescent="0.2">
      <c r="B2512" s="31">
        <v>2503</v>
      </c>
      <c r="J2512">
        <f t="shared" si="44"/>
        <v>105000</v>
      </c>
      <c r="K2512" t="e">
        <f>VLOOKUP(B2512,'REGISTRO ABONOS'!$B$8:$BC$10041,54,0)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hidden="1" x14ac:dyDescent="0.2">
      <c r="B2513" s="31">
        <v>2504</v>
      </c>
      <c r="J2513">
        <f t="shared" si="44"/>
        <v>105000</v>
      </c>
      <c r="K2513" t="e">
        <f>VLOOKUP(B2513,'REGISTRO ABONOS'!$B$8:$BC$10041,54,0)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hidden="1" x14ac:dyDescent="0.2">
      <c r="B2514" s="31">
        <v>2505</v>
      </c>
      <c r="J2514">
        <f t="shared" si="44"/>
        <v>105000</v>
      </c>
      <c r="K2514" t="e">
        <f>VLOOKUP(B2514,'REGISTRO ABONOS'!$B$8:$BC$10041,54,0)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hidden="1" x14ac:dyDescent="0.2">
      <c r="B2515" s="31">
        <v>2506</v>
      </c>
      <c r="J2515">
        <f t="shared" si="44"/>
        <v>105000</v>
      </c>
      <c r="K2515" t="e">
        <f>VLOOKUP(B2515,'REGISTRO ABONOS'!$B$8:$BC$10041,54,0)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hidden="1" x14ac:dyDescent="0.2">
      <c r="B2516" s="31">
        <v>2507</v>
      </c>
      <c r="J2516">
        <f t="shared" si="44"/>
        <v>105000</v>
      </c>
      <c r="K2516" t="e">
        <f>VLOOKUP(B2516,'REGISTRO ABONOS'!$B$8:$BC$10041,54,0)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hidden="1" x14ac:dyDescent="0.2">
      <c r="B2517" s="31">
        <v>2508</v>
      </c>
      <c r="J2517">
        <f t="shared" si="44"/>
        <v>105000</v>
      </c>
      <c r="K2517" t="e">
        <f>VLOOKUP(B2517,'REGISTRO ABONOS'!$B$8:$BC$10041,54,0)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hidden="1" x14ac:dyDescent="0.2">
      <c r="B2518" s="31">
        <v>2509</v>
      </c>
      <c r="J2518">
        <f t="shared" si="44"/>
        <v>105000</v>
      </c>
      <c r="K2518" t="e">
        <f>VLOOKUP(B2518,'REGISTRO ABONOS'!$B$8:$BC$10041,54,0)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hidden="1" x14ac:dyDescent="0.2">
      <c r="B2519" s="31">
        <v>2510</v>
      </c>
      <c r="J2519">
        <f t="shared" si="44"/>
        <v>105000</v>
      </c>
      <c r="K2519" t="e">
        <f>VLOOKUP(B2519,'REGISTRO ABONOS'!$B$8:$BC$10041,54,0)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hidden="1" x14ac:dyDescent="0.2">
      <c r="B2520" s="31">
        <v>2511</v>
      </c>
      <c r="J2520">
        <f t="shared" si="44"/>
        <v>105000</v>
      </c>
      <c r="K2520" t="e">
        <f>VLOOKUP(B2520,'REGISTRO ABONOS'!$B$8:$BC$10041,54,0)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hidden="1" x14ac:dyDescent="0.2">
      <c r="B2521" s="31">
        <v>2512</v>
      </c>
      <c r="J2521">
        <f t="shared" si="44"/>
        <v>105000</v>
      </c>
      <c r="K2521" t="e">
        <f>VLOOKUP(B2521,'REGISTRO ABONOS'!$B$8:$BC$10041,54,0)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hidden="1" x14ac:dyDescent="0.2">
      <c r="B2522" s="31">
        <v>2513</v>
      </c>
      <c r="J2522">
        <f t="shared" si="44"/>
        <v>105000</v>
      </c>
      <c r="K2522" t="e">
        <f>VLOOKUP(B2522,'REGISTRO ABONOS'!$B$8:$BC$10041,54,0)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hidden="1" x14ac:dyDescent="0.2">
      <c r="B2523" s="31">
        <v>2514</v>
      </c>
      <c r="J2523">
        <f t="shared" si="44"/>
        <v>105000</v>
      </c>
      <c r="K2523" t="e">
        <f>VLOOKUP(B2523,'REGISTRO ABONOS'!$B$8:$BC$10041,54,0)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hidden="1" x14ac:dyDescent="0.2">
      <c r="B2524" s="31">
        <v>2515</v>
      </c>
      <c r="J2524">
        <f t="shared" si="44"/>
        <v>105000</v>
      </c>
      <c r="K2524" t="e">
        <f>VLOOKUP(B2524,'REGISTRO ABONOS'!$B$8:$BC$10041,54,0)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hidden="1" x14ac:dyDescent="0.2">
      <c r="B2525" s="31">
        <v>2516</v>
      </c>
      <c r="J2525">
        <f t="shared" si="44"/>
        <v>105000</v>
      </c>
      <c r="K2525" t="e">
        <f>VLOOKUP(B2525,'REGISTRO ABONOS'!$B$8:$BC$10041,54,0)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hidden="1" x14ac:dyDescent="0.2">
      <c r="B2526" s="31">
        <v>2517</v>
      </c>
      <c r="J2526">
        <f t="shared" si="44"/>
        <v>105000</v>
      </c>
      <c r="K2526" t="e">
        <f>VLOOKUP(B2526,'REGISTRO ABONOS'!$B$8:$BC$10041,54,0)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hidden="1" x14ac:dyDescent="0.2">
      <c r="B2527" s="31">
        <v>2518</v>
      </c>
      <c r="J2527">
        <f t="shared" si="44"/>
        <v>105000</v>
      </c>
      <c r="K2527" t="e">
        <f>VLOOKUP(B2527,'REGISTRO ABONOS'!$B$8:$BC$10041,54,0)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hidden="1" x14ac:dyDescent="0.2">
      <c r="B2528" s="31">
        <v>2519</v>
      </c>
      <c r="J2528">
        <f t="shared" si="44"/>
        <v>105000</v>
      </c>
      <c r="K2528" t="e">
        <f>VLOOKUP(B2528,'REGISTRO ABONOS'!$B$8:$BC$10041,54,0)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hidden="1" x14ac:dyDescent="0.2">
      <c r="B2529" s="31">
        <v>2520</v>
      </c>
      <c r="J2529">
        <f t="shared" si="44"/>
        <v>105000</v>
      </c>
      <c r="K2529" t="e">
        <f>VLOOKUP(B2529,'REGISTRO ABONOS'!$B$8:$BC$10041,54,0)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hidden="1" x14ac:dyDescent="0.2">
      <c r="B2530" s="31">
        <v>2521</v>
      </c>
      <c r="J2530">
        <f t="shared" si="44"/>
        <v>105000</v>
      </c>
      <c r="K2530" t="e">
        <f>VLOOKUP(B2530,'REGISTRO ABONOS'!$B$8:$BC$10041,54,0)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hidden="1" x14ac:dyDescent="0.2">
      <c r="B2531" s="31">
        <v>2522</v>
      </c>
      <c r="J2531">
        <f t="shared" si="44"/>
        <v>105000</v>
      </c>
      <c r="K2531" t="e">
        <f>VLOOKUP(B2531,'REGISTRO ABONOS'!$B$8:$BC$10041,54,0)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hidden="1" x14ac:dyDescent="0.2">
      <c r="B2532" s="31">
        <v>2523</v>
      </c>
      <c r="J2532">
        <f t="shared" si="44"/>
        <v>105000</v>
      </c>
      <c r="K2532" t="e">
        <f>VLOOKUP(B2532,'REGISTRO ABONOS'!$B$8:$BC$10041,54,0)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hidden="1" x14ac:dyDescent="0.2">
      <c r="B2533" s="31">
        <v>2524</v>
      </c>
      <c r="J2533">
        <f t="shared" si="44"/>
        <v>105000</v>
      </c>
      <c r="K2533" t="e">
        <f>VLOOKUP(B2533,'REGISTRO ABONOS'!$B$8:$BC$10041,54,0)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hidden="1" x14ac:dyDescent="0.2">
      <c r="B2534" s="31">
        <v>2525</v>
      </c>
      <c r="J2534">
        <f t="shared" si="44"/>
        <v>105000</v>
      </c>
      <c r="K2534" t="e">
        <f>VLOOKUP(B2534,'REGISTRO ABONOS'!$B$8:$BC$10041,54,0)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hidden="1" x14ac:dyDescent="0.2">
      <c r="B2535" s="31">
        <v>2526</v>
      </c>
      <c r="J2535">
        <f t="shared" si="44"/>
        <v>105000</v>
      </c>
      <c r="K2535" t="e">
        <f>VLOOKUP(B2535,'REGISTRO ABONOS'!$B$8:$BC$10041,54,0)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hidden="1" x14ac:dyDescent="0.2">
      <c r="B2536" s="31">
        <v>2527</v>
      </c>
      <c r="J2536">
        <f t="shared" si="44"/>
        <v>105000</v>
      </c>
      <c r="K2536" t="e">
        <f>VLOOKUP(B2536,'REGISTRO ABONOS'!$B$8:$BC$10041,54,0)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hidden="1" x14ac:dyDescent="0.2">
      <c r="B2537" s="31">
        <v>2528</v>
      </c>
      <c r="J2537">
        <f t="shared" si="44"/>
        <v>105000</v>
      </c>
      <c r="K2537" t="e">
        <f>VLOOKUP(B2537,'REGISTRO ABONOS'!$B$8:$BC$10041,54,0)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hidden="1" x14ac:dyDescent="0.2">
      <c r="B2538" s="31">
        <v>2529</v>
      </c>
      <c r="J2538">
        <f t="shared" si="44"/>
        <v>105000</v>
      </c>
      <c r="K2538" t="e">
        <f>VLOOKUP(B2538,'REGISTRO ABONOS'!$B$8:$BC$10041,54,0)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hidden="1" x14ac:dyDescent="0.2">
      <c r="B2539" s="31">
        <v>2530</v>
      </c>
      <c r="J2539">
        <f t="shared" si="44"/>
        <v>105000</v>
      </c>
      <c r="K2539" t="e">
        <f>VLOOKUP(B2539,'REGISTRO ABONOS'!$B$8:$BC$10041,54,0)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hidden="1" x14ac:dyDescent="0.2">
      <c r="B2540" s="31">
        <v>2531</v>
      </c>
      <c r="J2540">
        <f t="shared" si="44"/>
        <v>105000</v>
      </c>
      <c r="K2540" t="e">
        <f>VLOOKUP(B2540,'REGISTRO ABONOS'!$B$8:$BC$10041,54,0)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hidden="1" x14ac:dyDescent="0.2">
      <c r="B2541" s="31">
        <v>2532</v>
      </c>
      <c r="J2541">
        <f t="shared" si="44"/>
        <v>105000</v>
      </c>
      <c r="K2541" t="e">
        <f>VLOOKUP(B2541,'REGISTRO ABONOS'!$B$8:$BC$10041,54,0)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hidden="1" x14ac:dyDescent="0.2">
      <c r="B2542" s="31">
        <v>2533</v>
      </c>
      <c r="J2542">
        <f t="shared" si="44"/>
        <v>105000</v>
      </c>
      <c r="K2542" t="e">
        <f>VLOOKUP(B2542,'REGISTRO ABONOS'!$B$8:$BC$10041,54,0)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hidden="1" x14ac:dyDescent="0.2">
      <c r="B2543" s="31">
        <v>2534</v>
      </c>
      <c r="J2543">
        <f t="shared" si="44"/>
        <v>105000</v>
      </c>
      <c r="K2543" t="e">
        <f>VLOOKUP(B2543,'REGISTRO ABONOS'!$B$8:$BC$10041,54,0)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hidden="1" x14ac:dyDescent="0.2">
      <c r="B2544" s="31">
        <v>2535</v>
      </c>
      <c r="J2544">
        <f t="shared" si="44"/>
        <v>105000</v>
      </c>
      <c r="K2544" t="e">
        <f>VLOOKUP(B2544,'REGISTRO ABONOS'!$B$8:$BC$10041,54,0)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hidden="1" x14ac:dyDescent="0.2">
      <c r="B2545" s="31">
        <v>2536</v>
      </c>
      <c r="J2545">
        <f t="shared" si="44"/>
        <v>105000</v>
      </c>
      <c r="K2545" t="e">
        <f>VLOOKUP(B2545,'REGISTRO ABONOS'!$B$8:$BC$10041,54,0)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hidden="1" x14ac:dyDescent="0.2">
      <c r="B2546" s="31">
        <v>2537</v>
      </c>
      <c r="J2546">
        <f t="shared" si="44"/>
        <v>105000</v>
      </c>
      <c r="K2546" t="e">
        <f>VLOOKUP(B2546,'REGISTRO ABONOS'!$B$8:$BC$10041,54,0)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hidden="1" x14ac:dyDescent="0.2">
      <c r="B2547" s="31">
        <v>2538</v>
      </c>
      <c r="J2547">
        <f t="shared" si="44"/>
        <v>105000</v>
      </c>
      <c r="K2547" t="e">
        <f>VLOOKUP(B2547,'REGISTRO ABONOS'!$B$8:$BC$10041,54,0)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hidden="1" x14ac:dyDescent="0.2">
      <c r="B2548" s="31">
        <v>2539</v>
      </c>
      <c r="J2548">
        <f t="shared" si="44"/>
        <v>105000</v>
      </c>
      <c r="K2548" t="e">
        <f>VLOOKUP(B2548,'REGISTRO ABONOS'!$B$8:$BC$10041,54,0)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hidden="1" x14ac:dyDescent="0.2">
      <c r="B2549" s="31">
        <v>2540</v>
      </c>
      <c r="J2549">
        <f t="shared" si="44"/>
        <v>105000</v>
      </c>
      <c r="K2549" t="e">
        <f>VLOOKUP(B2549,'REGISTRO ABONOS'!$B$8:$BC$10041,54,0)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hidden="1" x14ac:dyDescent="0.2">
      <c r="B2550" s="31">
        <v>2541</v>
      </c>
      <c r="J2550">
        <f t="shared" si="44"/>
        <v>105000</v>
      </c>
      <c r="K2550" t="e">
        <f>VLOOKUP(B2550,'REGISTRO ABONOS'!$B$8:$BC$10041,54,0)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hidden="1" x14ac:dyDescent="0.2">
      <c r="B2551" s="31">
        <v>2542</v>
      </c>
      <c r="J2551">
        <f t="shared" si="44"/>
        <v>105000</v>
      </c>
      <c r="K2551" t="e">
        <f>VLOOKUP(B2551,'REGISTRO ABONOS'!$B$8:$BC$10041,54,0)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hidden="1" x14ac:dyDescent="0.2">
      <c r="B2552" s="31">
        <v>2543</v>
      </c>
      <c r="J2552">
        <f t="shared" si="44"/>
        <v>105000</v>
      </c>
      <c r="K2552" t="e">
        <f>VLOOKUP(B2552,'REGISTRO ABONOS'!$B$8:$BC$10041,54,0)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hidden="1" x14ac:dyDescent="0.2">
      <c r="B2553" s="31">
        <v>2544</v>
      </c>
      <c r="J2553">
        <f t="shared" si="44"/>
        <v>105000</v>
      </c>
      <c r="K2553" t="e">
        <f>VLOOKUP(B2553,'REGISTRO ABONOS'!$B$8:$BC$10041,54,0)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hidden="1" x14ac:dyDescent="0.2">
      <c r="B2554" s="31">
        <v>2545</v>
      </c>
      <c r="J2554">
        <f t="shared" si="44"/>
        <v>105000</v>
      </c>
      <c r="K2554" t="e">
        <f>VLOOKUP(B2554,'REGISTRO ABONOS'!$B$8:$BC$10041,54,0)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hidden="1" x14ac:dyDescent="0.2">
      <c r="B2555" s="31">
        <v>2546</v>
      </c>
      <c r="J2555">
        <f t="shared" si="44"/>
        <v>105000</v>
      </c>
      <c r="K2555" t="e">
        <f>VLOOKUP(B2555,'REGISTRO ABONOS'!$B$8:$BC$10041,54,0)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hidden="1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ABONOS'!$B$8:$BC$10041,54,0)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hidden="1" x14ac:dyDescent="0.2">
      <c r="B2557" s="31">
        <v>2548</v>
      </c>
      <c r="J2557">
        <f t="shared" si="45"/>
        <v>105000</v>
      </c>
      <c r="K2557" t="e">
        <f>VLOOKUP(B2557,'REGISTRO ABONOS'!$B$8:$BC$10041,54,0)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hidden="1" x14ac:dyDescent="0.2">
      <c r="B2558" s="31">
        <v>2549</v>
      </c>
      <c r="J2558">
        <f t="shared" si="45"/>
        <v>105000</v>
      </c>
      <c r="K2558" t="e">
        <f>VLOOKUP(B2558,'REGISTRO ABONOS'!$B$8:$BC$10041,54,0)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hidden="1" x14ac:dyDescent="0.2">
      <c r="B2559" s="31">
        <v>2550</v>
      </c>
      <c r="J2559">
        <f t="shared" si="45"/>
        <v>105000</v>
      </c>
      <c r="K2559" t="e">
        <f>VLOOKUP(B2559,'REGISTRO ABONOS'!$B$8:$BC$10041,54,0)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hidden="1" x14ac:dyDescent="0.2">
      <c r="B2560" s="31">
        <v>2551</v>
      </c>
      <c r="J2560">
        <f t="shared" si="45"/>
        <v>105000</v>
      </c>
      <c r="K2560" t="e">
        <f>VLOOKUP(B2560,'REGISTRO ABONOS'!$B$8:$BC$10041,54,0)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hidden="1" x14ac:dyDescent="0.2">
      <c r="B2561" s="31">
        <v>2552</v>
      </c>
      <c r="J2561">
        <f t="shared" si="45"/>
        <v>105000</v>
      </c>
      <c r="K2561" t="e">
        <f>VLOOKUP(B2561,'REGISTRO ABONOS'!$B$8:$BC$10041,54,0)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hidden="1" x14ac:dyDescent="0.2">
      <c r="B2562" s="31">
        <v>2553</v>
      </c>
      <c r="J2562">
        <f t="shared" si="45"/>
        <v>105000</v>
      </c>
      <c r="K2562" t="e">
        <f>VLOOKUP(B2562,'REGISTRO ABONOS'!$B$8:$BC$10041,54,0)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hidden="1" x14ac:dyDescent="0.2">
      <c r="B2563" s="31">
        <v>2554</v>
      </c>
      <c r="J2563">
        <f t="shared" si="45"/>
        <v>105000</v>
      </c>
      <c r="K2563" t="e">
        <f>VLOOKUP(B2563,'REGISTRO ABONOS'!$B$8:$BC$10041,54,0)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hidden="1" x14ac:dyDescent="0.2">
      <c r="B2564" s="31">
        <v>2555</v>
      </c>
      <c r="J2564">
        <f t="shared" si="45"/>
        <v>105000</v>
      </c>
      <c r="K2564" t="e">
        <f>VLOOKUP(B2564,'REGISTRO ABONOS'!$B$8:$BC$10041,54,0)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hidden="1" x14ac:dyDescent="0.2">
      <c r="B2565" s="31">
        <v>2556</v>
      </c>
      <c r="J2565">
        <f t="shared" si="45"/>
        <v>105000</v>
      </c>
      <c r="K2565" t="e">
        <f>VLOOKUP(B2565,'REGISTRO ABONOS'!$B$8:$BC$10041,54,0)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hidden="1" x14ac:dyDescent="0.2">
      <c r="B2566" s="31">
        <v>2557</v>
      </c>
      <c r="J2566">
        <f t="shared" si="45"/>
        <v>105000</v>
      </c>
      <c r="K2566" t="e">
        <f>VLOOKUP(B2566,'REGISTRO ABONOS'!$B$8:$BC$10041,54,0)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hidden="1" x14ac:dyDescent="0.2">
      <c r="B2567" s="31">
        <v>2558</v>
      </c>
      <c r="J2567">
        <f t="shared" si="45"/>
        <v>105000</v>
      </c>
      <c r="K2567" t="e">
        <f>VLOOKUP(B2567,'REGISTRO ABONOS'!$B$8:$BC$10041,54,0)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hidden="1" x14ac:dyDescent="0.2">
      <c r="B2568" s="31">
        <v>2559</v>
      </c>
      <c r="J2568">
        <f t="shared" si="45"/>
        <v>105000</v>
      </c>
      <c r="K2568" t="e">
        <f>VLOOKUP(B2568,'REGISTRO ABONOS'!$B$8:$BC$10041,54,0)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hidden="1" x14ac:dyDescent="0.2">
      <c r="B2569" s="31">
        <v>2560</v>
      </c>
      <c r="J2569">
        <f t="shared" si="45"/>
        <v>105000</v>
      </c>
      <c r="K2569" t="e">
        <f>VLOOKUP(B2569,'REGISTRO ABONOS'!$B$8:$BC$10041,54,0)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hidden="1" x14ac:dyDescent="0.2">
      <c r="B2570" s="31">
        <v>2561</v>
      </c>
      <c r="J2570">
        <f t="shared" si="45"/>
        <v>105000</v>
      </c>
      <c r="K2570" t="e">
        <f>VLOOKUP(B2570,'REGISTRO ABONOS'!$B$8:$BC$10041,54,0)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hidden="1" x14ac:dyDescent="0.2">
      <c r="B2571" s="31">
        <v>2562</v>
      </c>
      <c r="J2571">
        <f t="shared" si="45"/>
        <v>105000</v>
      </c>
      <c r="K2571" t="e">
        <f>VLOOKUP(B2571,'REGISTRO ABONOS'!$B$8:$BC$10041,54,0)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5"/>
        <v>105000</v>
      </c>
      <c r="K2572" t="e">
        <f>VLOOKUP(B2572,'REGISTRO ABONOS'!$B$8:$BC$10041,54,0)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hidden="1" x14ac:dyDescent="0.2">
      <c r="B2573" s="31">
        <v>2564</v>
      </c>
      <c r="J2573">
        <f t="shared" si="45"/>
        <v>105000</v>
      </c>
      <c r="K2573" t="e">
        <f>VLOOKUP(B2573,'REGISTRO ABONOS'!$B$8:$BC$10041,54,0)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hidden="1" x14ac:dyDescent="0.2">
      <c r="B2574" s="31">
        <v>2565</v>
      </c>
      <c r="J2574">
        <f t="shared" si="45"/>
        <v>105000</v>
      </c>
      <c r="K2574" t="e">
        <f>VLOOKUP(B2574,'REGISTRO ABONOS'!$B$8:$BC$10041,54,0)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hidden="1" x14ac:dyDescent="0.2">
      <c r="B2575" s="31">
        <v>2566</v>
      </c>
      <c r="J2575">
        <f t="shared" si="45"/>
        <v>105000</v>
      </c>
      <c r="K2575" t="e">
        <f>VLOOKUP(B2575,'REGISTRO ABONOS'!$B$8:$BC$10041,54,0)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hidden="1" x14ac:dyDescent="0.2">
      <c r="B2576" s="31">
        <v>2567</v>
      </c>
      <c r="J2576">
        <f t="shared" si="45"/>
        <v>105000</v>
      </c>
      <c r="K2576" t="e">
        <f>VLOOKUP(B2576,'REGISTRO ABONOS'!$B$8:$BC$10041,54,0)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hidden="1" x14ac:dyDescent="0.2">
      <c r="B2577" s="31">
        <v>2568</v>
      </c>
      <c r="J2577">
        <f t="shared" si="45"/>
        <v>105000</v>
      </c>
      <c r="K2577" t="e">
        <f>VLOOKUP(B2577,'REGISTRO ABONOS'!$B$8:$BC$10041,54,0)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hidden="1" x14ac:dyDescent="0.2">
      <c r="B2578" s="31">
        <v>2569</v>
      </c>
      <c r="J2578">
        <f t="shared" si="45"/>
        <v>105000</v>
      </c>
      <c r="K2578" t="e">
        <f>VLOOKUP(B2578,'REGISTRO ABONOS'!$B$8:$BC$10041,54,0)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hidden="1" x14ac:dyDescent="0.2">
      <c r="B2579" s="31">
        <v>2570</v>
      </c>
      <c r="J2579">
        <f t="shared" si="45"/>
        <v>105000</v>
      </c>
      <c r="K2579" t="e">
        <f>VLOOKUP(B2579,'REGISTRO ABONOS'!$B$8:$BC$10041,54,0)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hidden="1" x14ac:dyDescent="0.2">
      <c r="B2580" s="31">
        <v>2571</v>
      </c>
      <c r="J2580">
        <f t="shared" si="45"/>
        <v>105000</v>
      </c>
      <c r="K2580" t="e">
        <f>VLOOKUP(B2580,'REGISTRO ABONOS'!$B$8:$BC$10041,54,0)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hidden="1" x14ac:dyDescent="0.2">
      <c r="B2581" s="31">
        <v>2572</v>
      </c>
      <c r="J2581">
        <f t="shared" si="45"/>
        <v>105000</v>
      </c>
      <c r="K2581" t="e">
        <f>VLOOKUP(B2581,'REGISTRO ABONOS'!$B$8:$BC$10041,54,0)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hidden="1" x14ac:dyDescent="0.2">
      <c r="B2582" s="31">
        <v>2573</v>
      </c>
      <c r="J2582">
        <f t="shared" si="45"/>
        <v>105000</v>
      </c>
      <c r="K2582" t="e">
        <f>VLOOKUP(B2582,'REGISTRO ABONOS'!$B$8:$BC$10041,54,0)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hidden="1" x14ac:dyDescent="0.2">
      <c r="B2583" s="31">
        <v>2574</v>
      </c>
      <c r="J2583">
        <f t="shared" si="45"/>
        <v>105000</v>
      </c>
      <c r="K2583" t="e">
        <f>VLOOKUP(B2583,'REGISTRO ABONOS'!$B$8:$BC$10041,54,0)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hidden="1" x14ac:dyDescent="0.2">
      <c r="B2584" s="31">
        <v>2575</v>
      </c>
      <c r="J2584">
        <f t="shared" si="45"/>
        <v>105000</v>
      </c>
      <c r="K2584" t="e">
        <f>VLOOKUP(B2584,'REGISTRO ABONOS'!$B$8:$BC$10041,54,0)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hidden="1" x14ac:dyDescent="0.2">
      <c r="B2585" s="31">
        <v>2576</v>
      </c>
      <c r="J2585">
        <f t="shared" si="45"/>
        <v>105000</v>
      </c>
      <c r="K2585" t="e">
        <f>VLOOKUP(B2585,'REGISTRO ABONOS'!$B$8:$BC$10041,54,0)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hidden="1" x14ac:dyDescent="0.2">
      <c r="B2586" s="31">
        <v>2577</v>
      </c>
      <c r="J2586">
        <f t="shared" si="45"/>
        <v>105000</v>
      </c>
      <c r="K2586" t="e">
        <f>VLOOKUP(B2586,'REGISTRO ABONOS'!$B$8:$BC$10041,54,0)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hidden="1" x14ac:dyDescent="0.2">
      <c r="B2587" s="31">
        <v>2578</v>
      </c>
      <c r="J2587">
        <f t="shared" si="45"/>
        <v>105000</v>
      </c>
      <c r="K2587" t="e">
        <f>VLOOKUP(B2587,'REGISTRO ABONOS'!$B$8:$BC$10041,54,0)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hidden="1" x14ac:dyDescent="0.2">
      <c r="B2588" s="31">
        <v>2579</v>
      </c>
      <c r="J2588">
        <f t="shared" si="45"/>
        <v>105000</v>
      </c>
      <c r="K2588" t="e">
        <f>VLOOKUP(B2588,'REGISTRO ABONOS'!$B$8:$BC$10041,54,0)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hidden="1" x14ac:dyDescent="0.2">
      <c r="B2589" s="31">
        <v>2580</v>
      </c>
      <c r="J2589">
        <f t="shared" si="45"/>
        <v>105000</v>
      </c>
      <c r="K2589" t="e">
        <f>VLOOKUP(B2589,'REGISTRO ABONOS'!$B$8:$BC$10041,54,0)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hidden="1" x14ac:dyDescent="0.2">
      <c r="B2590" s="31">
        <v>2581</v>
      </c>
      <c r="J2590">
        <f t="shared" si="45"/>
        <v>105000</v>
      </c>
      <c r="K2590" t="e">
        <f>VLOOKUP(B2590,'REGISTRO ABONOS'!$B$8:$BC$10041,54,0)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hidden="1" x14ac:dyDescent="0.2">
      <c r="B2591" s="31">
        <v>2582</v>
      </c>
      <c r="J2591">
        <f t="shared" si="45"/>
        <v>105000</v>
      </c>
      <c r="K2591" t="e">
        <f>VLOOKUP(B2591,'REGISTRO ABONOS'!$B$8:$BC$10041,54,0)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hidden="1" x14ac:dyDescent="0.2">
      <c r="B2592" s="31">
        <v>2583</v>
      </c>
      <c r="J2592">
        <f t="shared" si="45"/>
        <v>105000</v>
      </c>
      <c r="K2592" t="e">
        <f>VLOOKUP(B2592,'REGISTRO ABONOS'!$B$8:$BC$10041,54,0)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hidden="1" x14ac:dyDescent="0.2">
      <c r="B2593" s="31">
        <v>2584</v>
      </c>
      <c r="J2593">
        <f t="shared" si="45"/>
        <v>105000</v>
      </c>
      <c r="K2593" t="e">
        <f>VLOOKUP(B2593,'REGISTRO ABONOS'!$B$8:$BC$10041,54,0)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hidden="1" x14ac:dyDescent="0.2">
      <c r="B2594" s="31">
        <v>2585</v>
      </c>
      <c r="J2594">
        <f t="shared" si="45"/>
        <v>105000</v>
      </c>
      <c r="K2594" t="e">
        <f>VLOOKUP(B2594,'REGISTRO ABONOS'!$B$8:$BC$10041,54,0)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hidden="1" x14ac:dyDescent="0.2">
      <c r="B2595" s="31">
        <v>2586</v>
      </c>
      <c r="J2595">
        <f t="shared" si="45"/>
        <v>105000</v>
      </c>
      <c r="K2595" t="e">
        <f>VLOOKUP(B2595,'REGISTRO ABONOS'!$B$8:$BC$10041,54,0)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hidden="1" x14ac:dyDescent="0.2">
      <c r="B2596" s="31">
        <v>2587</v>
      </c>
      <c r="J2596">
        <f t="shared" si="45"/>
        <v>105000</v>
      </c>
      <c r="K2596" t="e">
        <f>VLOOKUP(B2596,'REGISTRO ABONOS'!$B$8:$BC$10041,54,0)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hidden="1" x14ac:dyDescent="0.2">
      <c r="B2597" s="31">
        <v>2588</v>
      </c>
      <c r="J2597">
        <f t="shared" si="45"/>
        <v>105000</v>
      </c>
      <c r="K2597" t="e">
        <f>VLOOKUP(B2597,'REGISTRO ABONOS'!$B$8:$BC$10041,54,0)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hidden="1" x14ac:dyDescent="0.2">
      <c r="B2598" s="31">
        <v>2589</v>
      </c>
      <c r="J2598">
        <f t="shared" si="45"/>
        <v>105000</v>
      </c>
      <c r="K2598" t="e">
        <f>VLOOKUP(B2598,'REGISTRO ABONOS'!$B$8:$BC$10041,54,0)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hidden="1" x14ac:dyDescent="0.2">
      <c r="B2599" s="31">
        <v>2590</v>
      </c>
      <c r="J2599">
        <f t="shared" si="45"/>
        <v>105000</v>
      </c>
      <c r="K2599" t="e">
        <f>VLOOKUP(B2599,'REGISTRO ABONOS'!$B$8:$BC$10041,54,0)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hidden="1" x14ac:dyDescent="0.2">
      <c r="B2600" s="31">
        <v>2591</v>
      </c>
      <c r="J2600">
        <f t="shared" si="45"/>
        <v>105000</v>
      </c>
      <c r="K2600" t="e">
        <f>VLOOKUP(B2600,'REGISTRO ABONOS'!$B$8:$BC$10041,54,0)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hidden="1" x14ac:dyDescent="0.2">
      <c r="B2601" s="31">
        <v>2592</v>
      </c>
      <c r="J2601">
        <f t="shared" si="45"/>
        <v>105000</v>
      </c>
      <c r="K2601" t="e">
        <f>VLOOKUP(B2601,'REGISTRO ABONOS'!$B$8:$BC$10041,54,0)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hidden="1" x14ac:dyDescent="0.2">
      <c r="B2602" s="31">
        <v>2593</v>
      </c>
      <c r="J2602">
        <f t="shared" si="45"/>
        <v>105000</v>
      </c>
      <c r="K2602" t="e">
        <f>VLOOKUP(B2602,'REGISTRO ABONOS'!$B$8:$BC$10041,54,0)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hidden="1" x14ac:dyDescent="0.2">
      <c r="B2603" s="31">
        <v>2594</v>
      </c>
      <c r="J2603">
        <f t="shared" si="45"/>
        <v>105000</v>
      </c>
      <c r="K2603" t="e">
        <f>VLOOKUP(B2603,'REGISTRO ABONOS'!$B$8:$BC$10041,54,0)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hidden="1" x14ac:dyDescent="0.2">
      <c r="B2604" s="31">
        <v>2595</v>
      </c>
      <c r="J2604">
        <f t="shared" si="45"/>
        <v>105000</v>
      </c>
      <c r="K2604" t="e">
        <f>VLOOKUP(B2604,'REGISTRO ABONOS'!$B$8:$BC$10041,54,0)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hidden="1" x14ac:dyDescent="0.2">
      <c r="B2605" s="31">
        <v>2596</v>
      </c>
      <c r="J2605">
        <f t="shared" si="45"/>
        <v>105000</v>
      </c>
      <c r="K2605" t="e">
        <f>VLOOKUP(B2605,'REGISTRO ABONOS'!$B$8:$BC$10041,54,0)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hidden="1" x14ac:dyDescent="0.2">
      <c r="B2606" s="31">
        <v>2597</v>
      </c>
      <c r="J2606">
        <f t="shared" si="45"/>
        <v>105000</v>
      </c>
      <c r="K2606" t="e">
        <f>VLOOKUP(B2606,'REGISTRO ABONOS'!$B$8:$BC$10041,54,0)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hidden="1" x14ac:dyDescent="0.2">
      <c r="B2607" s="31">
        <v>2598</v>
      </c>
      <c r="J2607">
        <f t="shared" si="45"/>
        <v>105000</v>
      </c>
      <c r="K2607" t="e">
        <f>VLOOKUP(B2607,'REGISTRO ABONOS'!$B$8:$BC$10041,54,0)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hidden="1" x14ac:dyDescent="0.2">
      <c r="B2608" s="31">
        <v>2599</v>
      </c>
      <c r="J2608">
        <f t="shared" si="45"/>
        <v>105000</v>
      </c>
      <c r="K2608" t="e">
        <f>VLOOKUP(B2608,'REGISTRO ABONOS'!$B$8:$BC$10041,54,0)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hidden="1" x14ac:dyDescent="0.2">
      <c r="B2609" s="31">
        <v>2600</v>
      </c>
      <c r="J2609">
        <f t="shared" si="45"/>
        <v>105000</v>
      </c>
      <c r="K2609" t="e">
        <f>VLOOKUP(B2609,'REGISTRO ABONOS'!$B$8:$BC$10041,54,0)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hidden="1" x14ac:dyDescent="0.2">
      <c r="B2610" s="31">
        <v>2601</v>
      </c>
      <c r="J2610">
        <f t="shared" si="45"/>
        <v>105000</v>
      </c>
      <c r="K2610" t="e">
        <f>VLOOKUP(B2610,'REGISTRO ABONOS'!$B$8:$BC$10041,54,0)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hidden="1" x14ac:dyDescent="0.2">
      <c r="B2611" s="31">
        <v>2602</v>
      </c>
      <c r="J2611">
        <f t="shared" si="45"/>
        <v>105000</v>
      </c>
      <c r="K2611" t="e">
        <f>VLOOKUP(B2611,'REGISTRO ABONOS'!$B$8:$BC$10041,54,0)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hidden="1" x14ac:dyDescent="0.2">
      <c r="B2612" s="31">
        <v>2603</v>
      </c>
      <c r="J2612">
        <f t="shared" si="45"/>
        <v>105000</v>
      </c>
      <c r="K2612" t="e">
        <f>VLOOKUP(B2612,'REGISTRO ABONOS'!$B$8:$BC$10041,54,0)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hidden="1" x14ac:dyDescent="0.2">
      <c r="B2613" s="31">
        <v>2604</v>
      </c>
      <c r="J2613">
        <f t="shared" si="45"/>
        <v>105000</v>
      </c>
      <c r="K2613" t="e">
        <f>VLOOKUP(B2613,'REGISTRO ABONOS'!$B$8:$BC$10041,54,0)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hidden="1" x14ac:dyDescent="0.2">
      <c r="B2614" s="31">
        <v>2605</v>
      </c>
      <c r="J2614">
        <f t="shared" si="45"/>
        <v>105000</v>
      </c>
      <c r="K2614" t="e">
        <f>VLOOKUP(B2614,'REGISTRO ABONOS'!$B$8:$BC$10041,54,0)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hidden="1" x14ac:dyDescent="0.2">
      <c r="B2615" s="31">
        <v>2606</v>
      </c>
      <c r="J2615">
        <f t="shared" si="45"/>
        <v>105000</v>
      </c>
      <c r="K2615" t="e">
        <f>VLOOKUP(B2615,'REGISTRO ABONOS'!$B$8:$BC$10041,54,0)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hidden="1" x14ac:dyDescent="0.2">
      <c r="B2616" s="31">
        <v>2607</v>
      </c>
      <c r="J2616">
        <f t="shared" si="45"/>
        <v>105000</v>
      </c>
      <c r="K2616" t="e">
        <f>VLOOKUP(B2616,'REGISTRO ABONOS'!$B$8:$BC$10041,54,0)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hidden="1" x14ac:dyDescent="0.2">
      <c r="B2617" s="31">
        <v>2608</v>
      </c>
      <c r="J2617">
        <f t="shared" si="45"/>
        <v>105000</v>
      </c>
      <c r="K2617" t="e">
        <f>VLOOKUP(B2617,'REGISTRO ABONOS'!$B$8:$BC$10041,54,0)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hidden="1" x14ac:dyDescent="0.2">
      <c r="B2618" s="31">
        <v>2609</v>
      </c>
      <c r="J2618">
        <f t="shared" si="45"/>
        <v>105000</v>
      </c>
      <c r="K2618" t="e">
        <f>VLOOKUP(B2618,'REGISTRO ABONOS'!$B$8:$BC$10041,54,0)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hidden="1" x14ac:dyDescent="0.2">
      <c r="B2619" s="31">
        <v>2610</v>
      </c>
      <c r="J2619">
        <f t="shared" si="45"/>
        <v>105000</v>
      </c>
      <c r="K2619" t="e">
        <f>VLOOKUP(B2619,'REGISTRO ABONOS'!$B$8:$BC$10041,54,0)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hidden="1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ABONOS'!$B$8:$BC$10041,54,0)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hidden="1" x14ac:dyDescent="0.2">
      <c r="B2621" s="31">
        <v>2612</v>
      </c>
      <c r="J2621">
        <f t="shared" si="46"/>
        <v>105000</v>
      </c>
      <c r="K2621" t="e">
        <f>VLOOKUP(B2621,'REGISTRO ABONOS'!$B$8:$BC$10041,54,0)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6"/>
        <v>105000</v>
      </c>
      <c r="K2622" t="e">
        <f>VLOOKUP(B2622,'REGISTRO ABONOS'!$B$8:$BC$10041,54,0)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hidden="1" x14ac:dyDescent="0.2">
      <c r="B2623" s="31">
        <v>2614</v>
      </c>
      <c r="J2623">
        <f t="shared" si="46"/>
        <v>105000</v>
      </c>
      <c r="K2623" t="e">
        <f>VLOOKUP(B2623,'REGISTRO ABONOS'!$B$8:$BC$10041,54,0)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hidden="1" x14ac:dyDescent="0.2">
      <c r="B2624" s="31">
        <v>2615</v>
      </c>
      <c r="J2624">
        <f t="shared" si="46"/>
        <v>105000</v>
      </c>
      <c r="K2624" t="e">
        <f>VLOOKUP(B2624,'REGISTRO ABONOS'!$B$8:$BC$10041,54,0)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hidden="1" x14ac:dyDescent="0.2">
      <c r="B2625" s="31">
        <v>2616</v>
      </c>
      <c r="J2625">
        <f t="shared" si="46"/>
        <v>105000</v>
      </c>
      <c r="K2625" t="e">
        <f>VLOOKUP(B2625,'REGISTRO ABONOS'!$B$8:$BC$10041,54,0)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hidden="1" x14ac:dyDescent="0.2">
      <c r="B2626" s="31">
        <v>2617</v>
      </c>
      <c r="J2626">
        <f t="shared" si="46"/>
        <v>105000</v>
      </c>
      <c r="K2626" t="e">
        <f>VLOOKUP(B2626,'REGISTRO ABONOS'!$B$8:$BC$10041,54,0)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hidden="1" x14ac:dyDescent="0.2">
      <c r="B2627" s="31">
        <v>2618</v>
      </c>
      <c r="J2627">
        <f t="shared" si="46"/>
        <v>105000</v>
      </c>
      <c r="K2627" t="e">
        <f>VLOOKUP(B2627,'REGISTRO ABONOS'!$B$8:$BC$10041,54,0)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hidden="1" x14ac:dyDescent="0.2">
      <c r="B2628" s="31">
        <v>2619</v>
      </c>
      <c r="J2628">
        <f t="shared" si="46"/>
        <v>105000</v>
      </c>
      <c r="K2628" t="e">
        <f>VLOOKUP(B2628,'REGISTRO ABONOS'!$B$8:$BC$10041,54,0)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hidden="1" x14ac:dyDescent="0.2">
      <c r="B2629" s="31">
        <v>2620</v>
      </c>
      <c r="J2629">
        <f t="shared" si="46"/>
        <v>105000</v>
      </c>
      <c r="K2629" t="e">
        <f>VLOOKUP(B2629,'REGISTRO ABONOS'!$B$8:$BC$10041,54,0)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hidden="1" x14ac:dyDescent="0.2">
      <c r="B2630" s="31">
        <v>2621</v>
      </c>
      <c r="J2630">
        <f t="shared" si="46"/>
        <v>105000</v>
      </c>
      <c r="K2630" t="e">
        <f>VLOOKUP(B2630,'REGISTRO ABONOS'!$B$8:$BC$10041,54,0)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hidden="1" x14ac:dyDescent="0.2">
      <c r="B2631" s="31">
        <v>2622</v>
      </c>
      <c r="J2631">
        <f t="shared" si="46"/>
        <v>105000</v>
      </c>
      <c r="K2631" t="e">
        <f>VLOOKUP(B2631,'REGISTRO ABONOS'!$B$8:$BC$10041,54,0)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hidden="1" x14ac:dyDescent="0.2">
      <c r="B2632" s="31">
        <v>2623</v>
      </c>
      <c r="J2632">
        <f t="shared" si="46"/>
        <v>105000</v>
      </c>
      <c r="K2632" t="e">
        <f>VLOOKUP(B2632,'REGISTRO ABONOS'!$B$8:$BC$10041,54,0)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hidden="1" x14ac:dyDescent="0.2">
      <c r="B2633" s="31">
        <v>2624</v>
      </c>
      <c r="J2633">
        <f t="shared" si="46"/>
        <v>105000</v>
      </c>
      <c r="K2633" t="e">
        <f>VLOOKUP(B2633,'REGISTRO ABONOS'!$B$8:$BC$10041,54,0)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hidden="1" x14ac:dyDescent="0.2">
      <c r="B2634" s="31">
        <v>2625</v>
      </c>
      <c r="J2634">
        <f t="shared" si="46"/>
        <v>105000</v>
      </c>
      <c r="K2634" t="e">
        <f>VLOOKUP(B2634,'REGISTRO ABONOS'!$B$8:$BC$10041,54,0)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hidden="1" x14ac:dyDescent="0.2">
      <c r="B2635" s="31">
        <v>2626</v>
      </c>
      <c r="J2635">
        <f t="shared" si="46"/>
        <v>105000</v>
      </c>
      <c r="K2635" t="e">
        <f>VLOOKUP(B2635,'REGISTRO ABONOS'!$B$8:$BC$10041,54,0)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hidden="1" x14ac:dyDescent="0.2">
      <c r="B2636" s="31">
        <v>2627</v>
      </c>
      <c r="J2636">
        <f t="shared" si="46"/>
        <v>105000</v>
      </c>
      <c r="K2636" t="e">
        <f>VLOOKUP(B2636,'REGISTRO ABONOS'!$B$8:$BC$10041,54,0)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hidden="1" x14ac:dyDescent="0.2">
      <c r="B2637" s="31">
        <v>2628</v>
      </c>
      <c r="J2637">
        <f t="shared" si="46"/>
        <v>105000</v>
      </c>
      <c r="K2637" t="e">
        <f>VLOOKUP(B2637,'REGISTRO ABONOS'!$B$8:$BC$10041,54,0)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6"/>
        <v>105000</v>
      </c>
      <c r="K2638" t="e">
        <f>VLOOKUP(B2638,'REGISTRO ABONOS'!$B$8:$BC$10041,54,0)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hidden="1" x14ac:dyDescent="0.2">
      <c r="B2639" s="31">
        <v>2630</v>
      </c>
      <c r="J2639">
        <f t="shared" si="46"/>
        <v>105000</v>
      </c>
      <c r="K2639" t="e">
        <f>VLOOKUP(B2639,'REGISTRO ABONOS'!$B$8:$BC$10041,54,0)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hidden="1" x14ac:dyDescent="0.2">
      <c r="B2640" s="31">
        <v>2631</v>
      </c>
      <c r="J2640">
        <f t="shared" si="46"/>
        <v>105000</v>
      </c>
      <c r="K2640" t="e">
        <f>VLOOKUP(B2640,'REGISTRO ABONOS'!$B$8:$BC$10041,54,0)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hidden="1" x14ac:dyDescent="0.2">
      <c r="B2641" s="31">
        <v>2632</v>
      </c>
      <c r="J2641">
        <f t="shared" si="46"/>
        <v>105000</v>
      </c>
      <c r="K2641" t="e">
        <f>VLOOKUP(B2641,'REGISTRO ABONOS'!$B$8:$BC$10041,54,0)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hidden="1" x14ac:dyDescent="0.2">
      <c r="B2642" s="31">
        <v>2633</v>
      </c>
      <c r="J2642">
        <f t="shared" si="46"/>
        <v>105000</v>
      </c>
      <c r="K2642" t="e">
        <f>VLOOKUP(B2642,'REGISTRO ABONOS'!$B$8:$BC$10041,54,0)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hidden="1" x14ac:dyDescent="0.2">
      <c r="B2643" s="31">
        <v>2634</v>
      </c>
      <c r="J2643">
        <f t="shared" si="46"/>
        <v>105000</v>
      </c>
      <c r="K2643" t="e">
        <f>VLOOKUP(B2643,'REGISTRO ABONOS'!$B$8:$BC$10041,54,0)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hidden="1" x14ac:dyDescent="0.2">
      <c r="B2644" s="31">
        <v>2635</v>
      </c>
      <c r="J2644">
        <f t="shared" si="46"/>
        <v>105000</v>
      </c>
      <c r="K2644" t="e">
        <f>VLOOKUP(B2644,'REGISTRO ABONOS'!$B$8:$BC$10041,54,0)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hidden="1" x14ac:dyDescent="0.2">
      <c r="B2645" s="31">
        <v>2636</v>
      </c>
      <c r="J2645">
        <f t="shared" si="46"/>
        <v>105000</v>
      </c>
      <c r="K2645" t="e">
        <f>VLOOKUP(B2645,'REGISTRO ABONOS'!$B$8:$BC$10041,54,0)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hidden="1" x14ac:dyDescent="0.2">
      <c r="B2646" s="31">
        <v>2637</v>
      </c>
      <c r="J2646">
        <f t="shared" si="46"/>
        <v>105000</v>
      </c>
      <c r="K2646" t="e">
        <f>VLOOKUP(B2646,'REGISTRO ABONOS'!$B$8:$BC$10041,54,0)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hidden="1" x14ac:dyDescent="0.2">
      <c r="B2647" s="31">
        <v>2638</v>
      </c>
      <c r="J2647">
        <f t="shared" si="46"/>
        <v>105000</v>
      </c>
      <c r="K2647" t="e">
        <f>VLOOKUP(B2647,'REGISTRO ABONOS'!$B$8:$BC$10041,54,0)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hidden="1" x14ac:dyDescent="0.2">
      <c r="B2648" s="31">
        <v>2639</v>
      </c>
      <c r="J2648">
        <f t="shared" si="46"/>
        <v>105000</v>
      </c>
      <c r="K2648" t="e">
        <f>VLOOKUP(B2648,'REGISTRO ABONOS'!$B$8:$BC$10041,54,0)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hidden="1" x14ac:dyDescent="0.2">
      <c r="B2649" s="31">
        <v>2640</v>
      </c>
      <c r="J2649">
        <f t="shared" si="46"/>
        <v>105000</v>
      </c>
      <c r="K2649" t="e">
        <f>VLOOKUP(B2649,'REGISTRO ABONOS'!$B$8:$BC$10041,54,0)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hidden="1" x14ac:dyDescent="0.2">
      <c r="B2650" s="31">
        <v>2641</v>
      </c>
      <c r="J2650">
        <f t="shared" si="46"/>
        <v>105000</v>
      </c>
      <c r="K2650" t="e">
        <f>VLOOKUP(B2650,'REGISTRO ABONOS'!$B$8:$BC$10041,54,0)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hidden="1" x14ac:dyDescent="0.2">
      <c r="B2651" s="31">
        <v>2642</v>
      </c>
      <c r="J2651">
        <f t="shared" si="46"/>
        <v>105000</v>
      </c>
      <c r="K2651" t="e">
        <f>VLOOKUP(B2651,'REGISTRO ABONOS'!$B$8:$BC$10041,54,0)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hidden="1" x14ac:dyDescent="0.2">
      <c r="B2652" s="31">
        <v>2643</v>
      </c>
      <c r="J2652">
        <f t="shared" si="46"/>
        <v>105000</v>
      </c>
      <c r="K2652" t="e">
        <f>VLOOKUP(B2652,'REGISTRO ABONOS'!$B$8:$BC$10041,54,0)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hidden="1" x14ac:dyDescent="0.2">
      <c r="B2653" s="31">
        <v>2644</v>
      </c>
      <c r="J2653">
        <f t="shared" si="46"/>
        <v>105000</v>
      </c>
      <c r="K2653" t="e">
        <f>VLOOKUP(B2653,'REGISTRO ABONOS'!$B$8:$BC$10041,54,0)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hidden="1" x14ac:dyDescent="0.2">
      <c r="B2654" s="31">
        <v>2645</v>
      </c>
      <c r="J2654">
        <f t="shared" si="46"/>
        <v>105000</v>
      </c>
      <c r="K2654" t="e">
        <f>VLOOKUP(B2654,'REGISTRO ABONOS'!$B$8:$BC$10041,54,0)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hidden="1" x14ac:dyDescent="0.2">
      <c r="B2655" s="31">
        <v>2646</v>
      </c>
      <c r="J2655">
        <f t="shared" si="46"/>
        <v>105000</v>
      </c>
      <c r="K2655" t="e">
        <f>VLOOKUP(B2655,'REGISTRO ABONOS'!$B$8:$BC$10041,54,0)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hidden="1" x14ac:dyDescent="0.2">
      <c r="B2656" s="31">
        <v>2647</v>
      </c>
      <c r="J2656">
        <f t="shared" si="46"/>
        <v>105000</v>
      </c>
      <c r="K2656" t="e">
        <f>VLOOKUP(B2656,'REGISTRO ABONOS'!$B$8:$BC$10041,54,0)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hidden="1" x14ac:dyDescent="0.2">
      <c r="B2657" s="31">
        <v>2648</v>
      </c>
      <c r="J2657">
        <f t="shared" si="46"/>
        <v>105000</v>
      </c>
      <c r="K2657" t="e">
        <f>VLOOKUP(B2657,'REGISTRO ABONOS'!$B$8:$BC$10041,54,0)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hidden="1" x14ac:dyDescent="0.2">
      <c r="B2658" s="31">
        <v>2649</v>
      </c>
      <c r="J2658">
        <f t="shared" si="46"/>
        <v>105000</v>
      </c>
      <c r="K2658" t="e">
        <f>VLOOKUP(B2658,'REGISTRO ABONOS'!$B$8:$BC$10041,54,0)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hidden="1" x14ac:dyDescent="0.2">
      <c r="B2659" s="31">
        <v>2650</v>
      </c>
      <c r="J2659">
        <f t="shared" si="46"/>
        <v>105000</v>
      </c>
      <c r="K2659" t="e">
        <f>VLOOKUP(B2659,'REGISTRO ABONOS'!$B$8:$BC$10041,54,0)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hidden="1" x14ac:dyDescent="0.2">
      <c r="B2660" s="31">
        <v>2651</v>
      </c>
      <c r="J2660">
        <f t="shared" si="46"/>
        <v>105000</v>
      </c>
      <c r="K2660" t="e">
        <f>VLOOKUP(B2660,'REGISTRO ABONOS'!$B$8:$BC$10041,54,0)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hidden="1" x14ac:dyDescent="0.2">
      <c r="B2661" s="31">
        <v>2652</v>
      </c>
      <c r="J2661">
        <f t="shared" si="46"/>
        <v>105000</v>
      </c>
      <c r="K2661" t="e">
        <f>VLOOKUP(B2661,'REGISTRO ABONOS'!$B$8:$BC$10041,54,0)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hidden="1" x14ac:dyDescent="0.2">
      <c r="B2662" s="31">
        <v>2653</v>
      </c>
      <c r="J2662">
        <f t="shared" si="46"/>
        <v>105000</v>
      </c>
      <c r="K2662" t="e">
        <f>VLOOKUP(B2662,'REGISTRO ABONOS'!$B$8:$BC$10041,54,0)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hidden="1" x14ac:dyDescent="0.2">
      <c r="B2663" s="31">
        <v>2654</v>
      </c>
      <c r="J2663">
        <f t="shared" si="46"/>
        <v>105000</v>
      </c>
      <c r="K2663" t="e">
        <f>VLOOKUP(B2663,'REGISTRO ABONOS'!$B$8:$BC$10041,54,0)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hidden="1" x14ac:dyDescent="0.2">
      <c r="B2664" s="31">
        <v>2655</v>
      </c>
      <c r="J2664">
        <f t="shared" si="46"/>
        <v>105000</v>
      </c>
      <c r="K2664" t="e">
        <f>VLOOKUP(B2664,'REGISTRO ABONOS'!$B$8:$BC$10041,54,0)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hidden="1" x14ac:dyDescent="0.2">
      <c r="B2665" s="31">
        <v>2656</v>
      </c>
      <c r="J2665">
        <f t="shared" si="46"/>
        <v>105000</v>
      </c>
      <c r="K2665" t="e">
        <f>VLOOKUP(B2665,'REGISTRO ABONOS'!$B$8:$BC$10041,54,0)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hidden="1" x14ac:dyDescent="0.2">
      <c r="B2666" s="31">
        <v>2657</v>
      </c>
      <c r="J2666">
        <f t="shared" si="46"/>
        <v>105000</v>
      </c>
      <c r="K2666" t="e">
        <f>VLOOKUP(B2666,'REGISTRO ABONOS'!$B$8:$BC$10041,54,0)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hidden="1" x14ac:dyDescent="0.2">
      <c r="B2667" s="31">
        <v>2658</v>
      </c>
      <c r="J2667">
        <f t="shared" si="46"/>
        <v>105000</v>
      </c>
      <c r="K2667" t="e">
        <f>VLOOKUP(B2667,'REGISTRO ABONOS'!$B$8:$BC$10041,54,0)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hidden="1" x14ac:dyDescent="0.2">
      <c r="B2668" s="31">
        <v>2659</v>
      </c>
      <c r="J2668">
        <f t="shared" si="46"/>
        <v>105000</v>
      </c>
      <c r="K2668" t="e">
        <f>VLOOKUP(B2668,'REGISTRO ABONOS'!$B$8:$BC$10041,54,0)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hidden="1" x14ac:dyDescent="0.2">
      <c r="B2669" s="31">
        <v>2660</v>
      </c>
      <c r="J2669">
        <f t="shared" si="46"/>
        <v>105000</v>
      </c>
      <c r="K2669" t="e">
        <f>VLOOKUP(B2669,'REGISTRO ABONOS'!$B$8:$BC$10041,54,0)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hidden="1" x14ac:dyDescent="0.2">
      <c r="B2670" s="31">
        <v>2661</v>
      </c>
      <c r="J2670">
        <f t="shared" si="46"/>
        <v>105000</v>
      </c>
      <c r="K2670" t="e">
        <f>VLOOKUP(B2670,'REGISTRO ABONOS'!$B$8:$BC$10041,54,0)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hidden="1" x14ac:dyDescent="0.2">
      <c r="B2671" s="31">
        <v>2662</v>
      </c>
      <c r="J2671">
        <f t="shared" si="46"/>
        <v>105000</v>
      </c>
      <c r="K2671" t="e">
        <f>VLOOKUP(B2671,'REGISTRO ABONOS'!$B$8:$BC$10041,54,0)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hidden="1" x14ac:dyDescent="0.2">
      <c r="B2672" s="31">
        <v>2663</v>
      </c>
      <c r="J2672">
        <f t="shared" si="46"/>
        <v>105000</v>
      </c>
      <c r="K2672" t="e">
        <f>VLOOKUP(B2672,'REGISTRO ABONOS'!$B$8:$BC$10041,54,0)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hidden="1" x14ac:dyDescent="0.2">
      <c r="B2673" s="31">
        <v>2664</v>
      </c>
      <c r="J2673">
        <f t="shared" si="46"/>
        <v>105000</v>
      </c>
      <c r="K2673" t="e">
        <f>VLOOKUP(B2673,'REGISTRO ABONOS'!$B$8:$BC$10041,54,0)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hidden="1" x14ac:dyDescent="0.2">
      <c r="B2674" s="31">
        <v>2665</v>
      </c>
      <c r="J2674">
        <f t="shared" si="46"/>
        <v>105000</v>
      </c>
      <c r="K2674" t="e">
        <f>VLOOKUP(B2674,'REGISTRO ABONOS'!$B$8:$BC$10041,54,0)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hidden="1" x14ac:dyDescent="0.2">
      <c r="B2675" s="31">
        <v>2666</v>
      </c>
      <c r="J2675">
        <f t="shared" si="46"/>
        <v>105000</v>
      </c>
      <c r="K2675" t="e">
        <f>VLOOKUP(B2675,'REGISTRO ABONOS'!$B$8:$BC$10041,54,0)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hidden="1" x14ac:dyDescent="0.2">
      <c r="B2676" s="31">
        <v>2667</v>
      </c>
      <c r="J2676">
        <f t="shared" si="46"/>
        <v>105000</v>
      </c>
      <c r="K2676" t="e">
        <f>VLOOKUP(B2676,'REGISTRO ABONOS'!$B$8:$BC$10041,54,0)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hidden="1" x14ac:dyDescent="0.2">
      <c r="B2677" s="31">
        <v>2668</v>
      </c>
      <c r="J2677">
        <f t="shared" si="46"/>
        <v>105000</v>
      </c>
      <c r="K2677" t="e">
        <f>VLOOKUP(B2677,'REGISTRO ABONOS'!$B$8:$BC$10041,54,0)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hidden="1" x14ac:dyDescent="0.2">
      <c r="B2678" s="31">
        <v>2669</v>
      </c>
      <c r="J2678">
        <f t="shared" si="46"/>
        <v>105000</v>
      </c>
      <c r="K2678" t="e">
        <f>VLOOKUP(B2678,'REGISTRO ABONOS'!$B$8:$BC$10041,54,0)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hidden="1" x14ac:dyDescent="0.2">
      <c r="B2679" s="31">
        <v>2670</v>
      </c>
      <c r="J2679">
        <f t="shared" si="46"/>
        <v>105000</v>
      </c>
      <c r="K2679" t="e">
        <f>VLOOKUP(B2679,'REGISTRO ABONOS'!$B$8:$BC$10041,54,0)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hidden="1" x14ac:dyDescent="0.2">
      <c r="B2680" s="31">
        <v>2671</v>
      </c>
      <c r="J2680">
        <f t="shared" si="46"/>
        <v>105000</v>
      </c>
      <c r="K2680" t="e">
        <f>VLOOKUP(B2680,'REGISTRO ABONOS'!$B$8:$BC$10041,54,0)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hidden="1" x14ac:dyDescent="0.2">
      <c r="B2681" s="31">
        <v>2672</v>
      </c>
      <c r="J2681">
        <f t="shared" si="46"/>
        <v>105000</v>
      </c>
      <c r="K2681" t="e">
        <f>VLOOKUP(B2681,'REGISTRO ABONOS'!$B$8:$BC$10041,54,0)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hidden="1" x14ac:dyDescent="0.2">
      <c r="B2682" s="31">
        <v>2673</v>
      </c>
      <c r="J2682">
        <f t="shared" si="46"/>
        <v>105000</v>
      </c>
      <c r="K2682" t="e">
        <f>VLOOKUP(B2682,'REGISTRO ABONOS'!$B$8:$BC$10041,54,0)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hidden="1" x14ac:dyDescent="0.2">
      <c r="B2683" s="31">
        <v>2674</v>
      </c>
      <c r="J2683">
        <f t="shared" si="46"/>
        <v>105000</v>
      </c>
      <c r="K2683" t="e">
        <f>VLOOKUP(B2683,'REGISTRO ABONOS'!$B$8:$BC$10041,54,0)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hidden="1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ABONOS'!$B$8:$BC$10041,54,0)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hidden="1" x14ac:dyDescent="0.2">
      <c r="B2685" s="31">
        <v>2676</v>
      </c>
      <c r="J2685">
        <f t="shared" si="47"/>
        <v>105000</v>
      </c>
      <c r="K2685" t="e">
        <f>VLOOKUP(B2685,'REGISTRO ABONOS'!$B$8:$BC$10041,54,0)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hidden="1" x14ac:dyDescent="0.2">
      <c r="B2686" s="31">
        <v>2677</v>
      </c>
      <c r="J2686">
        <f t="shared" si="47"/>
        <v>105000</v>
      </c>
      <c r="K2686" t="e">
        <f>VLOOKUP(B2686,'REGISTRO ABONOS'!$B$8:$BC$10041,54,0)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hidden="1" x14ac:dyDescent="0.2">
      <c r="B2687" s="31">
        <v>2678</v>
      </c>
      <c r="J2687">
        <f t="shared" si="47"/>
        <v>105000</v>
      </c>
      <c r="K2687" t="e">
        <f>VLOOKUP(B2687,'REGISTRO ABONOS'!$B$8:$BC$10041,54,0)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hidden="1" x14ac:dyDescent="0.2">
      <c r="B2688" s="31">
        <v>2679</v>
      </c>
      <c r="J2688">
        <f t="shared" si="47"/>
        <v>105000</v>
      </c>
      <c r="K2688" t="e">
        <f>VLOOKUP(B2688,'REGISTRO ABONOS'!$B$8:$BC$10041,54,0)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hidden="1" x14ac:dyDescent="0.2">
      <c r="B2689" s="31">
        <v>2680</v>
      </c>
      <c r="J2689">
        <f t="shared" si="47"/>
        <v>105000</v>
      </c>
      <c r="K2689" t="e">
        <f>VLOOKUP(B2689,'REGISTRO ABONOS'!$B$8:$BC$10041,54,0)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hidden="1" x14ac:dyDescent="0.2">
      <c r="B2690" s="31">
        <v>2681</v>
      </c>
      <c r="J2690">
        <f t="shared" si="47"/>
        <v>105000</v>
      </c>
      <c r="K2690" t="e">
        <f>VLOOKUP(B2690,'REGISTRO ABONOS'!$B$8:$BC$10041,54,0)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hidden="1" x14ac:dyDescent="0.2">
      <c r="B2691" s="31">
        <v>2682</v>
      </c>
      <c r="J2691">
        <f t="shared" si="47"/>
        <v>105000</v>
      </c>
      <c r="K2691" t="e">
        <f>VLOOKUP(B2691,'REGISTRO ABONOS'!$B$8:$BC$10041,54,0)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hidden="1" x14ac:dyDescent="0.2">
      <c r="B2692" s="31">
        <v>2683</v>
      </c>
      <c r="J2692">
        <f t="shared" si="47"/>
        <v>105000</v>
      </c>
      <c r="K2692" t="e">
        <f>VLOOKUP(B2692,'REGISTRO ABONOS'!$B$8:$BC$10041,54,0)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hidden="1" x14ac:dyDescent="0.2">
      <c r="B2693" s="31">
        <v>2684</v>
      </c>
      <c r="J2693">
        <f t="shared" si="47"/>
        <v>105000</v>
      </c>
      <c r="K2693" t="e">
        <f>VLOOKUP(B2693,'REGISTRO ABONOS'!$B$8:$BC$10041,54,0)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hidden="1" x14ac:dyDescent="0.2">
      <c r="B2694" s="31">
        <v>2685</v>
      </c>
      <c r="J2694">
        <f t="shared" si="47"/>
        <v>105000</v>
      </c>
      <c r="K2694" t="e">
        <f>VLOOKUP(B2694,'REGISTRO ABONOS'!$B$8:$BC$10041,54,0)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hidden="1" x14ac:dyDescent="0.2">
      <c r="B2695" s="31">
        <v>2686</v>
      </c>
      <c r="J2695">
        <f t="shared" si="47"/>
        <v>105000</v>
      </c>
      <c r="K2695" t="e">
        <f>VLOOKUP(B2695,'REGISTRO ABONOS'!$B$8:$BC$10041,54,0)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hidden="1" x14ac:dyDescent="0.2">
      <c r="B2696" s="31">
        <v>2687</v>
      </c>
      <c r="J2696">
        <f t="shared" si="47"/>
        <v>105000</v>
      </c>
      <c r="K2696" t="e">
        <f>VLOOKUP(B2696,'REGISTRO ABONOS'!$B$8:$BC$10041,54,0)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hidden="1" x14ac:dyDescent="0.2">
      <c r="B2697" s="31">
        <v>2688</v>
      </c>
      <c r="J2697">
        <f t="shared" si="47"/>
        <v>105000</v>
      </c>
      <c r="K2697" t="e">
        <f>VLOOKUP(B2697,'REGISTRO ABONOS'!$B$8:$BC$10041,54,0)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hidden="1" x14ac:dyDescent="0.2">
      <c r="B2698" s="31">
        <v>2689</v>
      </c>
      <c r="J2698">
        <f t="shared" si="47"/>
        <v>105000</v>
      </c>
      <c r="K2698" t="e">
        <f>VLOOKUP(B2698,'REGISTRO ABONOS'!$B$8:$BC$10041,54,0)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hidden="1" x14ac:dyDescent="0.2">
      <c r="B2699" s="31">
        <v>2690</v>
      </c>
      <c r="J2699">
        <f t="shared" si="47"/>
        <v>105000</v>
      </c>
      <c r="K2699" t="e">
        <f>VLOOKUP(B2699,'REGISTRO ABONOS'!$B$8:$BC$10041,54,0)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hidden="1" x14ac:dyDescent="0.2">
      <c r="B2700" s="31">
        <v>2691</v>
      </c>
      <c r="J2700">
        <f t="shared" si="47"/>
        <v>105000</v>
      </c>
      <c r="K2700" t="e">
        <f>VLOOKUP(B2700,'REGISTRO ABONOS'!$B$8:$BC$10041,54,0)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hidden="1" x14ac:dyDescent="0.2">
      <c r="B2701" s="31">
        <v>2692</v>
      </c>
      <c r="J2701">
        <f t="shared" si="47"/>
        <v>105000</v>
      </c>
      <c r="K2701" t="e">
        <f>VLOOKUP(B2701,'REGISTRO ABONOS'!$B$8:$BC$10041,54,0)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hidden="1" x14ac:dyDescent="0.2">
      <c r="B2702" s="31">
        <v>2693</v>
      </c>
      <c r="J2702">
        <f t="shared" si="47"/>
        <v>105000</v>
      </c>
      <c r="K2702" t="e">
        <f>VLOOKUP(B2702,'REGISTRO ABONOS'!$B$8:$BC$10041,54,0)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hidden="1" x14ac:dyDescent="0.2">
      <c r="B2703" s="31">
        <v>2694</v>
      </c>
      <c r="J2703">
        <f t="shared" si="47"/>
        <v>105000</v>
      </c>
      <c r="K2703" t="e">
        <f>VLOOKUP(B2703,'REGISTRO ABONOS'!$B$8:$BC$10041,54,0)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hidden="1" x14ac:dyDescent="0.2">
      <c r="B2704" s="31">
        <v>2695</v>
      </c>
      <c r="J2704">
        <f t="shared" si="47"/>
        <v>105000</v>
      </c>
      <c r="K2704" t="e">
        <f>VLOOKUP(B2704,'REGISTRO ABONOS'!$B$8:$BC$10041,54,0)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hidden="1" x14ac:dyDescent="0.2">
      <c r="B2705" s="31">
        <v>2696</v>
      </c>
      <c r="J2705">
        <f t="shared" si="47"/>
        <v>105000</v>
      </c>
      <c r="K2705" t="e">
        <f>VLOOKUP(B2705,'REGISTRO ABONOS'!$B$8:$BC$10041,54,0)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hidden="1" x14ac:dyDescent="0.2">
      <c r="B2706" s="31">
        <v>2697</v>
      </c>
      <c r="J2706">
        <f t="shared" si="47"/>
        <v>105000</v>
      </c>
      <c r="K2706" t="e">
        <f>VLOOKUP(B2706,'REGISTRO ABONOS'!$B$8:$BC$10041,54,0)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hidden="1" x14ac:dyDescent="0.2">
      <c r="B2707" s="31">
        <v>2698</v>
      </c>
      <c r="J2707">
        <f t="shared" si="47"/>
        <v>105000</v>
      </c>
      <c r="K2707" t="e">
        <f>VLOOKUP(B2707,'REGISTRO ABONOS'!$B$8:$BC$10041,54,0)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hidden="1" x14ac:dyDescent="0.2">
      <c r="B2708" s="31">
        <v>2699</v>
      </c>
      <c r="J2708">
        <f t="shared" si="47"/>
        <v>105000</v>
      </c>
      <c r="K2708" t="e">
        <f>VLOOKUP(B2708,'REGISTRO ABONOS'!$B$8:$BC$10041,54,0)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hidden="1" x14ac:dyDescent="0.2">
      <c r="B2709" s="31">
        <v>2700</v>
      </c>
      <c r="J2709">
        <f t="shared" si="47"/>
        <v>105000</v>
      </c>
      <c r="K2709" t="e">
        <f>VLOOKUP(B2709,'REGISTRO ABONOS'!$B$8:$BC$10041,54,0)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hidden="1" x14ac:dyDescent="0.2">
      <c r="B2710" s="31">
        <v>2701</v>
      </c>
      <c r="J2710">
        <f t="shared" si="47"/>
        <v>105000</v>
      </c>
      <c r="K2710" t="e">
        <f>VLOOKUP(B2710,'REGISTRO ABONOS'!$B$8:$BC$10041,54,0)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hidden="1" x14ac:dyDescent="0.2">
      <c r="B2711" s="31">
        <v>2702</v>
      </c>
      <c r="J2711">
        <f t="shared" si="47"/>
        <v>105000</v>
      </c>
      <c r="K2711" t="e">
        <f>VLOOKUP(B2711,'REGISTRO ABONOS'!$B$8:$BC$10041,54,0)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hidden="1" x14ac:dyDescent="0.2">
      <c r="B2712" s="31">
        <v>2703</v>
      </c>
      <c r="J2712">
        <f t="shared" si="47"/>
        <v>105000</v>
      </c>
      <c r="K2712" t="e">
        <f>VLOOKUP(B2712,'REGISTRO ABONOS'!$B$8:$BC$10041,54,0)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hidden="1" x14ac:dyDescent="0.2">
      <c r="B2713" s="31">
        <v>2704</v>
      </c>
      <c r="J2713">
        <f t="shared" si="47"/>
        <v>105000</v>
      </c>
      <c r="K2713" t="e">
        <f>VLOOKUP(B2713,'REGISTRO ABONOS'!$B$8:$BC$10041,54,0)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hidden="1" x14ac:dyDescent="0.2">
      <c r="B2714" s="31">
        <v>2705</v>
      </c>
      <c r="J2714">
        <f t="shared" si="47"/>
        <v>105000</v>
      </c>
      <c r="K2714" t="e">
        <f>VLOOKUP(B2714,'REGISTRO ABONOS'!$B$8:$BC$10041,54,0)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hidden="1" x14ac:dyDescent="0.2">
      <c r="B2715" s="31">
        <v>2706</v>
      </c>
      <c r="J2715">
        <f t="shared" si="47"/>
        <v>105000</v>
      </c>
      <c r="K2715" t="e">
        <f>VLOOKUP(B2715,'REGISTRO ABONOS'!$B$8:$BC$10041,54,0)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7"/>
        <v>105000</v>
      </c>
      <c r="K2716">
        <f>VLOOKUP(B2716,'REGISTRO ABONOS'!$B$8:$BC$10041,54,0)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7"/>
        <v>105000</v>
      </c>
      <c r="K2717" t="e">
        <f>VLOOKUP(B2717,'REGISTRO ABONOS'!$B$8:$BC$10041,54,0)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hidden="1" x14ac:dyDescent="0.2">
      <c r="B2718" s="31">
        <v>2709</v>
      </c>
      <c r="J2718">
        <f t="shared" si="47"/>
        <v>105000</v>
      </c>
      <c r="K2718" t="e">
        <f>VLOOKUP(B2718,'REGISTRO ABONOS'!$B$8:$BC$10041,54,0)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hidden="1" x14ac:dyDescent="0.2">
      <c r="B2719" s="31">
        <v>2710</v>
      </c>
      <c r="J2719">
        <f t="shared" si="47"/>
        <v>105000</v>
      </c>
      <c r="K2719" t="e">
        <f>VLOOKUP(B2719,'REGISTRO ABONOS'!$B$8:$BC$10041,54,0)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hidden="1" x14ac:dyDescent="0.2">
      <c r="B2720" s="31">
        <v>2711</v>
      </c>
      <c r="J2720">
        <f t="shared" si="47"/>
        <v>105000</v>
      </c>
      <c r="K2720" t="e">
        <f>VLOOKUP(B2720,'REGISTRO ABONOS'!$B$8:$BC$10041,54,0)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hidden="1" x14ac:dyDescent="0.2">
      <c r="B2721" s="31">
        <v>2712</v>
      </c>
      <c r="J2721">
        <f t="shared" si="47"/>
        <v>105000</v>
      </c>
      <c r="K2721" t="e">
        <f>VLOOKUP(B2721,'REGISTRO ABONOS'!$B$8:$BC$10041,54,0)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hidden="1" x14ac:dyDescent="0.2">
      <c r="B2722" s="31">
        <v>2713</v>
      </c>
      <c r="J2722">
        <f t="shared" si="47"/>
        <v>105000</v>
      </c>
      <c r="K2722" t="e">
        <f>VLOOKUP(B2722,'REGISTRO ABONOS'!$B$8:$BC$10041,54,0)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hidden="1" x14ac:dyDescent="0.2">
      <c r="B2723" s="31">
        <v>2714</v>
      </c>
      <c r="J2723">
        <f t="shared" si="47"/>
        <v>105000</v>
      </c>
      <c r="K2723" t="e">
        <f>VLOOKUP(B2723,'REGISTRO ABONOS'!$B$8:$BC$10041,54,0)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hidden="1" x14ac:dyDescent="0.2">
      <c r="B2724" s="31">
        <v>2715</v>
      </c>
      <c r="J2724">
        <f t="shared" si="47"/>
        <v>105000</v>
      </c>
      <c r="K2724" t="e">
        <f>VLOOKUP(B2724,'REGISTRO ABONOS'!$B$8:$BC$10041,54,0)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hidden="1" x14ac:dyDescent="0.2">
      <c r="B2725" s="31">
        <v>2716</v>
      </c>
      <c r="J2725">
        <f t="shared" si="47"/>
        <v>105000</v>
      </c>
      <c r="K2725" t="e">
        <f>VLOOKUP(B2725,'REGISTRO ABONOS'!$B$8:$BC$10041,54,0)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hidden="1" x14ac:dyDescent="0.2">
      <c r="B2726" s="31">
        <v>2717</v>
      </c>
      <c r="J2726">
        <f t="shared" si="47"/>
        <v>105000</v>
      </c>
      <c r="K2726" t="e">
        <f>VLOOKUP(B2726,'REGISTRO ABONOS'!$B$8:$BC$10041,54,0)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hidden="1" x14ac:dyDescent="0.2">
      <c r="B2727" s="31">
        <v>2718</v>
      </c>
      <c r="J2727">
        <f t="shared" si="47"/>
        <v>105000</v>
      </c>
      <c r="K2727" t="e">
        <f>VLOOKUP(B2727,'REGISTRO ABONOS'!$B$8:$BC$10041,54,0)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7"/>
        <v>105000</v>
      </c>
      <c r="K2728">
        <f>VLOOKUP(B2728,'REGISTRO ABONOS'!$B$8:$BC$10041,54,0)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hidden="1" x14ac:dyDescent="0.2">
      <c r="B2729" s="31">
        <v>2720</v>
      </c>
      <c r="J2729">
        <f t="shared" si="47"/>
        <v>105000</v>
      </c>
      <c r="K2729" t="e">
        <f>VLOOKUP(B2729,'REGISTRO ABONOS'!$B$8:$BC$10041,54,0)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hidden="1" x14ac:dyDescent="0.2">
      <c r="B2730" s="31">
        <v>2721</v>
      </c>
      <c r="J2730">
        <f t="shared" si="47"/>
        <v>105000</v>
      </c>
      <c r="K2730" t="e">
        <f>VLOOKUP(B2730,'REGISTRO ABONOS'!$B$8:$BC$10041,54,0)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hidden="1" x14ac:dyDescent="0.2">
      <c r="B2731" s="31">
        <v>2722</v>
      </c>
      <c r="J2731">
        <f t="shared" si="47"/>
        <v>105000</v>
      </c>
      <c r="K2731" t="e">
        <f>VLOOKUP(B2731,'REGISTRO ABONOS'!$B$8:$BC$10041,54,0)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hidden="1" x14ac:dyDescent="0.2">
      <c r="B2732" s="31">
        <v>2723</v>
      </c>
      <c r="J2732">
        <f t="shared" si="47"/>
        <v>105000</v>
      </c>
      <c r="K2732" t="e">
        <f>VLOOKUP(B2732,'REGISTRO ABONOS'!$B$8:$BC$10041,54,0)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hidden="1" x14ac:dyDescent="0.2">
      <c r="B2733" s="31">
        <v>2724</v>
      </c>
      <c r="J2733">
        <f t="shared" si="47"/>
        <v>105000</v>
      </c>
      <c r="K2733" t="e">
        <f>VLOOKUP(B2733,'REGISTRO ABONOS'!$B$8:$BC$10041,54,0)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hidden="1" x14ac:dyDescent="0.2">
      <c r="B2734" s="31">
        <v>2725</v>
      </c>
      <c r="J2734">
        <f t="shared" si="47"/>
        <v>105000</v>
      </c>
      <c r="K2734" t="e">
        <f>VLOOKUP(B2734,'REGISTRO ABONOS'!$B$8:$BC$10041,54,0)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hidden="1" x14ac:dyDescent="0.2">
      <c r="B2735" s="31">
        <v>2726</v>
      </c>
      <c r="J2735">
        <f t="shared" si="47"/>
        <v>105000</v>
      </c>
      <c r="K2735" t="e">
        <f>VLOOKUP(B2735,'REGISTRO ABONOS'!$B$8:$BC$10041,54,0)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hidden="1" x14ac:dyDescent="0.2">
      <c r="B2736" s="31">
        <v>2727</v>
      </c>
      <c r="J2736">
        <f t="shared" si="47"/>
        <v>105000</v>
      </c>
      <c r="K2736" t="e">
        <f>VLOOKUP(B2736,'REGISTRO ABONOS'!$B$8:$BC$10041,54,0)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hidden="1" x14ac:dyDescent="0.2">
      <c r="B2737" s="31">
        <v>2728</v>
      </c>
      <c r="J2737">
        <f t="shared" si="47"/>
        <v>105000</v>
      </c>
      <c r="K2737" t="e">
        <f>VLOOKUP(B2737,'REGISTRO ABONOS'!$B$8:$BC$10041,54,0)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hidden="1" x14ac:dyDescent="0.2">
      <c r="B2738" s="31">
        <v>2729</v>
      </c>
      <c r="J2738">
        <f t="shared" si="47"/>
        <v>105000</v>
      </c>
      <c r="K2738" t="e">
        <f>VLOOKUP(B2738,'REGISTRO ABONOS'!$B$8:$BC$10041,54,0)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hidden="1" x14ac:dyDescent="0.2">
      <c r="B2739" s="31">
        <v>2730</v>
      </c>
      <c r="J2739">
        <f t="shared" si="47"/>
        <v>105000</v>
      </c>
      <c r="K2739" t="e">
        <f>VLOOKUP(B2739,'REGISTRO ABONOS'!$B$8:$BC$10041,54,0)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hidden="1" x14ac:dyDescent="0.2">
      <c r="B2740" s="31">
        <v>2731</v>
      </c>
      <c r="J2740">
        <f t="shared" si="47"/>
        <v>105000</v>
      </c>
      <c r="K2740" t="e">
        <f>VLOOKUP(B2740,'REGISTRO ABONOS'!$B$8:$BC$10041,54,0)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hidden="1" x14ac:dyDescent="0.2">
      <c r="B2741" s="31">
        <v>2732</v>
      </c>
      <c r="J2741">
        <f t="shared" si="47"/>
        <v>105000</v>
      </c>
      <c r="K2741" t="e">
        <f>VLOOKUP(B2741,'REGISTRO ABONOS'!$B$8:$BC$10041,54,0)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hidden="1" x14ac:dyDescent="0.2">
      <c r="B2742" s="31">
        <v>2733</v>
      </c>
      <c r="J2742">
        <f t="shared" si="47"/>
        <v>105000</v>
      </c>
      <c r="K2742" t="e">
        <f>VLOOKUP(B2742,'REGISTRO ABONOS'!$B$8:$BC$10041,54,0)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hidden="1" x14ac:dyDescent="0.2">
      <c r="B2743" s="31">
        <v>2734</v>
      </c>
      <c r="J2743">
        <f t="shared" si="47"/>
        <v>105000</v>
      </c>
      <c r="K2743" t="e">
        <f>VLOOKUP(B2743,'REGISTRO ABONOS'!$B$8:$BC$10041,54,0)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hidden="1" x14ac:dyDescent="0.2">
      <c r="B2744" s="31">
        <v>2735</v>
      </c>
      <c r="J2744">
        <f t="shared" si="47"/>
        <v>105000</v>
      </c>
      <c r="K2744" t="e">
        <f>VLOOKUP(B2744,'REGISTRO ABONOS'!$B$8:$BC$10041,54,0)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hidden="1" x14ac:dyDescent="0.2">
      <c r="B2745" s="31">
        <v>2736</v>
      </c>
      <c r="J2745">
        <f t="shared" si="47"/>
        <v>105000</v>
      </c>
      <c r="K2745" t="e">
        <f>VLOOKUP(B2745,'REGISTRO ABONOS'!$B$8:$BC$10041,54,0)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hidden="1" x14ac:dyDescent="0.2">
      <c r="B2746" s="31">
        <v>2737</v>
      </c>
      <c r="J2746">
        <f t="shared" si="47"/>
        <v>105000</v>
      </c>
      <c r="K2746" t="e">
        <f>VLOOKUP(B2746,'REGISTRO ABONOS'!$B$8:$BC$10041,54,0)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hidden="1" x14ac:dyDescent="0.2">
      <c r="B2747" s="31">
        <v>2738</v>
      </c>
      <c r="J2747">
        <f t="shared" si="47"/>
        <v>105000</v>
      </c>
      <c r="K2747" t="e">
        <f>VLOOKUP(B2747,'REGISTRO ABONOS'!$B$8:$BC$10041,54,0)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hidden="1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ABONOS'!$B$8:$BC$10041,54,0)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hidden="1" x14ac:dyDescent="0.2">
      <c r="B2749" s="31">
        <v>2740</v>
      </c>
      <c r="J2749">
        <f t="shared" si="48"/>
        <v>105000</v>
      </c>
      <c r="K2749" t="e">
        <f>VLOOKUP(B2749,'REGISTRO ABONOS'!$B$8:$BC$10041,54,0)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hidden="1" x14ac:dyDescent="0.2">
      <c r="B2750" s="31">
        <v>2741</v>
      </c>
      <c r="J2750">
        <f t="shared" si="48"/>
        <v>105000</v>
      </c>
      <c r="K2750" t="e">
        <f>VLOOKUP(B2750,'REGISTRO ABONOS'!$B$8:$BC$10041,54,0)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hidden="1" x14ac:dyDescent="0.2">
      <c r="B2751" s="31">
        <v>2742</v>
      </c>
      <c r="J2751">
        <f t="shared" si="48"/>
        <v>105000</v>
      </c>
      <c r="K2751" t="e">
        <f>VLOOKUP(B2751,'REGISTRO ABONOS'!$B$8:$BC$10041,54,0)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hidden="1" x14ac:dyDescent="0.2">
      <c r="B2752" s="31">
        <v>2743</v>
      </c>
      <c r="J2752">
        <f t="shared" si="48"/>
        <v>105000</v>
      </c>
      <c r="K2752" t="e">
        <f>VLOOKUP(B2752,'REGISTRO ABONOS'!$B$8:$BC$10041,54,0)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hidden="1" x14ac:dyDescent="0.2">
      <c r="B2753" s="31">
        <v>2744</v>
      </c>
      <c r="J2753">
        <f t="shared" si="48"/>
        <v>105000</v>
      </c>
      <c r="K2753" t="e">
        <f>VLOOKUP(B2753,'REGISTRO ABONOS'!$B$8:$BC$10041,54,0)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hidden="1" x14ac:dyDescent="0.2">
      <c r="B2754" s="31">
        <v>2745</v>
      </c>
      <c r="J2754">
        <f t="shared" si="48"/>
        <v>105000</v>
      </c>
      <c r="K2754" t="e">
        <f>VLOOKUP(B2754,'REGISTRO ABONOS'!$B$8:$BC$10041,54,0)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hidden="1" x14ac:dyDescent="0.2">
      <c r="B2755" s="31">
        <v>2746</v>
      </c>
      <c r="J2755">
        <f t="shared" si="48"/>
        <v>105000</v>
      </c>
      <c r="K2755" t="e">
        <f>VLOOKUP(B2755,'REGISTRO ABONOS'!$B$8:$BC$10041,54,0)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hidden="1" x14ac:dyDescent="0.2">
      <c r="B2756" s="31">
        <v>2747</v>
      </c>
      <c r="J2756">
        <f t="shared" si="48"/>
        <v>105000</v>
      </c>
      <c r="K2756" t="e">
        <f>VLOOKUP(B2756,'REGISTRO ABONOS'!$B$8:$BC$10041,54,0)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hidden="1" x14ac:dyDescent="0.2">
      <c r="B2757" s="31">
        <v>2748</v>
      </c>
      <c r="J2757">
        <f t="shared" si="48"/>
        <v>105000</v>
      </c>
      <c r="K2757" t="e">
        <f>VLOOKUP(B2757,'REGISTRO ABONOS'!$B$8:$BC$10041,54,0)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hidden="1" x14ac:dyDescent="0.2">
      <c r="B2758" s="31">
        <v>2749</v>
      </c>
      <c r="J2758">
        <f t="shared" si="48"/>
        <v>105000</v>
      </c>
      <c r="K2758" t="e">
        <f>VLOOKUP(B2758,'REGISTRO ABONOS'!$B$8:$BC$10041,54,0)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hidden="1" x14ac:dyDescent="0.2">
      <c r="B2759" s="31">
        <v>2750</v>
      </c>
      <c r="J2759">
        <f t="shared" si="48"/>
        <v>105000</v>
      </c>
      <c r="K2759" t="e">
        <f>VLOOKUP(B2759,'REGISTRO ABONOS'!$B$8:$BC$10041,54,0)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8"/>
        <v>105000</v>
      </c>
      <c r="K2760" t="e">
        <f>VLOOKUP(B2760,'REGISTRO ABONOS'!$B$8:$BC$10041,54,0)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hidden="1" x14ac:dyDescent="0.2">
      <c r="B2761" s="31">
        <v>2752</v>
      </c>
      <c r="J2761">
        <f t="shared" si="48"/>
        <v>105000</v>
      </c>
      <c r="K2761" t="e">
        <f>VLOOKUP(B2761,'REGISTRO ABONOS'!$B$8:$BC$10041,54,0)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hidden="1" x14ac:dyDescent="0.2">
      <c r="B2762" s="31">
        <v>2753</v>
      </c>
      <c r="J2762">
        <f t="shared" si="48"/>
        <v>105000</v>
      </c>
      <c r="K2762" t="e">
        <f>VLOOKUP(B2762,'REGISTRO ABONOS'!$B$8:$BC$10041,54,0)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hidden="1" x14ac:dyDescent="0.2">
      <c r="B2763" s="31">
        <v>2754</v>
      </c>
      <c r="J2763">
        <f t="shared" si="48"/>
        <v>105000</v>
      </c>
      <c r="K2763" t="e">
        <f>VLOOKUP(B2763,'REGISTRO ABONOS'!$B$8:$BC$10041,54,0)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hidden="1" x14ac:dyDescent="0.2">
      <c r="B2764" s="31">
        <v>2755</v>
      </c>
      <c r="J2764">
        <f t="shared" si="48"/>
        <v>105000</v>
      </c>
      <c r="K2764" t="e">
        <f>VLOOKUP(B2764,'REGISTRO ABONOS'!$B$8:$BC$10041,54,0)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hidden="1" x14ac:dyDescent="0.2">
      <c r="B2765" s="31">
        <v>2756</v>
      </c>
      <c r="J2765">
        <f t="shared" si="48"/>
        <v>105000</v>
      </c>
      <c r="K2765" t="e">
        <f>VLOOKUP(B2765,'REGISTRO ABONOS'!$B$8:$BC$10041,54,0)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hidden="1" x14ac:dyDescent="0.2">
      <c r="B2766" s="31">
        <v>2757</v>
      </c>
      <c r="J2766">
        <f t="shared" si="48"/>
        <v>105000</v>
      </c>
      <c r="K2766" t="e">
        <f>VLOOKUP(B2766,'REGISTRO ABONOS'!$B$8:$BC$10041,54,0)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hidden="1" x14ac:dyDescent="0.2">
      <c r="B2767" s="31">
        <v>2758</v>
      </c>
      <c r="J2767">
        <f t="shared" si="48"/>
        <v>105000</v>
      </c>
      <c r="K2767" t="e">
        <f>VLOOKUP(B2767,'REGISTRO ABONOS'!$B$8:$BC$10041,54,0)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hidden="1" x14ac:dyDescent="0.2">
      <c r="B2768" s="31">
        <v>2759</v>
      </c>
      <c r="J2768">
        <f t="shared" si="48"/>
        <v>105000</v>
      </c>
      <c r="K2768" t="e">
        <f>VLOOKUP(B2768,'REGISTRO ABONOS'!$B$8:$BC$10041,54,0)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hidden="1" x14ac:dyDescent="0.2">
      <c r="B2769" s="31">
        <v>2760</v>
      </c>
      <c r="J2769">
        <f t="shared" si="48"/>
        <v>105000</v>
      </c>
      <c r="K2769" t="e">
        <f>VLOOKUP(B2769,'REGISTRO ABONOS'!$B$8:$BC$10041,54,0)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hidden="1" x14ac:dyDescent="0.2">
      <c r="B2770" s="31">
        <v>2761</v>
      </c>
      <c r="J2770">
        <f t="shared" si="48"/>
        <v>105000</v>
      </c>
      <c r="K2770" t="e">
        <f>VLOOKUP(B2770,'REGISTRO ABONOS'!$B$8:$BC$10041,54,0)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hidden="1" x14ac:dyDescent="0.2">
      <c r="B2771" s="31">
        <v>2762</v>
      </c>
      <c r="J2771">
        <f t="shared" si="48"/>
        <v>105000</v>
      </c>
      <c r="K2771" t="e">
        <f>VLOOKUP(B2771,'REGISTRO ABONOS'!$B$8:$BC$10041,54,0)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hidden="1" x14ac:dyDescent="0.2">
      <c r="B2772" s="31">
        <v>2763</v>
      </c>
      <c r="J2772">
        <f t="shared" si="48"/>
        <v>105000</v>
      </c>
      <c r="K2772" t="e">
        <f>VLOOKUP(B2772,'REGISTRO ABONOS'!$B$8:$BC$10041,54,0)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hidden="1" x14ac:dyDescent="0.2">
      <c r="B2773" s="31">
        <v>2764</v>
      </c>
      <c r="J2773">
        <f t="shared" si="48"/>
        <v>105000</v>
      </c>
      <c r="K2773" t="e">
        <f>VLOOKUP(B2773,'REGISTRO ABONOS'!$B$8:$BC$10041,54,0)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hidden="1" x14ac:dyDescent="0.2">
      <c r="B2774" s="31">
        <v>2765</v>
      </c>
      <c r="J2774">
        <f t="shared" si="48"/>
        <v>105000</v>
      </c>
      <c r="K2774" t="e">
        <f>VLOOKUP(B2774,'REGISTRO ABONOS'!$B$8:$BC$10041,54,0)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hidden="1" x14ac:dyDescent="0.2">
      <c r="B2775" s="31">
        <v>2766</v>
      </c>
      <c r="J2775">
        <f t="shared" si="48"/>
        <v>105000</v>
      </c>
      <c r="K2775" t="e">
        <f>VLOOKUP(B2775,'REGISTRO ABONOS'!$B$8:$BC$10041,54,0)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hidden="1" x14ac:dyDescent="0.2">
      <c r="B2776" s="31">
        <v>2767</v>
      </c>
      <c r="J2776">
        <f t="shared" si="48"/>
        <v>105000</v>
      </c>
      <c r="K2776" t="e">
        <f>VLOOKUP(B2776,'REGISTRO ABONOS'!$B$8:$BC$10041,54,0)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hidden="1" x14ac:dyDescent="0.2">
      <c r="B2777" s="31">
        <v>2768</v>
      </c>
      <c r="J2777">
        <f t="shared" si="48"/>
        <v>105000</v>
      </c>
      <c r="K2777" t="e">
        <f>VLOOKUP(B2777,'REGISTRO ABONOS'!$B$8:$BC$10041,54,0)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hidden="1" x14ac:dyDescent="0.2">
      <c r="B2778" s="31">
        <v>2769</v>
      </c>
      <c r="J2778">
        <f t="shared" si="48"/>
        <v>105000</v>
      </c>
      <c r="K2778" t="e">
        <f>VLOOKUP(B2778,'REGISTRO ABONOS'!$B$8:$BC$10041,54,0)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hidden="1" x14ac:dyDescent="0.2">
      <c r="B2779" s="31">
        <v>2770</v>
      </c>
      <c r="J2779">
        <f t="shared" si="48"/>
        <v>105000</v>
      </c>
      <c r="K2779" t="e">
        <f>VLOOKUP(B2779,'REGISTRO ABONOS'!$B$8:$BC$10041,54,0)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hidden="1" x14ac:dyDescent="0.2">
      <c r="B2780" s="31">
        <v>2771</v>
      </c>
      <c r="J2780">
        <f t="shared" si="48"/>
        <v>105000</v>
      </c>
      <c r="K2780" t="e">
        <f>VLOOKUP(B2780,'REGISTRO ABONOS'!$B$8:$BC$10041,54,0)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hidden="1" x14ac:dyDescent="0.2">
      <c r="B2781" s="31">
        <v>2772</v>
      </c>
      <c r="J2781">
        <f t="shared" si="48"/>
        <v>105000</v>
      </c>
      <c r="K2781" t="e">
        <f>VLOOKUP(B2781,'REGISTRO ABONOS'!$B$8:$BC$10041,54,0)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hidden="1" x14ac:dyDescent="0.2">
      <c r="B2782" s="31">
        <v>2773</v>
      </c>
      <c r="J2782">
        <f t="shared" si="48"/>
        <v>105000</v>
      </c>
      <c r="K2782" t="e">
        <f>VLOOKUP(B2782,'REGISTRO ABONOS'!$B$8:$BC$10041,54,0)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hidden="1" x14ac:dyDescent="0.2">
      <c r="B2783" s="31">
        <v>2774</v>
      </c>
      <c r="J2783">
        <f t="shared" si="48"/>
        <v>105000</v>
      </c>
      <c r="K2783" t="e">
        <f>VLOOKUP(B2783,'REGISTRO ABONOS'!$B$8:$BC$10041,54,0)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hidden="1" x14ac:dyDescent="0.2">
      <c r="B2784" s="31">
        <v>2775</v>
      </c>
      <c r="J2784">
        <f t="shared" si="48"/>
        <v>105000</v>
      </c>
      <c r="K2784" t="e">
        <f>VLOOKUP(B2784,'REGISTRO ABONOS'!$B$8:$BC$10041,54,0)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hidden="1" x14ac:dyDescent="0.2">
      <c r="B2785" s="31">
        <v>2776</v>
      </c>
      <c r="J2785">
        <f t="shared" si="48"/>
        <v>105000</v>
      </c>
      <c r="K2785" t="e">
        <f>VLOOKUP(B2785,'REGISTRO ABONOS'!$B$8:$BC$10041,54,0)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hidden="1" x14ac:dyDescent="0.2">
      <c r="B2786" s="31">
        <v>2777</v>
      </c>
      <c r="J2786">
        <f t="shared" si="48"/>
        <v>105000</v>
      </c>
      <c r="K2786" t="e">
        <f>VLOOKUP(B2786,'REGISTRO ABONOS'!$B$8:$BC$10041,54,0)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hidden="1" x14ac:dyDescent="0.2">
      <c r="B2787" s="31">
        <v>2778</v>
      </c>
      <c r="J2787">
        <f t="shared" si="48"/>
        <v>105000</v>
      </c>
      <c r="K2787" t="e">
        <f>VLOOKUP(B2787,'REGISTRO ABONOS'!$B$8:$BC$10041,54,0)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hidden="1" x14ac:dyDescent="0.2">
      <c r="B2788" s="31">
        <v>2779</v>
      </c>
      <c r="J2788">
        <f t="shared" si="48"/>
        <v>105000</v>
      </c>
      <c r="K2788" t="e">
        <f>VLOOKUP(B2788,'REGISTRO ABONOS'!$B$8:$BC$10041,54,0)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hidden="1" x14ac:dyDescent="0.2">
      <c r="B2789" s="31">
        <v>2780</v>
      </c>
      <c r="J2789">
        <f t="shared" si="48"/>
        <v>105000</v>
      </c>
      <c r="K2789" t="e">
        <f>VLOOKUP(B2789,'REGISTRO ABONOS'!$B$8:$BC$10041,54,0)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hidden="1" x14ac:dyDescent="0.2">
      <c r="B2790" s="31">
        <v>2781</v>
      </c>
      <c r="J2790">
        <f t="shared" si="48"/>
        <v>105000</v>
      </c>
      <c r="K2790" t="e">
        <f>VLOOKUP(B2790,'REGISTRO ABONOS'!$B$8:$BC$10041,54,0)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hidden="1" x14ac:dyDescent="0.2">
      <c r="B2791" s="31">
        <v>2782</v>
      </c>
      <c r="J2791">
        <f t="shared" si="48"/>
        <v>105000</v>
      </c>
      <c r="K2791" t="e">
        <f>VLOOKUP(B2791,'REGISTRO ABONOS'!$B$8:$BC$10041,54,0)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hidden="1" x14ac:dyDescent="0.2">
      <c r="B2792" s="31">
        <v>2783</v>
      </c>
      <c r="J2792">
        <f t="shared" si="48"/>
        <v>105000</v>
      </c>
      <c r="K2792" t="e">
        <f>VLOOKUP(B2792,'REGISTRO ABONOS'!$B$8:$BC$10041,54,0)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hidden="1" x14ac:dyDescent="0.2">
      <c r="B2793" s="31">
        <v>2784</v>
      </c>
      <c r="J2793">
        <f t="shared" si="48"/>
        <v>105000</v>
      </c>
      <c r="K2793" t="e">
        <f>VLOOKUP(B2793,'REGISTRO ABONOS'!$B$8:$BC$10041,54,0)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hidden="1" x14ac:dyDescent="0.2">
      <c r="B2794" s="31">
        <v>2785</v>
      </c>
      <c r="J2794">
        <f t="shared" si="48"/>
        <v>105000</v>
      </c>
      <c r="K2794" t="e">
        <f>VLOOKUP(B2794,'REGISTRO ABONOS'!$B$8:$BC$10041,54,0)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hidden="1" x14ac:dyDescent="0.2">
      <c r="B2795" s="31">
        <v>2786</v>
      </c>
      <c r="J2795">
        <f t="shared" si="48"/>
        <v>105000</v>
      </c>
      <c r="K2795" t="e">
        <f>VLOOKUP(B2795,'REGISTRO ABONOS'!$B$8:$BC$10041,54,0)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hidden="1" x14ac:dyDescent="0.2">
      <c r="B2796" s="31">
        <v>2787</v>
      </c>
      <c r="J2796">
        <f t="shared" si="48"/>
        <v>105000</v>
      </c>
      <c r="K2796" t="e">
        <f>VLOOKUP(B2796,'REGISTRO ABONOS'!$B$8:$BC$10041,54,0)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hidden="1" x14ac:dyDescent="0.2">
      <c r="B2797" s="31">
        <v>2788</v>
      </c>
      <c r="J2797">
        <f t="shared" si="48"/>
        <v>105000</v>
      </c>
      <c r="K2797" t="e">
        <f>VLOOKUP(B2797,'REGISTRO ABONOS'!$B$8:$BC$10041,54,0)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hidden="1" x14ac:dyDescent="0.2">
      <c r="B2798" s="31">
        <v>2789</v>
      </c>
      <c r="J2798">
        <f t="shared" si="48"/>
        <v>105000</v>
      </c>
      <c r="K2798" t="e">
        <f>VLOOKUP(B2798,'REGISTRO ABONOS'!$B$8:$BC$10041,54,0)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hidden="1" x14ac:dyDescent="0.2">
      <c r="B2799" s="31">
        <v>2790</v>
      </c>
      <c r="J2799">
        <f t="shared" si="48"/>
        <v>105000</v>
      </c>
      <c r="K2799" t="e">
        <f>VLOOKUP(B2799,'REGISTRO ABONOS'!$B$8:$BC$10041,54,0)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hidden="1" x14ac:dyDescent="0.2">
      <c r="B2800" s="31">
        <v>2791</v>
      </c>
      <c r="J2800">
        <f t="shared" si="48"/>
        <v>105000</v>
      </c>
      <c r="K2800" t="e">
        <f>VLOOKUP(B2800,'REGISTRO ABONOS'!$B$8:$BC$10041,54,0)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hidden="1" x14ac:dyDescent="0.2">
      <c r="B2801" s="31">
        <v>2792</v>
      </c>
      <c r="J2801">
        <f t="shared" si="48"/>
        <v>105000</v>
      </c>
      <c r="K2801" t="e">
        <f>VLOOKUP(B2801,'REGISTRO ABONOS'!$B$8:$BC$10041,54,0)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hidden="1" x14ac:dyDescent="0.2">
      <c r="B2802" s="31">
        <v>2793</v>
      </c>
      <c r="J2802">
        <f t="shared" si="48"/>
        <v>105000</v>
      </c>
      <c r="K2802" t="e">
        <f>VLOOKUP(B2802,'REGISTRO ABONOS'!$B$8:$BC$10041,54,0)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hidden="1" x14ac:dyDescent="0.2">
      <c r="B2803" s="31">
        <v>2794</v>
      </c>
      <c r="J2803">
        <f t="shared" si="48"/>
        <v>105000</v>
      </c>
      <c r="K2803" t="e">
        <f>VLOOKUP(B2803,'REGISTRO ABONOS'!$B$8:$BC$10041,54,0)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hidden="1" x14ac:dyDescent="0.2">
      <c r="B2804" s="31">
        <v>2795</v>
      </c>
      <c r="J2804">
        <f t="shared" si="48"/>
        <v>105000</v>
      </c>
      <c r="K2804" t="e">
        <f>VLOOKUP(B2804,'REGISTRO ABONOS'!$B$8:$BC$10041,54,0)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hidden="1" x14ac:dyDescent="0.2">
      <c r="B2805" s="31">
        <v>2796</v>
      </c>
      <c r="J2805">
        <f t="shared" si="48"/>
        <v>105000</v>
      </c>
      <c r="K2805" t="e">
        <f>VLOOKUP(B2805,'REGISTRO ABONOS'!$B$8:$BC$10041,54,0)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hidden="1" x14ac:dyDescent="0.2">
      <c r="B2806" s="31">
        <v>2797</v>
      </c>
      <c r="J2806">
        <f t="shared" si="48"/>
        <v>105000</v>
      </c>
      <c r="K2806" t="e">
        <f>VLOOKUP(B2806,'REGISTRO ABONOS'!$B$8:$BC$10041,54,0)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hidden="1" x14ac:dyDescent="0.2">
      <c r="B2807" s="31">
        <v>2798</v>
      </c>
      <c r="J2807">
        <f t="shared" si="48"/>
        <v>105000</v>
      </c>
      <c r="K2807" t="e">
        <f>VLOOKUP(B2807,'REGISTRO ABONOS'!$B$8:$BC$10041,54,0)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hidden="1" x14ac:dyDescent="0.2">
      <c r="B2808" s="31">
        <v>2799</v>
      </c>
      <c r="J2808">
        <f t="shared" si="48"/>
        <v>105000</v>
      </c>
      <c r="K2808" t="e">
        <f>VLOOKUP(B2808,'REGISTRO ABONOS'!$B$8:$BC$10041,54,0)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8"/>
        <v>105000</v>
      </c>
      <c r="K2809" t="e">
        <f>VLOOKUP(B2809,'REGISTRO ABONOS'!$B$8:$BC$10041,54,0)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hidden="1" x14ac:dyDescent="0.2">
      <c r="B2810" s="31">
        <v>2801</v>
      </c>
      <c r="J2810">
        <f t="shared" si="48"/>
        <v>105000</v>
      </c>
      <c r="K2810" t="e">
        <f>VLOOKUP(B2810,'REGISTRO ABONOS'!$B$8:$BC$10041,54,0)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hidden="1" x14ac:dyDescent="0.2">
      <c r="B2811" s="31">
        <v>2802</v>
      </c>
      <c r="J2811">
        <f t="shared" si="48"/>
        <v>105000</v>
      </c>
      <c r="K2811" t="e">
        <f>VLOOKUP(B2811,'REGISTRO ABONOS'!$B$8:$BC$10041,54,0)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hidden="1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ABONOS'!$B$8:$BC$10041,54,0)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hidden="1" x14ac:dyDescent="0.2">
      <c r="B2813" s="31">
        <v>2804</v>
      </c>
      <c r="J2813">
        <f t="shared" si="49"/>
        <v>105000</v>
      </c>
      <c r="K2813" t="e">
        <f>VLOOKUP(B2813,'REGISTRO ABONOS'!$B$8:$BC$10041,54,0)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hidden="1" x14ac:dyDescent="0.2">
      <c r="B2814" s="31">
        <v>2805</v>
      </c>
      <c r="J2814">
        <f t="shared" si="49"/>
        <v>105000</v>
      </c>
      <c r="K2814" t="e">
        <f>VLOOKUP(B2814,'REGISTRO ABONOS'!$B$8:$BC$10041,54,0)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hidden="1" x14ac:dyDescent="0.2">
      <c r="B2815" s="31">
        <v>2806</v>
      </c>
      <c r="J2815">
        <f t="shared" si="49"/>
        <v>105000</v>
      </c>
      <c r="K2815" t="e">
        <f>VLOOKUP(B2815,'REGISTRO ABONOS'!$B$8:$BC$10041,54,0)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hidden="1" x14ac:dyDescent="0.2">
      <c r="B2816" s="31">
        <v>2807</v>
      </c>
      <c r="J2816">
        <f t="shared" si="49"/>
        <v>105000</v>
      </c>
      <c r="K2816" t="e">
        <f>VLOOKUP(B2816,'REGISTRO ABONOS'!$B$8:$BC$10041,54,0)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hidden="1" x14ac:dyDescent="0.2">
      <c r="B2817" s="31">
        <v>2808</v>
      </c>
      <c r="J2817">
        <f t="shared" si="49"/>
        <v>105000</v>
      </c>
      <c r="K2817" t="e">
        <f>VLOOKUP(B2817,'REGISTRO ABONOS'!$B$8:$BC$10041,54,0)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hidden="1" x14ac:dyDescent="0.2">
      <c r="B2818" s="31">
        <v>2809</v>
      </c>
      <c r="J2818">
        <f t="shared" si="49"/>
        <v>105000</v>
      </c>
      <c r="K2818" t="e">
        <f>VLOOKUP(B2818,'REGISTRO ABONOS'!$B$8:$BC$10041,54,0)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hidden="1" x14ac:dyDescent="0.2">
      <c r="B2819" s="31">
        <v>2810</v>
      </c>
      <c r="J2819">
        <f t="shared" si="49"/>
        <v>105000</v>
      </c>
      <c r="K2819" t="e">
        <f>VLOOKUP(B2819,'REGISTRO ABONOS'!$B$8:$BC$10041,54,0)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hidden="1" x14ac:dyDescent="0.2">
      <c r="B2820" s="31">
        <v>2811</v>
      </c>
      <c r="J2820">
        <f t="shared" si="49"/>
        <v>105000</v>
      </c>
      <c r="K2820" t="e">
        <f>VLOOKUP(B2820,'REGISTRO ABONOS'!$B$8:$BC$10041,54,0)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hidden="1" x14ac:dyDescent="0.2">
      <c r="B2821" s="31">
        <v>2812</v>
      </c>
      <c r="J2821">
        <f t="shared" si="49"/>
        <v>105000</v>
      </c>
      <c r="K2821" t="e">
        <f>VLOOKUP(B2821,'REGISTRO ABONOS'!$B$8:$BC$10041,54,0)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hidden="1" x14ac:dyDescent="0.2">
      <c r="B2822" s="31">
        <v>2813</v>
      </c>
      <c r="J2822">
        <f t="shared" si="49"/>
        <v>105000</v>
      </c>
      <c r="K2822" t="e">
        <f>VLOOKUP(B2822,'REGISTRO ABONOS'!$B$8:$BC$10041,54,0)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hidden="1" x14ac:dyDescent="0.2">
      <c r="B2823" s="31">
        <v>2814</v>
      </c>
      <c r="J2823">
        <f t="shared" si="49"/>
        <v>105000</v>
      </c>
      <c r="K2823" t="e">
        <f>VLOOKUP(B2823,'REGISTRO ABONOS'!$B$8:$BC$10041,54,0)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hidden="1" x14ac:dyDescent="0.2">
      <c r="B2824" s="31">
        <v>2815</v>
      </c>
      <c r="J2824">
        <f t="shared" si="49"/>
        <v>105000</v>
      </c>
      <c r="K2824" t="e">
        <f>VLOOKUP(B2824,'REGISTRO ABONOS'!$B$8:$BC$10041,54,0)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hidden="1" x14ac:dyDescent="0.2">
      <c r="B2825" s="31">
        <v>2816</v>
      </c>
      <c r="J2825">
        <f t="shared" si="49"/>
        <v>105000</v>
      </c>
      <c r="K2825" t="e">
        <f>VLOOKUP(B2825,'REGISTRO ABONOS'!$B$8:$BC$10041,54,0)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hidden="1" x14ac:dyDescent="0.2">
      <c r="B2826" s="31">
        <v>2817</v>
      </c>
      <c r="J2826">
        <f t="shared" si="49"/>
        <v>105000</v>
      </c>
      <c r="K2826" t="e">
        <f>VLOOKUP(B2826,'REGISTRO ABONOS'!$B$8:$BC$10041,54,0)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hidden="1" x14ac:dyDescent="0.2">
      <c r="B2827" s="31">
        <v>2818</v>
      </c>
      <c r="J2827">
        <f t="shared" si="49"/>
        <v>105000</v>
      </c>
      <c r="K2827" t="e">
        <f>VLOOKUP(B2827,'REGISTRO ABONOS'!$B$8:$BC$10041,54,0)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hidden="1" x14ac:dyDescent="0.2">
      <c r="B2828" s="31">
        <v>2819</v>
      </c>
      <c r="J2828">
        <f t="shared" si="49"/>
        <v>105000</v>
      </c>
      <c r="K2828" t="e">
        <f>VLOOKUP(B2828,'REGISTRO ABONOS'!$B$8:$BC$10041,54,0)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hidden="1" x14ac:dyDescent="0.2">
      <c r="B2829" s="31">
        <v>2820</v>
      </c>
      <c r="J2829">
        <f t="shared" si="49"/>
        <v>105000</v>
      </c>
      <c r="K2829" t="e">
        <f>VLOOKUP(B2829,'REGISTRO ABONOS'!$B$8:$BC$10041,54,0)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hidden="1" x14ac:dyDescent="0.2">
      <c r="B2830" s="31">
        <v>2821</v>
      </c>
      <c r="J2830">
        <f t="shared" si="49"/>
        <v>105000</v>
      </c>
      <c r="K2830" t="e">
        <f>VLOOKUP(B2830,'REGISTRO ABONOS'!$B$8:$BC$10041,54,0)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hidden="1" x14ac:dyDescent="0.2">
      <c r="B2831" s="31">
        <v>2822</v>
      </c>
      <c r="J2831">
        <f t="shared" si="49"/>
        <v>105000</v>
      </c>
      <c r="K2831" t="e">
        <f>VLOOKUP(B2831,'REGISTRO ABONOS'!$B$8:$BC$10041,54,0)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hidden="1" x14ac:dyDescent="0.2">
      <c r="B2832" s="31">
        <v>2823</v>
      </c>
      <c r="J2832">
        <f t="shared" si="49"/>
        <v>105000</v>
      </c>
      <c r="K2832" t="e">
        <f>VLOOKUP(B2832,'REGISTRO ABONOS'!$B$8:$BC$10041,54,0)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hidden="1" x14ac:dyDescent="0.2">
      <c r="B2833" s="31">
        <v>2824</v>
      </c>
      <c r="J2833">
        <f t="shared" si="49"/>
        <v>105000</v>
      </c>
      <c r="K2833" t="e">
        <f>VLOOKUP(B2833,'REGISTRO ABONOS'!$B$8:$BC$10041,54,0)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hidden="1" x14ac:dyDescent="0.2">
      <c r="B2834" s="31">
        <v>2825</v>
      </c>
      <c r="J2834">
        <f t="shared" si="49"/>
        <v>105000</v>
      </c>
      <c r="K2834" t="e">
        <f>VLOOKUP(B2834,'REGISTRO ABONOS'!$B$8:$BC$10041,54,0)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hidden="1" x14ac:dyDescent="0.2">
      <c r="B2835" s="31">
        <v>2826</v>
      </c>
      <c r="J2835">
        <f t="shared" si="49"/>
        <v>105000</v>
      </c>
      <c r="K2835" t="e">
        <f>VLOOKUP(B2835,'REGISTRO ABONOS'!$B$8:$BC$10041,54,0)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hidden="1" x14ac:dyDescent="0.2">
      <c r="B2836" s="31">
        <v>2827</v>
      </c>
      <c r="J2836">
        <f t="shared" si="49"/>
        <v>105000</v>
      </c>
      <c r="K2836" t="e">
        <f>VLOOKUP(B2836,'REGISTRO ABONOS'!$B$8:$BC$10041,54,0)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hidden="1" x14ac:dyDescent="0.2">
      <c r="B2837" s="31">
        <v>2828</v>
      </c>
      <c r="J2837">
        <f t="shared" si="49"/>
        <v>105000</v>
      </c>
      <c r="K2837" t="e">
        <f>VLOOKUP(B2837,'REGISTRO ABONOS'!$B$8:$BC$10041,54,0)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hidden="1" x14ac:dyDescent="0.2">
      <c r="B2838" s="31">
        <v>2829</v>
      </c>
      <c r="J2838">
        <f t="shared" si="49"/>
        <v>105000</v>
      </c>
      <c r="K2838" t="e">
        <f>VLOOKUP(B2838,'REGISTRO ABONOS'!$B$8:$BC$10041,54,0)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hidden="1" x14ac:dyDescent="0.2">
      <c r="B2839" s="31">
        <v>2830</v>
      </c>
      <c r="J2839">
        <f t="shared" si="49"/>
        <v>105000</v>
      </c>
      <c r="K2839" t="e">
        <f>VLOOKUP(B2839,'REGISTRO ABONOS'!$B$8:$BC$10041,54,0)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hidden="1" x14ac:dyDescent="0.2">
      <c r="B2840" s="31">
        <v>2831</v>
      </c>
      <c r="J2840">
        <f t="shared" si="49"/>
        <v>105000</v>
      </c>
      <c r="K2840" t="e">
        <f>VLOOKUP(B2840,'REGISTRO ABONOS'!$B$8:$BC$10041,54,0)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hidden="1" x14ac:dyDescent="0.2">
      <c r="B2841" s="31">
        <v>2832</v>
      </c>
      <c r="J2841">
        <f t="shared" si="49"/>
        <v>105000</v>
      </c>
      <c r="K2841" t="e">
        <f>VLOOKUP(B2841,'REGISTRO ABONOS'!$B$8:$BC$10041,54,0)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hidden="1" x14ac:dyDescent="0.2">
      <c r="B2842" s="31">
        <v>2833</v>
      </c>
      <c r="J2842">
        <f t="shared" si="49"/>
        <v>105000</v>
      </c>
      <c r="K2842" t="e">
        <f>VLOOKUP(B2842,'REGISTRO ABONOS'!$B$8:$BC$10041,54,0)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hidden="1" x14ac:dyDescent="0.2">
      <c r="B2843" s="31">
        <v>2834</v>
      </c>
      <c r="J2843">
        <f t="shared" si="49"/>
        <v>105000</v>
      </c>
      <c r="K2843" t="e">
        <f>VLOOKUP(B2843,'REGISTRO ABONOS'!$B$8:$BC$10041,54,0)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hidden="1" x14ac:dyDescent="0.2">
      <c r="B2844" s="31">
        <v>2835</v>
      </c>
      <c r="J2844">
        <f t="shared" si="49"/>
        <v>105000</v>
      </c>
      <c r="K2844" t="e">
        <f>VLOOKUP(B2844,'REGISTRO ABONOS'!$B$8:$BC$10041,54,0)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hidden="1" x14ac:dyDescent="0.2">
      <c r="B2845" s="31">
        <v>2836</v>
      </c>
      <c r="J2845">
        <f t="shared" si="49"/>
        <v>105000</v>
      </c>
      <c r="K2845" t="e">
        <f>VLOOKUP(B2845,'REGISTRO ABONOS'!$B$8:$BC$10041,54,0)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hidden="1" x14ac:dyDescent="0.2">
      <c r="B2846" s="31">
        <v>2837</v>
      </c>
      <c r="J2846">
        <f t="shared" si="49"/>
        <v>105000</v>
      </c>
      <c r="K2846" t="e">
        <f>VLOOKUP(B2846,'REGISTRO ABONOS'!$B$8:$BC$10041,54,0)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hidden="1" x14ac:dyDescent="0.2">
      <c r="B2847" s="31">
        <v>2838</v>
      </c>
      <c r="J2847">
        <f t="shared" si="49"/>
        <v>105000</v>
      </c>
      <c r="K2847" t="e">
        <f>VLOOKUP(B2847,'REGISTRO ABONOS'!$B$8:$BC$10041,54,0)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hidden="1" x14ac:dyDescent="0.2">
      <c r="B2848" s="31">
        <v>2839</v>
      </c>
      <c r="J2848">
        <f t="shared" si="49"/>
        <v>105000</v>
      </c>
      <c r="K2848" t="e">
        <f>VLOOKUP(B2848,'REGISTRO ABONOS'!$B$8:$BC$10041,54,0)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hidden="1" x14ac:dyDescent="0.2">
      <c r="B2849" s="31">
        <v>2840</v>
      </c>
      <c r="J2849">
        <f t="shared" si="49"/>
        <v>105000</v>
      </c>
      <c r="K2849" t="e">
        <f>VLOOKUP(B2849,'REGISTRO ABONOS'!$B$8:$BC$10041,54,0)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hidden="1" x14ac:dyDescent="0.2">
      <c r="B2850" s="31">
        <v>2841</v>
      </c>
      <c r="J2850">
        <f t="shared" si="49"/>
        <v>105000</v>
      </c>
      <c r="K2850" t="e">
        <f>VLOOKUP(B2850,'REGISTRO ABONOS'!$B$8:$BC$10041,54,0)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hidden="1" x14ac:dyDescent="0.2">
      <c r="B2851" s="31">
        <v>2842</v>
      </c>
      <c r="J2851">
        <f t="shared" si="49"/>
        <v>105000</v>
      </c>
      <c r="K2851" t="e">
        <f>VLOOKUP(B2851,'REGISTRO ABONOS'!$B$8:$BC$10041,54,0)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hidden="1" x14ac:dyDescent="0.2">
      <c r="B2852" s="31">
        <v>2843</v>
      </c>
      <c r="J2852">
        <f t="shared" si="49"/>
        <v>105000</v>
      </c>
      <c r="K2852" t="e">
        <f>VLOOKUP(B2852,'REGISTRO ABONOS'!$B$8:$BC$10041,54,0)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hidden="1" x14ac:dyDescent="0.2">
      <c r="B2853" s="31">
        <v>2844</v>
      </c>
      <c r="J2853">
        <f t="shared" si="49"/>
        <v>105000</v>
      </c>
      <c r="K2853" t="e">
        <f>VLOOKUP(B2853,'REGISTRO ABONOS'!$B$8:$BC$10041,54,0)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hidden="1" x14ac:dyDescent="0.2">
      <c r="B2854" s="31">
        <v>2845</v>
      </c>
      <c r="J2854">
        <f t="shared" si="49"/>
        <v>105000</v>
      </c>
      <c r="K2854" t="e">
        <f>VLOOKUP(B2854,'REGISTRO ABONOS'!$B$8:$BC$10041,54,0)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hidden="1" x14ac:dyDescent="0.2">
      <c r="B2855" s="31">
        <v>2846</v>
      </c>
      <c r="J2855">
        <f t="shared" si="49"/>
        <v>105000</v>
      </c>
      <c r="K2855" t="e">
        <f>VLOOKUP(B2855,'REGISTRO ABONOS'!$B$8:$BC$10041,54,0)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hidden="1" x14ac:dyDescent="0.2">
      <c r="B2856" s="31">
        <v>2847</v>
      </c>
      <c r="J2856">
        <f t="shared" si="49"/>
        <v>105000</v>
      </c>
      <c r="K2856" t="e">
        <f>VLOOKUP(B2856,'REGISTRO ABONOS'!$B$8:$BC$10041,54,0)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hidden="1" x14ac:dyDescent="0.2">
      <c r="B2857" s="31">
        <v>2848</v>
      </c>
      <c r="J2857">
        <f t="shared" si="49"/>
        <v>105000</v>
      </c>
      <c r="K2857" t="e">
        <f>VLOOKUP(B2857,'REGISTRO ABONOS'!$B$8:$BC$10041,54,0)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hidden="1" x14ac:dyDescent="0.2">
      <c r="B2858" s="31">
        <v>2849</v>
      </c>
      <c r="J2858">
        <f t="shared" si="49"/>
        <v>105000</v>
      </c>
      <c r="K2858" t="e">
        <f>VLOOKUP(B2858,'REGISTRO ABONOS'!$B$8:$BC$10041,54,0)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hidden="1" x14ac:dyDescent="0.2">
      <c r="B2859" s="31">
        <v>2850</v>
      </c>
      <c r="J2859">
        <f t="shared" si="49"/>
        <v>105000</v>
      </c>
      <c r="K2859" t="e">
        <f>VLOOKUP(B2859,'REGISTRO ABONOS'!$B$8:$BC$10041,54,0)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hidden="1" x14ac:dyDescent="0.2">
      <c r="B2860" s="31">
        <v>2851</v>
      </c>
      <c r="J2860">
        <f t="shared" si="49"/>
        <v>105000</v>
      </c>
      <c r="K2860" t="e">
        <f>VLOOKUP(B2860,'REGISTRO ABONOS'!$B$8:$BC$10041,54,0)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hidden="1" x14ac:dyDescent="0.2">
      <c r="B2861" s="31">
        <v>2852</v>
      </c>
      <c r="J2861">
        <f t="shared" si="49"/>
        <v>105000</v>
      </c>
      <c r="K2861" t="e">
        <f>VLOOKUP(B2861,'REGISTRO ABONOS'!$B$8:$BC$10041,54,0)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hidden="1" x14ac:dyDescent="0.2">
      <c r="B2862" s="31">
        <v>2853</v>
      </c>
      <c r="J2862">
        <f t="shared" si="49"/>
        <v>105000</v>
      </c>
      <c r="K2862" t="e">
        <f>VLOOKUP(B2862,'REGISTRO ABONOS'!$B$8:$BC$10041,54,0)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hidden="1" x14ac:dyDescent="0.2">
      <c r="B2863" s="31">
        <v>2854</v>
      </c>
      <c r="J2863">
        <f t="shared" si="49"/>
        <v>105000</v>
      </c>
      <c r="K2863" t="e">
        <f>VLOOKUP(B2863,'REGISTRO ABONOS'!$B$8:$BC$10041,54,0)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hidden="1" x14ac:dyDescent="0.2">
      <c r="B2864" s="31">
        <v>2855</v>
      </c>
      <c r="J2864">
        <f t="shared" si="49"/>
        <v>105000</v>
      </c>
      <c r="K2864" t="e">
        <f>VLOOKUP(B2864,'REGISTRO ABONOS'!$B$8:$BC$10041,54,0)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hidden="1" x14ac:dyDescent="0.2">
      <c r="B2865" s="31">
        <v>2856</v>
      </c>
      <c r="J2865">
        <f t="shared" si="49"/>
        <v>105000</v>
      </c>
      <c r="K2865" t="e">
        <f>VLOOKUP(B2865,'REGISTRO ABONOS'!$B$8:$BC$10041,54,0)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hidden="1" x14ac:dyDescent="0.2">
      <c r="B2866" s="31">
        <v>2857</v>
      </c>
      <c r="J2866">
        <f t="shared" si="49"/>
        <v>105000</v>
      </c>
      <c r="K2866" t="e">
        <f>VLOOKUP(B2866,'REGISTRO ABONOS'!$B$8:$BC$10041,54,0)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hidden="1" x14ac:dyDescent="0.2">
      <c r="B2867" s="31">
        <v>2858</v>
      </c>
      <c r="J2867">
        <f t="shared" si="49"/>
        <v>105000</v>
      </c>
      <c r="K2867" t="e">
        <f>VLOOKUP(B2867,'REGISTRO ABONOS'!$B$8:$BC$10041,54,0)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hidden="1" x14ac:dyDescent="0.2">
      <c r="B2868" s="31">
        <v>2859</v>
      </c>
      <c r="J2868">
        <f t="shared" si="49"/>
        <v>105000</v>
      </c>
      <c r="K2868" t="e">
        <f>VLOOKUP(B2868,'REGISTRO ABONOS'!$B$8:$BC$10041,54,0)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hidden="1" x14ac:dyDescent="0.2">
      <c r="B2869" s="31">
        <v>2860</v>
      </c>
      <c r="J2869">
        <f t="shared" si="49"/>
        <v>105000</v>
      </c>
      <c r="K2869" t="e">
        <f>VLOOKUP(B2869,'REGISTRO ABONOS'!$B$8:$BC$10041,54,0)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hidden="1" x14ac:dyDescent="0.2">
      <c r="B2870" s="31">
        <v>2861</v>
      </c>
      <c r="J2870">
        <f t="shared" si="49"/>
        <v>105000</v>
      </c>
      <c r="K2870" t="e">
        <f>VLOOKUP(B2870,'REGISTRO ABONOS'!$B$8:$BC$10041,54,0)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hidden="1" x14ac:dyDescent="0.2">
      <c r="B2871" s="31">
        <v>2862</v>
      </c>
      <c r="J2871">
        <f t="shared" si="49"/>
        <v>105000</v>
      </c>
      <c r="K2871" t="e">
        <f>VLOOKUP(B2871,'REGISTRO ABONOS'!$B$8:$BC$10041,54,0)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hidden="1" x14ac:dyDescent="0.2">
      <c r="B2872" s="31">
        <v>2863</v>
      </c>
      <c r="J2872">
        <f t="shared" si="49"/>
        <v>105000</v>
      </c>
      <c r="K2872" t="e">
        <f>VLOOKUP(B2872,'REGISTRO ABONOS'!$B$8:$BC$10041,54,0)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hidden="1" x14ac:dyDescent="0.2">
      <c r="B2873" s="31">
        <v>2864</v>
      </c>
      <c r="J2873">
        <f t="shared" si="49"/>
        <v>105000</v>
      </c>
      <c r="K2873" t="e">
        <f>VLOOKUP(B2873,'REGISTRO ABONOS'!$B$8:$BC$10041,54,0)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hidden="1" x14ac:dyDescent="0.2">
      <c r="B2874" s="31">
        <v>2865</v>
      </c>
      <c r="J2874">
        <f t="shared" si="49"/>
        <v>105000</v>
      </c>
      <c r="K2874" t="e">
        <f>VLOOKUP(B2874,'REGISTRO ABONOS'!$B$8:$BC$10041,54,0)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hidden="1" x14ac:dyDescent="0.2">
      <c r="B2875" s="31">
        <v>2866</v>
      </c>
      <c r="J2875">
        <f t="shared" si="49"/>
        <v>105000</v>
      </c>
      <c r="K2875" t="e">
        <f>VLOOKUP(B2875,'REGISTRO ABONOS'!$B$8:$BC$10041,54,0)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hidden="1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ABONOS'!$B$8:$BC$10041,54,0)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hidden="1" x14ac:dyDescent="0.2">
      <c r="B2877" s="31">
        <v>2868</v>
      </c>
      <c r="J2877">
        <f t="shared" si="50"/>
        <v>105000</v>
      </c>
      <c r="K2877" t="e">
        <f>VLOOKUP(B2877,'REGISTRO ABONOS'!$B$8:$BC$10041,54,0)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hidden="1" x14ac:dyDescent="0.2">
      <c r="B2878" s="31">
        <v>2869</v>
      </c>
      <c r="J2878">
        <f t="shared" si="50"/>
        <v>105000</v>
      </c>
      <c r="K2878" t="e">
        <f>VLOOKUP(B2878,'REGISTRO ABONOS'!$B$8:$BC$10041,54,0)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hidden="1" x14ac:dyDescent="0.2">
      <c r="B2879" s="31">
        <v>2870</v>
      </c>
      <c r="J2879">
        <f t="shared" si="50"/>
        <v>105000</v>
      </c>
      <c r="K2879" t="e">
        <f>VLOOKUP(B2879,'REGISTRO ABONOS'!$B$8:$BC$10041,54,0)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hidden="1" x14ac:dyDescent="0.2">
      <c r="B2880" s="31">
        <v>2871</v>
      </c>
      <c r="J2880">
        <f t="shared" si="50"/>
        <v>105000</v>
      </c>
      <c r="K2880" t="e">
        <f>VLOOKUP(B2880,'REGISTRO ABONOS'!$B$8:$BC$10041,54,0)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hidden="1" x14ac:dyDescent="0.2">
      <c r="B2881" s="31">
        <v>2872</v>
      </c>
      <c r="J2881">
        <f t="shared" si="50"/>
        <v>105000</v>
      </c>
      <c r="K2881" t="e">
        <f>VLOOKUP(B2881,'REGISTRO ABONOS'!$B$8:$BC$10041,54,0)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hidden="1" x14ac:dyDescent="0.2">
      <c r="B2882" s="31">
        <v>2873</v>
      </c>
      <c r="J2882">
        <f t="shared" si="50"/>
        <v>105000</v>
      </c>
      <c r="K2882" t="e">
        <f>VLOOKUP(B2882,'REGISTRO ABONOS'!$B$8:$BC$10041,54,0)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hidden="1" x14ac:dyDescent="0.2">
      <c r="B2883" s="31">
        <v>2874</v>
      </c>
      <c r="J2883">
        <f t="shared" si="50"/>
        <v>105000</v>
      </c>
      <c r="K2883" t="e">
        <f>VLOOKUP(B2883,'REGISTRO ABONOS'!$B$8:$BC$10041,54,0)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hidden="1" x14ac:dyDescent="0.2">
      <c r="B2884" s="31">
        <v>2875</v>
      </c>
      <c r="J2884">
        <f t="shared" si="50"/>
        <v>105000</v>
      </c>
      <c r="K2884" t="e">
        <f>VLOOKUP(B2884,'REGISTRO ABONOS'!$B$8:$BC$10041,54,0)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hidden="1" x14ac:dyDescent="0.2">
      <c r="B2885" s="31">
        <v>2876</v>
      </c>
      <c r="J2885">
        <f t="shared" si="50"/>
        <v>105000</v>
      </c>
      <c r="K2885" t="e">
        <f>VLOOKUP(B2885,'REGISTRO ABONOS'!$B$8:$BC$10041,54,0)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hidden="1" x14ac:dyDescent="0.2">
      <c r="B2886" s="31">
        <v>2877</v>
      </c>
      <c r="J2886">
        <f t="shared" si="50"/>
        <v>105000</v>
      </c>
      <c r="K2886" t="e">
        <f>VLOOKUP(B2886,'REGISTRO ABONOS'!$B$8:$BC$10041,54,0)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hidden="1" x14ac:dyDescent="0.2">
      <c r="B2887" s="31">
        <v>2878</v>
      </c>
      <c r="J2887">
        <f t="shared" si="50"/>
        <v>105000</v>
      </c>
      <c r="K2887" t="e">
        <f>VLOOKUP(B2887,'REGISTRO ABONOS'!$B$8:$BC$10041,54,0)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hidden="1" x14ac:dyDescent="0.2">
      <c r="B2888" s="31">
        <v>2879</v>
      </c>
      <c r="J2888">
        <f t="shared" si="50"/>
        <v>105000</v>
      </c>
      <c r="K2888" t="e">
        <f>VLOOKUP(B2888,'REGISTRO ABONOS'!$B$8:$BC$10041,54,0)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hidden="1" x14ac:dyDescent="0.2">
      <c r="B2889" s="31">
        <v>2880</v>
      </c>
      <c r="J2889">
        <f t="shared" si="50"/>
        <v>105000</v>
      </c>
      <c r="K2889" t="e">
        <f>VLOOKUP(B2889,'REGISTRO ABONOS'!$B$8:$BC$10041,54,0)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hidden="1" x14ac:dyDescent="0.2">
      <c r="B2890" s="31">
        <v>2881</v>
      </c>
      <c r="J2890">
        <f t="shared" si="50"/>
        <v>105000</v>
      </c>
      <c r="K2890" t="e">
        <f>VLOOKUP(B2890,'REGISTRO ABONOS'!$B$8:$BC$10041,54,0)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hidden="1" x14ac:dyDescent="0.2">
      <c r="B2891" s="31">
        <v>2882</v>
      </c>
      <c r="J2891">
        <f t="shared" si="50"/>
        <v>105000</v>
      </c>
      <c r="K2891" t="e">
        <f>VLOOKUP(B2891,'REGISTRO ABONOS'!$B$8:$BC$10041,54,0)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hidden="1" x14ac:dyDescent="0.2">
      <c r="B2892" s="31">
        <v>2883</v>
      </c>
      <c r="J2892">
        <f t="shared" si="50"/>
        <v>105000</v>
      </c>
      <c r="K2892" t="e">
        <f>VLOOKUP(B2892,'REGISTRO ABONOS'!$B$8:$BC$10041,54,0)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hidden="1" x14ac:dyDescent="0.2">
      <c r="B2893" s="31">
        <v>2884</v>
      </c>
      <c r="J2893">
        <f t="shared" si="50"/>
        <v>105000</v>
      </c>
      <c r="K2893" t="e">
        <f>VLOOKUP(B2893,'REGISTRO ABONOS'!$B$8:$BC$10041,54,0)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hidden="1" x14ac:dyDescent="0.2">
      <c r="B2894" s="31">
        <v>2885</v>
      </c>
      <c r="J2894">
        <f t="shared" si="50"/>
        <v>105000</v>
      </c>
      <c r="K2894" t="e">
        <f>VLOOKUP(B2894,'REGISTRO ABONOS'!$B$8:$BC$10041,54,0)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hidden="1" x14ac:dyDescent="0.2">
      <c r="B2895" s="31">
        <v>2886</v>
      </c>
      <c r="J2895">
        <f t="shared" si="50"/>
        <v>105000</v>
      </c>
      <c r="K2895" t="e">
        <f>VLOOKUP(B2895,'REGISTRO ABONOS'!$B$8:$BC$10041,54,0)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hidden="1" x14ac:dyDescent="0.2">
      <c r="B2896" s="31">
        <v>2887</v>
      </c>
      <c r="J2896">
        <f t="shared" si="50"/>
        <v>105000</v>
      </c>
      <c r="K2896" t="e">
        <f>VLOOKUP(B2896,'REGISTRO ABONOS'!$B$8:$BC$10041,54,0)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hidden="1" x14ac:dyDescent="0.2">
      <c r="B2897" s="31">
        <v>2888</v>
      </c>
      <c r="J2897">
        <f t="shared" si="50"/>
        <v>105000</v>
      </c>
      <c r="K2897" t="e">
        <f>VLOOKUP(B2897,'REGISTRO ABONOS'!$B$8:$BC$10041,54,0)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hidden="1" x14ac:dyDescent="0.2">
      <c r="B2898" s="31">
        <v>2889</v>
      </c>
      <c r="J2898">
        <f t="shared" si="50"/>
        <v>105000</v>
      </c>
      <c r="K2898" t="e">
        <f>VLOOKUP(B2898,'REGISTRO ABONOS'!$B$8:$BC$10041,54,0)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hidden="1" x14ac:dyDescent="0.2">
      <c r="B2899" s="31">
        <v>2890</v>
      </c>
      <c r="J2899">
        <f t="shared" si="50"/>
        <v>105000</v>
      </c>
      <c r="K2899" t="e">
        <f>VLOOKUP(B2899,'REGISTRO ABONOS'!$B$8:$BC$10041,54,0)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hidden="1" x14ac:dyDescent="0.2">
      <c r="B2900" s="31">
        <v>2891</v>
      </c>
      <c r="J2900">
        <f t="shared" si="50"/>
        <v>105000</v>
      </c>
      <c r="K2900" t="e">
        <f>VLOOKUP(B2900,'REGISTRO ABONOS'!$B$8:$BC$10041,54,0)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hidden="1" x14ac:dyDescent="0.2">
      <c r="B2901" s="31">
        <v>2892</v>
      </c>
      <c r="J2901">
        <f t="shared" si="50"/>
        <v>105000</v>
      </c>
      <c r="K2901" t="e">
        <f>VLOOKUP(B2901,'REGISTRO ABONOS'!$B$8:$BC$10041,54,0)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hidden="1" x14ac:dyDescent="0.2">
      <c r="B2902" s="31">
        <v>2893</v>
      </c>
      <c r="J2902">
        <f t="shared" si="50"/>
        <v>105000</v>
      </c>
      <c r="K2902" t="e">
        <f>VLOOKUP(B2902,'REGISTRO ABONOS'!$B$8:$BC$10041,54,0)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hidden="1" x14ac:dyDescent="0.2">
      <c r="B2903" s="31">
        <v>2894</v>
      </c>
      <c r="J2903">
        <f t="shared" si="50"/>
        <v>105000</v>
      </c>
      <c r="K2903" t="e">
        <f>VLOOKUP(B2903,'REGISTRO ABONOS'!$B$8:$BC$10041,54,0)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hidden="1" x14ac:dyDescent="0.2">
      <c r="B2904" s="31">
        <v>2895</v>
      </c>
      <c r="J2904">
        <f t="shared" si="50"/>
        <v>105000</v>
      </c>
      <c r="K2904" t="e">
        <f>VLOOKUP(B2904,'REGISTRO ABONOS'!$B$8:$BC$10041,54,0)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hidden="1" x14ac:dyDescent="0.2">
      <c r="B2905" s="31">
        <v>2896</v>
      </c>
      <c r="J2905">
        <f t="shared" si="50"/>
        <v>105000</v>
      </c>
      <c r="K2905" t="e">
        <f>VLOOKUP(B2905,'REGISTRO ABONOS'!$B$8:$BC$10041,54,0)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hidden="1" x14ac:dyDescent="0.2">
      <c r="B2906" s="31">
        <v>2897</v>
      </c>
      <c r="J2906">
        <f t="shared" si="50"/>
        <v>105000</v>
      </c>
      <c r="K2906" t="e">
        <f>VLOOKUP(B2906,'REGISTRO ABONOS'!$B$8:$BC$10041,54,0)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hidden="1" x14ac:dyDescent="0.2">
      <c r="B2907" s="31">
        <v>2898</v>
      </c>
      <c r="J2907">
        <f t="shared" si="50"/>
        <v>105000</v>
      </c>
      <c r="K2907" t="e">
        <f>VLOOKUP(B2907,'REGISTRO ABONOS'!$B$8:$BC$10041,54,0)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hidden="1" x14ac:dyDescent="0.2">
      <c r="B2908" s="31">
        <v>2899</v>
      </c>
      <c r="J2908">
        <f t="shared" si="50"/>
        <v>105000</v>
      </c>
      <c r="K2908" t="e">
        <f>VLOOKUP(B2908,'REGISTRO ABONOS'!$B$8:$BC$10041,54,0)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hidden="1" x14ac:dyDescent="0.2">
      <c r="B2909" s="31">
        <v>2900</v>
      </c>
      <c r="J2909">
        <f t="shared" si="50"/>
        <v>105000</v>
      </c>
      <c r="K2909" t="e">
        <f>VLOOKUP(B2909,'REGISTRO ABONOS'!$B$8:$BC$10041,54,0)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hidden="1" x14ac:dyDescent="0.2">
      <c r="B2910" s="31">
        <v>2901</v>
      </c>
      <c r="J2910">
        <f t="shared" si="50"/>
        <v>105000</v>
      </c>
      <c r="K2910" t="e">
        <f>VLOOKUP(B2910,'REGISTRO ABONOS'!$B$8:$BC$10041,54,0)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hidden="1" x14ac:dyDescent="0.2">
      <c r="B2911" s="31">
        <v>2902</v>
      </c>
      <c r="J2911">
        <f t="shared" si="50"/>
        <v>105000</v>
      </c>
      <c r="K2911" t="e">
        <f>VLOOKUP(B2911,'REGISTRO ABONOS'!$B$8:$BC$10041,54,0)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hidden="1" x14ac:dyDescent="0.2">
      <c r="B2912" s="31">
        <v>2903</v>
      </c>
      <c r="J2912">
        <f t="shared" si="50"/>
        <v>105000</v>
      </c>
      <c r="K2912" t="e">
        <f>VLOOKUP(B2912,'REGISTRO ABONOS'!$B$8:$BC$10041,54,0)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hidden="1" x14ac:dyDescent="0.2">
      <c r="B2913" s="31">
        <v>2904</v>
      </c>
      <c r="J2913">
        <f t="shared" si="50"/>
        <v>105000</v>
      </c>
      <c r="K2913" t="e">
        <f>VLOOKUP(B2913,'REGISTRO ABONOS'!$B$8:$BC$10041,54,0)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hidden="1" x14ac:dyDescent="0.2">
      <c r="B2914" s="31">
        <v>2905</v>
      </c>
      <c r="J2914">
        <f t="shared" si="50"/>
        <v>105000</v>
      </c>
      <c r="K2914" t="e">
        <f>VLOOKUP(B2914,'REGISTRO ABONOS'!$B$8:$BC$10041,54,0)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hidden="1" x14ac:dyDescent="0.2">
      <c r="B2915" s="31">
        <v>2906</v>
      </c>
      <c r="J2915">
        <f t="shared" si="50"/>
        <v>105000</v>
      </c>
      <c r="K2915" t="e">
        <f>VLOOKUP(B2915,'REGISTRO ABONOS'!$B$8:$BC$10041,54,0)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hidden="1" x14ac:dyDescent="0.2">
      <c r="B2916" s="31">
        <v>2907</v>
      </c>
      <c r="J2916">
        <f t="shared" si="50"/>
        <v>105000</v>
      </c>
      <c r="K2916" t="e">
        <f>VLOOKUP(B2916,'REGISTRO ABONOS'!$B$8:$BC$10041,54,0)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hidden="1" x14ac:dyDescent="0.2">
      <c r="B2917" s="31">
        <v>2908</v>
      </c>
      <c r="J2917">
        <f t="shared" si="50"/>
        <v>105000</v>
      </c>
      <c r="K2917" t="e">
        <f>VLOOKUP(B2917,'REGISTRO ABONOS'!$B$8:$BC$10041,54,0)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hidden="1" x14ac:dyDescent="0.2">
      <c r="B2918" s="31">
        <v>2909</v>
      </c>
      <c r="J2918">
        <f t="shared" si="50"/>
        <v>105000</v>
      </c>
      <c r="K2918" t="e">
        <f>VLOOKUP(B2918,'REGISTRO ABONOS'!$B$8:$BC$10041,54,0)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hidden="1" x14ac:dyDescent="0.2">
      <c r="B2919" s="31">
        <v>2910</v>
      </c>
      <c r="J2919">
        <f t="shared" si="50"/>
        <v>105000</v>
      </c>
      <c r="K2919" t="e">
        <f>VLOOKUP(B2919,'REGISTRO ABONOS'!$B$8:$BC$10041,54,0)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hidden="1" x14ac:dyDescent="0.2">
      <c r="B2920" s="31">
        <v>2911</v>
      </c>
      <c r="J2920">
        <f t="shared" si="50"/>
        <v>105000</v>
      </c>
      <c r="K2920" t="e">
        <f>VLOOKUP(B2920,'REGISTRO ABONOS'!$B$8:$BC$10041,54,0)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hidden="1" x14ac:dyDescent="0.2">
      <c r="B2921" s="31">
        <v>2912</v>
      </c>
      <c r="J2921">
        <f t="shared" si="50"/>
        <v>105000</v>
      </c>
      <c r="K2921" t="e">
        <f>VLOOKUP(B2921,'REGISTRO ABONOS'!$B$8:$BC$10041,54,0)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hidden="1" x14ac:dyDescent="0.2">
      <c r="B2922" s="31">
        <v>2913</v>
      </c>
      <c r="J2922">
        <f t="shared" si="50"/>
        <v>105000</v>
      </c>
      <c r="K2922" t="e">
        <f>VLOOKUP(B2922,'REGISTRO ABONOS'!$B$8:$BC$10041,54,0)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hidden="1" x14ac:dyDescent="0.2">
      <c r="B2923" s="31">
        <v>2914</v>
      </c>
      <c r="J2923">
        <f t="shared" si="50"/>
        <v>105000</v>
      </c>
      <c r="K2923" t="e">
        <f>VLOOKUP(B2923,'REGISTRO ABONOS'!$B$8:$BC$10041,54,0)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hidden="1" x14ac:dyDescent="0.2">
      <c r="B2924" s="31">
        <v>2915</v>
      </c>
      <c r="J2924">
        <f t="shared" si="50"/>
        <v>105000</v>
      </c>
      <c r="K2924" t="e">
        <f>VLOOKUP(B2924,'REGISTRO ABONOS'!$B$8:$BC$10041,54,0)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hidden="1" x14ac:dyDescent="0.2">
      <c r="B2925" s="31">
        <v>2916</v>
      </c>
      <c r="J2925">
        <f t="shared" si="50"/>
        <v>105000</v>
      </c>
      <c r="K2925" t="e">
        <f>VLOOKUP(B2925,'REGISTRO ABONOS'!$B$8:$BC$10041,54,0)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hidden="1" x14ac:dyDescent="0.2">
      <c r="B2926" s="31">
        <v>2917</v>
      </c>
      <c r="J2926">
        <f t="shared" si="50"/>
        <v>105000</v>
      </c>
      <c r="K2926" t="e">
        <f>VLOOKUP(B2926,'REGISTRO ABONOS'!$B$8:$BC$10041,54,0)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hidden="1" x14ac:dyDescent="0.2">
      <c r="B2927" s="31">
        <v>2918</v>
      </c>
      <c r="J2927">
        <f t="shared" si="50"/>
        <v>105000</v>
      </c>
      <c r="K2927" t="e">
        <f>VLOOKUP(B2927,'REGISTRO ABONOS'!$B$8:$BC$10041,54,0)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hidden="1" x14ac:dyDescent="0.2">
      <c r="B2928" s="31">
        <v>2919</v>
      </c>
      <c r="J2928">
        <f t="shared" si="50"/>
        <v>105000</v>
      </c>
      <c r="K2928" t="e">
        <f>VLOOKUP(B2928,'REGISTRO ABONOS'!$B$8:$BC$10041,54,0)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hidden="1" x14ac:dyDescent="0.2">
      <c r="B2929" s="31">
        <v>2920</v>
      </c>
      <c r="J2929">
        <f t="shared" si="50"/>
        <v>105000</v>
      </c>
      <c r="K2929" t="e">
        <f>VLOOKUP(B2929,'REGISTRO ABONOS'!$B$8:$BC$10041,54,0)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hidden="1" x14ac:dyDescent="0.2">
      <c r="B2930" s="31">
        <v>2921</v>
      </c>
      <c r="J2930">
        <f t="shared" si="50"/>
        <v>105000</v>
      </c>
      <c r="K2930" t="e">
        <f>VLOOKUP(B2930,'REGISTRO ABONOS'!$B$8:$BC$10041,54,0)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hidden="1" x14ac:dyDescent="0.2">
      <c r="B2931" s="31">
        <v>2922</v>
      </c>
      <c r="J2931">
        <f t="shared" si="50"/>
        <v>105000</v>
      </c>
      <c r="K2931" t="e">
        <f>VLOOKUP(B2931,'REGISTRO ABONOS'!$B$8:$BC$10041,54,0)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hidden="1" x14ac:dyDescent="0.2">
      <c r="B2932" s="31">
        <v>2923</v>
      </c>
      <c r="J2932">
        <f t="shared" si="50"/>
        <v>105000</v>
      </c>
      <c r="K2932" t="e">
        <f>VLOOKUP(B2932,'REGISTRO ABONOS'!$B$8:$BC$10041,54,0)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hidden="1" x14ac:dyDescent="0.2">
      <c r="B2933" s="31">
        <v>2924</v>
      </c>
      <c r="J2933">
        <f t="shared" si="50"/>
        <v>105000</v>
      </c>
      <c r="K2933" t="e">
        <f>VLOOKUP(B2933,'REGISTRO ABONOS'!$B$8:$BC$10041,54,0)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hidden="1" x14ac:dyDescent="0.2">
      <c r="B2934" s="31">
        <v>2925</v>
      </c>
      <c r="J2934">
        <f t="shared" si="50"/>
        <v>105000</v>
      </c>
      <c r="K2934" t="e">
        <f>VLOOKUP(B2934,'REGISTRO ABONOS'!$B$8:$BC$10041,54,0)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hidden="1" x14ac:dyDescent="0.2">
      <c r="B2935" s="31">
        <v>2926</v>
      </c>
      <c r="J2935">
        <f t="shared" si="50"/>
        <v>105000</v>
      </c>
      <c r="K2935" t="e">
        <f>VLOOKUP(B2935,'REGISTRO ABONOS'!$B$8:$BC$10041,54,0)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hidden="1" x14ac:dyDescent="0.2">
      <c r="B2936" s="31">
        <v>2927</v>
      </c>
      <c r="J2936">
        <f t="shared" si="50"/>
        <v>105000</v>
      </c>
      <c r="K2936" t="e">
        <f>VLOOKUP(B2936,'REGISTRO ABONOS'!$B$8:$BC$10041,54,0)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hidden="1" x14ac:dyDescent="0.2">
      <c r="B2937" s="31">
        <v>2928</v>
      </c>
      <c r="J2937">
        <f t="shared" si="50"/>
        <v>105000</v>
      </c>
      <c r="K2937" t="e">
        <f>VLOOKUP(B2937,'REGISTRO ABONOS'!$B$8:$BC$10041,54,0)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hidden="1" x14ac:dyDescent="0.2">
      <c r="B2938" s="31">
        <v>2929</v>
      </c>
      <c r="J2938">
        <f t="shared" si="50"/>
        <v>105000</v>
      </c>
      <c r="K2938" t="e">
        <f>VLOOKUP(B2938,'REGISTRO ABONOS'!$B$8:$BC$10041,54,0)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hidden="1" x14ac:dyDescent="0.2">
      <c r="B2939" s="31">
        <v>2930</v>
      </c>
      <c r="J2939">
        <f t="shared" si="50"/>
        <v>105000</v>
      </c>
      <c r="K2939" t="e">
        <f>VLOOKUP(B2939,'REGISTRO ABONOS'!$B$8:$BC$10041,54,0)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hidden="1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ABONOS'!$B$8:$BC$10041,54,0)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hidden="1" x14ac:dyDescent="0.2">
      <c r="B2941" s="31">
        <v>2932</v>
      </c>
      <c r="J2941">
        <f t="shared" si="51"/>
        <v>105000</v>
      </c>
      <c r="K2941" t="e">
        <f>VLOOKUP(B2941,'REGISTRO ABONOS'!$B$8:$BC$10041,54,0)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hidden="1" x14ac:dyDescent="0.2">
      <c r="B2942" s="31">
        <v>2933</v>
      </c>
      <c r="J2942">
        <f t="shared" si="51"/>
        <v>105000</v>
      </c>
      <c r="K2942" t="e">
        <f>VLOOKUP(B2942,'REGISTRO ABONOS'!$B$8:$BC$10041,54,0)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hidden="1" x14ac:dyDescent="0.2">
      <c r="B2943" s="31">
        <v>2934</v>
      </c>
      <c r="J2943">
        <f t="shared" si="51"/>
        <v>105000</v>
      </c>
      <c r="K2943" t="e">
        <f>VLOOKUP(B2943,'REGISTRO ABONOS'!$B$8:$BC$10041,54,0)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hidden="1" x14ac:dyDescent="0.2">
      <c r="B2944" s="31">
        <v>2935</v>
      </c>
      <c r="J2944">
        <f t="shared" si="51"/>
        <v>105000</v>
      </c>
      <c r="K2944" t="e">
        <f>VLOOKUP(B2944,'REGISTRO ABONOS'!$B$8:$BC$10041,54,0)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hidden="1" x14ac:dyDescent="0.2">
      <c r="B2945" s="31">
        <v>2936</v>
      </c>
      <c r="J2945">
        <f t="shared" si="51"/>
        <v>105000</v>
      </c>
      <c r="K2945" t="e">
        <f>VLOOKUP(B2945,'REGISTRO ABONOS'!$B$8:$BC$10041,54,0)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hidden="1" x14ac:dyDescent="0.2">
      <c r="B2946" s="31">
        <v>2937</v>
      </c>
      <c r="J2946">
        <f t="shared" si="51"/>
        <v>105000</v>
      </c>
      <c r="K2946" t="e">
        <f>VLOOKUP(B2946,'REGISTRO ABONOS'!$B$8:$BC$10041,54,0)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hidden="1" x14ac:dyDescent="0.2">
      <c r="B2947" s="31">
        <v>2938</v>
      </c>
      <c r="J2947">
        <f t="shared" si="51"/>
        <v>105000</v>
      </c>
      <c r="K2947" t="e">
        <f>VLOOKUP(B2947,'REGISTRO ABONOS'!$B$8:$BC$10041,54,0)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hidden="1" x14ac:dyDescent="0.2">
      <c r="B2948" s="31">
        <v>2939</v>
      </c>
      <c r="J2948">
        <f t="shared" si="51"/>
        <v>105000</v>
      </c>
      <c r="K2948" t="e">
        <f>VLOOKUP(B2948,'REGISTRO ABONOS'!$B$8:$BC$10041,54,0)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hidden="1" x14ac:dyDescent="0.2">
      <c r="B2949" s="31">
        <v>2940</v>
      </c>
      <c r="J2949">
        <f t="shared" si="51"/>
        <v>105000</v>
      </c>
      <c r="K2949" t="e">
        <f>VLOOKUP(B2949,'REGISTRO ABONOS'!$B$8:$BC$10041,54,0)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hidden="1" x14ac:dyDescent="0.2">
      <c r="B2950" s="31">
        <v>2941</v>
      </c>
      <c r="J2950">
        <f t="shared" si="51"/>
        <v>105000</v>
      </c>
      <c r="K2950" t="e">
        <f>VLOOKUP(B2950,'REGISTRO ABONOS'!$B$8:$BC$10041,54,0)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hidden="1" x14ac:dyDescent="0.2">
      <c r="B2951" s="31">
        <v>2942</v>
      </c>
      <c r="J2951">
        <f t="shared" si="51"/>
        <v>105000</v>
      </c>
      <c r="K2951" t="e">
        <f>VLOOKUP(B2951,'REGISTRO ABONOS'!$B$8:$BC$10041,54,0)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hidden="1" x14ac:dyDescent="0.2">
      <c r="B2952" s="31">
        <v>2943</v>
      </c>
      <c r="J2952">
        <f t="shared" si="51"/>
        <v>105000</v>
      </c>
      <c r="K2952" t="e">
        <f>VLOOKUP(B2952,'REGISTRO ABONOS'!$B$8:$BC$10041,54,0)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hidden="1" x14ac:dyDescent="0.2">
      <c r="B2953" s="31">
        <v>2944</v>
      </c>
      <c r="J2953">
        <f t="shared" si="51"/>
        <v>105000</v>
      </c>
      <c r="K2953" t="e">
        <f>VLOOKUP(B2953,'REGISTRO ABONOS'!$B$8:$BC$10041,54,0)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hidden="1" x14ac:dyDescent="0.2">
      <c r="B2954" s="31">
        <v>2945</v>
      </c>
      <c r="J2954">
        <f t="shared" si="51"/>
        <v>105000</v>
      </c>
      <c r="K2954" t="e">
        <f>VLOOKUP(B2954,'REGISTRO ABONOS'!$B$8:$BC$10041,54,0)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hidden="1" x14ac:dyDescent="0.2">
      <c r="B2955" s="31">
        <v>2946</v>
      </c>
      <c r="J2955">
        <f t="shared" si="51"/>
        <v>105000</v>
      </c>
      <c r="K2955" t="e">
        <f>VLOOKUP(B2955,'REGISTRO ABONOS'!$B$8:$BC$10041,54,0)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hidden="1" x14ac:dyDescent="0.2">
      <c r="B2956" s="31">
        <v>2947</v>
      </c>
      <c r="J2956">
        <f t="shared" si="51"/>
        <v>105000</v>
      </c>
      <c r="K2956" t="e">
        <f>VLOOKUP(B2956,'REGISTRO ABONOS'!$B$8:$BC$10041,54,0)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hidden="1" x14ac:dyDescent="0.2">
      <c r="B2957" s="31">
        <v>2948</v>
      </c>
      <c r="J2957">
        <f t="shared" si="51"/>
        <v>105000</v>
      </c>
      <c r="K2957" t="e">
        <f>VLOOKUP(B2957,'REGISTRO ABONOS'!$B$8:$BC$10041,54,0)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hidden="1" x14ac:dyDescent="0.2">
      <c r="B2958" s="31">
        <v>2949</v>
      </c>
      <c r="J2958">
        <f t="shared" si="51"/>
        <v>105000</v>
      </c>
      <c r="K2958" t="e">
        <f>VLOOKUP(B2958,'REGISTRO ABONOS'!$B$8:$BC$10041,54,0)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hidden="1" x14ac:dyDescent="0.2">
      <c r="B2959" s="31">
        <v>2950</v>
      </c>
      <c r="J2959">
        <f t="shared" si="51"/>
        <v>105000</v>
      </c>
      <c r="K2959" t="e">
        <f>VLOOKUP(B2959,'REGISTRO ABONOS'!$B$8:$BC$10041,54,0)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hidden="1" x14ac:dyDescent="0.2">
      <c r="B2960" s="31">
        <v>2951</v>
      </c>
      <c r="J2960">
        <f t="shared" si="51"/>
        <v>105000</v>
      </c>
      <c r="K2960" t="e">
        <f>VLOOKUP(B2960,'REGISTRO ABONOS'!$B$8:$BC$10041,54,0)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hidden="1" x14ac:dyDescent="0.2">
      <c r="B2961" s="31">
        <v>2952</v>
      </c>
      <c r="J2961">
        <f t="shared" si="51"/>
        <v>105000</v>
      </c>
      <c r="K2961" t="e">
        <f>VLOOKUP(B2961,'REGISTRO ABONOS'!$B$8:$BC$10041,54,0)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hidden="1" x14ac:dyDescent="0.2">
      <c r="B2962" s="31">
        <v>2953</v>
      </c>
      <c r="J2962">
        <f t="shared" si="51"/>
        <v>105000</v>
      </c>
      <c r="K2962" t="e">
        <f>VLOOKUP(B2962,'REGISTRO ABONOS'!$B$8:$BC$10041,54,0)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hidden="1" x14ac:dyDescent="0.2">
      <c r="B2963" s="31">
        <v>2954</v>
      </c>
      <c r="J2963">
        <f t="shared" si="51"/>
        <v>105000</v>
      </c>
      <c r="K2963" t="e">
        <f>VLOOKUP(B2963,'REGISTRO ABONOS'!$B$8:$BC$10041,54,0)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hidden="1" x14ac:dyDescent="0.2">
      <c r="B2964" s="31">
        <v>2955</v>
      </c>
      <c r="J2964">
        <f t="shared" si="51"/>
        <v>105000</v>
      </c>
      <c r="K2964" t="e">
        <f>VLOOKUP(B2964,'REGISTRO ABONOS'!$B$8:$BC$10041,54,0)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hidden="1" x14ac:dyDescent="0.2">
      <c r="B2965" s="31">
        <v>2956</v>
      </c>
      <c r="J2965">
        <f t="shared" si="51"/>
        <v>105000</v>
      </c>
      <c r="K2965" t="e">
        <f>VLOOKUP(B2965,'REGISTRO ABONOS'!$B$8:$BC$10041,54,0)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hidden="1" x14ac:dyDescent="0.2">
      <c r="B2966" s="31">
        <v>2957</v>
      </c>
      <c r="J2966">
        <f t="shared" si="51"/>
        <v>105000</v>
      </c>
      <c r="K2966" t="e">
        <f>VLOOKUP(B2966,'REGISTRO ABONOS'!$B$8:$BC$10041,54,0)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hidden="1" x14ac:dyDescent="0.2">
      <c r="B2967" s="31">
        <v>2958</v>
      </c>
      <c r="J2967">
        <f t="shared" si="51"/>
        <v>105000</v>
      </c>
      <c r="K2967" t="e">
        <f>VLOOKUP(B2967,'REGISTRO ABONOS'!$B$8:$BC$10041,54,0)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hidden="1" x14ac:dyDescent="0.2">
      <c r="B2968" s="31">
        <v>2959</v>
      </c>
      <c r="J2968">
        <f t="shared" si="51"/>
        <v>105000</v>
      </c>
      <c r="K2968" t="e">
        <f>VLOOKUP(B2968,'REGISTRO ABONOS'!$B$8:$BC$10041,54,0)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hidden="1" x14ac:dyDescent="0.2">
      <c r="B2969" s="31">
        <v>2960</v>
      </c>
      <c r="J2969">
        <f t="shared" si="51"/>
        <v>105000</v>
      </c>
      <c r="K2969" t="e">
        <f>VLOOKUP(B2969,'REGISTRO ABONOS'!$B$8:$BC$10041,54,0)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hidden="1" x14ac:dyDescent="0.2">
      <c r="B2970" s="31">
        <v>2961</v>
      </c>
      <c r="J2970">
        <f t="shared" si="51"/>
        <v>105000</v>
      </c>
      <c r="K2970" t="e">
        <f>VLOOKUP(B2970,'REGISTRO ABONOS'!$B$8:$BC$10041,54,0)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hidden="1" x14ac:dyDescent="0.2">
      <c r="B2971" s="31">
        <v>2962</v>
      </c>
      <c r="J2971">
        <f t="shared" si="51"/>
        <v>105000</v>
      </c>
      <c r="K2971" t="e">
        <f>VLOOKUP(B2971,'REGISTRO ABONOS'!$B$8:$BC$10041,54,0)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hidden="1" x14ac:dyDescent="0.2">
      <c r="B2972" s="31">
        <v>2963</v>
      </c>
      <c r="J2972">
        <f t="shared" si="51"/>
        <v>105000</v>
      </c>
      <c r="K2972" t="e">
        <f>VLOOKUP(B2972,'REGISTRO ABONOS'!$B$8:$BC$10041,54,0)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hidden="1" x14ac:dyDescent="0.2">
      <c r="B2973" s="31">
        <v>2964</v>
      </c>
      <c r="J2973">
        <f t="shared" si="51"/>
        <v>105000</v>
      </c>
      <c r="K2973" t="e">
        <f>VLOOKUP(B2973,'REGISTRO ABONOS'!$B$8:$BC$10041,54,0)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hidden="1" x14ac:dyDescent="0.2">
      <c r="B2974" s="31">
        <v>2965</v>
      </c>
      <c r="J2974">
        <f t="shared" si="51"/>
        <v>105000</v>
      </c>
      <c r="K2974" t="e">
        <f>VLOOKUP(B2974,'REGISTRO ABONOS'!$B$8:$BC$10041,54,0)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hidden="1" x14ac:dyDescent="0.2">
      <c r="B2975" s="31">
        <v>2966</v>
      </c>
      <c r="J2975">
        <f t="shared" si="51"/>
        <v>105000</v>
      </c>
      <c r="K2975" t="e">
        <f>VLOOKUP(B2975,'REGISTRO ABONOS'!$B$8:$BC$10041,54,0)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1"/>
        <v>105000</v>
      </c>
      <c r="K2976" t="e">
        <f>VLOOKUP(B2976,'REGISTRO ABONOS'!$B$8:$BC$10041,54,0)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hidden="1" x14ac:dyDescent="0.2">
      <c r="B2977" s="31">
        <v>2968</v>
      </c>
      <c r="J2977">
        <f t="shared" si="51"/>
        <v>105000</v>
      </c>
      <c r="K2977" t="e">
        <f>VLOOKUP(B2977,'REGISTRO ABONOS'!$B$8:$BC$10041,54,0)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hidden="1" x14ac:dyDescent="0.2">
      <c r="B2978" s="31">
        <v>2969</v>
      </c>
      <c r="J2978">
        <f t="shared" si="51"/>
        <v>105000</v>
      </c>
      <c r="K2978" t="e">
        <f>VLOOKUP(B2978,'REGISTRO ABONOS'!$B$8:$BC$10041,54,0)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hidden="1" x14ac:dyDescent="0.2">
      <c r="B2979" s="31">
        <v>2970</v>
      </c>
      <c r="J2979">
        <f t="shared" si="51"/>
        <v>105000</v>
      </c>
      <c r="K2979" t="e">
        <f>VLOOKUP(B2979,'REGISTRO ABONOS'!$B$8:$BC$10041,54,0)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hidden="1" x14ac:dyDescent="0.2">
      <c r="B2980" s="31">
        <v>2971</v>
      </c>
      <c r="J2980">
        <f t="shared" si="51"/>
        <v>105000</v>
      </c>
      <c r="K2980" t="e">
        <f>VLOOKUP(B2980,'REGISTRO ABONOS'!$B$8:$BC$10041,54,0)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hidden="1" x14ac:dyDescent="0.2">
      <c r="B2981" s="31">
        <v>2972</v>
      </c>
      <c r="J2981">
        <f t="shared" si="51"/>
        <v>105000</v>
      </c>
      <c r="K2981" t="e">
        <f>VLOOKUP(B2981,'REGISTRO ABONOS'!$B$8:$BC$10041,54,0)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hidden="1" x14ac:dyDescent="0.2">
      <c r="B2982" s="31">
        <v>2973</v>
      </c>
      <c r="J2982">
        <f t="shared" si="51"/>
        <v>105000</v>
      </c>
      <c r="K2982" t="e">
        <f>VLOOKUP(B2982,'REGISTRO ABONOS'!$B$8:$BC$10041,54,0)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hidden="1" x14ac:dyDescent="0.2">
      <c r="B2983" s="31">
        <v>2974</v>
      </c>
      <c r="J2983">
        <f t="shared" si="51"/>
        <v>105000</v>
      </c>
      <c r="K2983" t="e">
        <f>VLOOKUP(B2983,'REGISTRO ABONOS'!$B$8:$BC$10041,54,0)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hidden="1" x14ac:dyDescent="0.2">
      <c r="B2984" s="31">
        <v>2975</v>
      </c>
      <c r="J2984">
        <f t="shared" si="51"/>
        <v>105000</v>
      </c>
      <c r="K2984" t="e">
        <f>VLOOKUP(B2984,'REGISTRO ABONOS'!$B$8:$BC$10041,54,0)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hidden="1" x14ac:dyDescent="0.2">
      <c r="B2985" s="31">
        <v>2976</v>
      </c>
      <c r="J2985">
        <f t="shared" si="51"/>
        <v>105000</v>
      </c>
      <c r="K2985" t="e">
        <f>VLOOKUP(B2985,'REGISTRO ABONOS'!$B$8:$BC$10041,54,0)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hidden="1" x14ac:dyDescent="0.2">
      <c r="B2986" s="31">
        <v>2977</v>
      </c>
      <c r="J2986">
        <f t="shared" si="51"/>
        <v>105000</v>
      </c>
      <c r="K2986" t="e">
        <f>VLOOKUP(B2986,'REGISTRO ABONOS'!$B$8:$BC$10041,54,0)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hidden="1" x14ac:dyDescent="0.2">
      <c r="B2987" s="31">
        <v>2978</v>
      </c>
      <c r="J2987">
        <f t="shared" si="51"/>
        <v>105000</v>
      </c>
      <c r="K2987" t="e">
        <f>VLOOKUP(B2987,'REGISTRO ABONOS'!$B$8:$BC$10041,54,0)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hidden="1" x14ac:dyDescent="0.2">
      <c r="B2988" s="31">
        <v>2979</v>
      </c>
      <c r="J2988">
        <f t="shared" si="51"/>
        <v>105000</v>
      </c>
      <c r="K2988" t="e">
        <f>VLOOKUP(B2988,'REGISTRO ABONOS'!$B$8:$BC$10041,54,0)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hidden="1" x14ac:dyDescent="0.2">
      <c r="B2989" s="31">
        <v>2980</v>
      </c>
      <c r="J2989">
        <f t="shared" si="51"/>
        <v>105000</v>
      </c>
      <c r="K2989" t="e">
        <f>VLOOKUP(B2989,'REGISTRO ABONOS'!$B$8:$BC$10041,54,0)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hidden="1" x14ac:dyDescent="0.2">
      <c r="B2990" s="31">
        <v>2981</v>
      </c>
      <c r="J2990">
        <f t="shared" si="51"/>
        <v>105000</v>
      </c>
      <c r="K2990" t="e">
        <f>VLOOKUP(B2990,'REGISTRO ABONOS'!$B$8:$BC$10041,54,0)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hidden="1" x14ac:dyDescent="0.2">
      <c r="B2991" s="31">
        <v>2982</v>
      </c>
      <c r="J2991">
        <f t="shared" si="51"/>
        <v>105000</v>
      </c>
      <c r="K2991" t="e">
        <f>VLOOKUP(B2991,'REGISTRO ABONOS'!$B$8:$BC$10041,54,0)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hidden="1" x14ac:dyDescent="0.2">
      <c r="B2992" s="31">
        <v>2983</v>
      </c>
      <c r="J2992">
        <f t="shared" si="51"/>
        <v>105000</v>
      </c>
      <c r="K2992" t="e">
        <f>VLOOKUP(B2992,'REGISTRO ABONOS'!$B$8:$BC$10041,54,0)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hidden="1" x14ac:dyDescent="0.2">
      <c r="B2993" s="31">
        <v>2984</v>
      </c>
      <c r="J2993">
        <f t="shared" si="51"/>
        <v>105000</v>
      </c>
      <c r="K2993" t="e">
        <f>VLOOKUP(B2993,'REGISTRO ABONOS'!$B$8:$BC$10041,54,0)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hidden="1" x14ac:dyDescent="0.2">
      <c r="B2994" s="31">
        <v>2985</v>
      </c>
      <c r="J2994">
        <f t="shared" si="51"/>
        <v>105000</v>
      </c>
      <c r="K2994" t="e">
        <f>VLOOKUP(B2994,'REGISTRO ABONOS'!$B$8:$BC$10041,54,0)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hidden="1" x14ac:dyDescent="0.2">
      <c r="B2995" s="31">
        <v>2986</v>
      </c>
      <c r="J2995">
        <f t="shared" si="51"/>
        <v>105000</v>
      </c>
      <c r="K2995" t="e">
        <f>VLOOKUP(B2995,'REGISTRO ABONOS'!$B$8:$BC$10041,54,0)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hidden="1" x14ac:dyDescent="0.2">
      <c r="B2996" s="31">
        <v>2987</v>
      </c>
      <c r="J2996">
        <f t="shared" si="51"/>
        <v>105000</v>
      </c>
      <c r="K2996" t="e">
        <f>VLOOKUP(B2996,'REGISTRO ABONOS'!$B$8:$BC$10041,54,0)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hidden="1" x14ac:dyDescent="0.2">
      <c r="B2997" s="31">
        <v>2988</v>
      </c>
      <c r="J2997">
        <f t="shared" si="51"/>
        <v>105000</v>
      </c>
      <c r="K2997" t="e">
        <f>VLOOKUP(B2997,'REGISTRO ABONOS'!$B$8:$BC$10041,54,0)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hidden="1" x14ac:dyDescent="0.2">
      <c r="B2998" s="31">
        <v>2989</v>
      </c>
      <c r="J2998">
        <f t="shared" si="51"/>
        <v>105000</v>
      </c>
      <c r="K2998" t="e">
        <f>VLOOKUP(B2998,'REGISTRO ABONOS'!$B$8:$BC$10041,54,0)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hidden="1" x14ac:dyDescent="0.2">
      <c r="B2999" s="31">
        <v>2990</v>
      </c>
      <c r="J2999">
        <f t="shared" si="51"/>
        <v>105000</v>
      </c>
      <c r="K2999" t="e">
        <f>VLOOKUP(B2999,'REGISTRO ABONOS'!$B$8:$BC$10041,54,0)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hidden="1" x14ac:dyDescent="0.2">
      <c r="B3000" s="31">
        <v>2991</v>
      </c>
      <c r="J3000">
        <f t="shared" si="51"/>
        <v>105000</v>
      </c>
      <c r="K3000" t="e">
        <f>VLOOKUP(B3000,'REGISTRO ABONOS'!$B$8:$BC$10041,54,0)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hidden="1" x14ac:dyDescent="0.2">
      <c r="B3001" s="31">
        <v>2992</v>
      </c>
      <c r="J3001">
        <f t="shared" si="51"/>
        <v>105000</v>
      </c>
      <c r="K3001" t="e">
        <f>VLOOKUP(B3001,'REGISTRO ABONOS'!$B$8:$BC$10041,54,0)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hidden="1" x14ac:dyDescent="0.2">
      <c r="B3002" s="31">
        <v>2993</v>
      </c>
      <c r="J3002">
        <f t="shared" si="51"/>
        <v>105000</v>
      </c>
      <c r="K3002" t="e">
        <f>VLOOKUP(B3002,'REGISTRO ABONOS'!$B$8:$BC$10041,54,0)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hidden="1" x14ac:dyDescent="0.2">
      <c r="B3003" s="31">
        <v>2994</v>
      </c>
      <c r="J3003">
        <f t="shared" si="51"/>
        <v>105000</v>
      </c>
      <c r="K3003" t="e">
        <f>VLOOKUP(B3003,'REGISTRO ABONOS'!$B$8:$BC$10041,54,0)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hidden="1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ABONOS'!$B$8:$BC$10041,54,0)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hidden="1" x14ac:dyDescent="0.2">
      <c r="B3005" s="31">
        <v>2996</v>
      </c>
      <c r="J3005">
        <f t="shared" si="52"/>
        <v>105000</v>
      </c>
      <c r="K3005" t="e">
        <f>VLOOKUP(B3005,'REGISTRO ABONOS'!$B$8:$BC$10041,54,0)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hidden="1" x14ac:dyDescent="0.2">
      <c r="B3006" s="31">
        <v>2997</v>
      </c>
      <c r="J3006">
        <f t="shared" si="52"/>
        <v>105000</v>
      </c>
      <c r="K3006" t="e">
        <f>VLOOKUP(B3006,'REGISTRO ABONOS'!$B$8:$BC$10041,54,0)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hidden="1" x14ac:dyDescent="0.2">
      <c r="B3007" s="31">
        <v>2998</v>
      </c>
      <c r="J3007">
        <f t="shared" si="52"/>
        <v>105000</v>
      </c>
      <c r="K3007" t="e">
        <f>VLOOKUP(B3007,'REGISTRO ABONOS'!$B$8:$BC$10041,54,0)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hidden="1" x14ac:dyDescent="0.2">
      <c r="B3008" s="31">
        <v>2999</v>
      </c>
      <c r="J3008">
        <f t="shared" si="52"/>
        <v>105000</v>
      </c>
      <c r="K3008" t="e">
        <f>VLOOKUP(B3008,'REGISTRO ABONOS'!$B$8:$BC$10041,54,0)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hidden="1" x14ac:dyDescent="0.2">
      <c r="B3009" s="31">
        <v>3000</v>
      </c>
      <c r="J3009">
        <f t="shared" si="52"/>
        <v>105000</v>
      </c>
      <c r="K3009" t="e">
        <f>VLOOKUP(B3009,'REGISTRO ABONOS'!$B$8:$BC$10041,54,0)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hidden="1" x14ac:dyDescent="0.2">
      <c r="B3010" s="31">
        <v>3001</v>
      </c>
      <c r="J3010">
        <f t="shared" si="52"/>
        <v>105000</v>
      </c>
      <c r="K3010" t="e">
        <f>VLOOKUP(B3010,'REGISTRO ABONOS'!$B$8:$BC$10041,54,0)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hidden="1" x14ac:dyDescent="0.2">
      <c r="B3011" s="31">
        <v>3002</v>
      </c>
      <c r="J3011">
        <f t="shared" si="52"/>
        <v>105000</v>
      </c>
      <c r="K3011" t="e">
        <f>VLOOKUP(B3011,'REGISTRO ABONOS'!$B$8:$BC$10041,54,0)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hidden="1" x14ac:dyDescent="0.2">
      <c r="B3012" s="31">
        <v>3003</v>
      </c>
      <c r="J3012">
        <f t="shared" si="52"/>
        <v>105000</v>
      </c>
      <c r="K3012" t="e">
        <f>VLOOKUP(B3012,'REGISTRO ABONOS'!$B$8:$BC$10041,54,0)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hidden="1" x14ac:dyDescent="0.2">
      <c r="B3013" s="31">
        <v>3004</v>
      </c>
      <c r="J3013">
        <f t="shared" si="52"/>
        <v>105000</v>
      </c>
      <c r="K3013" t="e">
        <f>VLOOKUP(B3013,'REGISTRO ABONOS'!$B$8:$BC$10041,54,0)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hidden="1" x14ac:dyDescent="0.2">
      <c r="B3014" s="31">
        <v>3005</v>
      </c>
      <c r="J3014">
        <f t="shared" si="52"/>
        <v>105000</v>
      </c>
      <c r="K3014" t="e">
        <f>VLOOKUP(B3014,'REGISTRO ABONOS'!$B$8:$BC$10041,54,0)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hidden="1" x14ac:dyDescent="0.2">
      <c r="B3015" s="31">
        <v>3006</v>
      </c>
      <c r="J3015">
        <f t="shared" si="52"/>
        <v>105000</v>
      </c>
      <c r="K3015" t="e">
        <f>VLOOKUP(B3015,'REGISTRO ABONOS'!$B$8:$BC$10041,54,0)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hidden="1" x14ac:dyDescent="0.2">
      <c r="B3016" s="31">
        <v>3007</v>
      </c>
      <c r="J3016">
        <f t="shared" si="52"/>
        <v>105000</v>
      </c>
      <c r="K3016" t="e">
        <f>VLOOKUP(B3016,'REGISTRO ABONOS'!$B$8:$BC$10041,54,0)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hidden="1" x14ac:dyDescent="0.2">
      <c r="B3017" s="31">
        <v>3008</v>
      </c>
      <c r="J3017">
        <f t="shared" si="52"/>
        <v>105000</v>
      </c>
      <c r="K3017" t="e">
        <f>VLOOKUP(B3017,'REGISTRO ABONOS'!$B$8:$BC$10041,54,0)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hidden="1" x14ac:dyDescent="0.2">
      <c r="B3018" s="31">
        <v>3009</v>
      </c>
      <c r="J3018">
        <f t="shared" si="52"/>
        <v>105000</v>
      </c>
      <c r="K3018" t="e">
        <f>VLOOKUP(B3018,'REGISTRO ABONOS'!$B$8:$BC$10041,54,0)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hidden="1" x14ac:dyDescent="0.2">
      <c r="B3019" s="31">
        <v>3010</v>
      </c>
      <c r="J3019">
        <f t="shared" si="52"/>
        <v>105000</v>
      </c>
      <c r="K3019" t="e">
        <f>VLOOKUP(B3019,'REGISTRO ABONOS'!$B$8:$BC$10041,54,0)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hidden="1" x14ac:dyDescent="0.2">
      <c r="B3020" s="31">
        <v>3011</v>
      </c>
      <c r="J3020">
        <f t="shared" si="52"/>
        <v>105000</v>
      </c>
      <c r="K3020" t="e">
        <f>VLOOKUP(B3020,'REGISTRO ABONOS'!$B$8:$BC$10041,54,0)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hidden="1" x14ac:dyDescent="0.2">
      <c r="B3021" s="31">
        <v>3012</v>
      </c>
      <c r="J3021">
        <f t="shared" si="52"/>
        <v>105000</v>
      </c>
      <c r="K3021" t="e">
        <f>VLOOKUP(B3021,'REGISTRO ABONOS'!$B$8:$BC$10041,54,0)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hidden="1" x14ac:dyDescent="0.2">
      <c r="B3022" s="31">
        <v>3013</v>
      </c>
      <c r="J3022">
        <f t="shared" si="52"/>
        <v>105000</v>
      </c>
      <c r="K3022" t="e">
        <f>VLOOKUP(B3022,'REGISTRO ABONOS'!$B$8:$BC$10041,54,0)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hidden="1" x14ac:dyDescent="0.2">
      <c r="B3023" s="31">
        <v>3014</v>
      </c>
      <c r="J3023">
        <f t="shared" si="52"/>
        <v>105000</v>
      </c>
      <c r="K3023" t="e">
        <f>VLOOKUP(B3023,'REGISTRO ABONOS'!$B$8:$BC$10041,54,0)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hidden="1" x14ac:dyDescent="0.2">
      <c r="B3024" s="31">
        <v>3015</v>
      </c>
      <c r="J3024">
        <f t="shared" si="52"/>
        <v>105000</v>
      </c>
      <c r="K3024" t="e">
        <f>VLOOKUP(B3024,'REGISTRO ABONOS'!$B$8:$BC$10041,54,0)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hidden="1" x14ac:dyDescent="0.2">
      <c r="B3025" s="31">
        <v>3016</v>
      </c>
      <c r="J3025">
        <f t="shared" si="52"/>
        <v>105000</v>
      </c>
      <c r="K3025" t="e">
        <f>VLOOKUP(B3025,'REGISTRO ABONOS'!$B$8:$BC$10041,54,0)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hidden="1" x14ac:dyDescent="0.2">
      <c r="B3026" s="31">
        <v>3017</v>
      </c>
      <c r="J3026">
        <f t="shared" si="52"/>
        <v>105000</v>
      </c>
      <c r="K3026" t="e">
        <f>VLOOKUP(B3026,'REGISTRO ABONOS'!$B$8:$BC$10041,54,0)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hidden="1" x14ac:dyDescent="0.2">
      <c r="B3027" s="31">
        <v>3018</v>
      </c>
      <c r="J3027">
        <f t="shared" si="52"/>
        <v>105000</v>
      </c>
      <c r="K3027" t="e">
        <f>VLOOKUP(B3027,'REGISTRO ABONOS'!$B$8:$BC$10041,54,0)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hidden="1" x14ac:dyDescent="0.2">
      <c r="B3028" s="31">
        <v>3019</v>
      </c>
      <c r="J3028">
        <f t="shared" si="52"/>
        <v>105000</v>
      </c>
      <c r="K3028" t="e">
        <f>VLOOKUP(B3028,'REGISTRO ABONOS'!$B$8:$BC$10041,54,0)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hidden="1" x14ac:dyDescent="0.2">
      <c r="B3029" s="31">
        <v>3020</v>
      </c>
      <c r="J3029">
        <f t="shared" si="52"/>
        <v>105000</v>
      </c>
      <c r="K3029" t="e">
        <f>VLOOKUP(B3029,'REGISTRO ABONOS'!$B$8:$BC$10041,54,0)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hidden="1" x14ac:dyDescent="0.2">
      <c r="B3030" s="31">
        <v>3021</v>
      </c>
      <c r="J3030">
        <f t="shared" si="52"/>
        <v>105000</v>
      </c>
      <c r="K3030" t="e">
        <f>VLOOKUP(B3030,'REGISTRO ABONOS'!$B$8:$BC$10041,54,0)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hidden="1" x14ac:dyDescent="0.2">
      <c r="B3031" s="31">
        <v>3022</v>
      </c>
      <c r="J3031">
        <f t="shared" si="52"/>
        <v>105000</v>
      </c>
      <c r="K3031" t="e">
        <f>VLOOKUP(B3031,'REGISTRO ABONOS'!$B$8:$BC$10041,54,0)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hidden="1" x14ac:dyDescent="0.2">
      <c r="B3032" s="31">
        <v>3023</v>
      </c>
      <c r="J3032">
        <f t="shared" si="52"/>
        <v>105000</v>
      </c>
      <c r="K3032" t="e">
        <f>VLOOKUP(B3032,'REGISTRO ABONOS'!$B$8:$BC$10041,54,0)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hidden="1" x14ac:dyDescent="0.2">
      <c r="B3033" s="31">
        <v>3024</v>
      </c>
      <c r="J3033">
        <f t="shared" si="52"/>
        <v>105000</v>
      </c>
      <c r="K3033" t="e">
        <f>VLOOKUP(B3033,'REGISTRO ABONOS'!$B$8:$BC$10041,54,0)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hidden="1" x14ac:dyDescent="0.2">
      <c r="B3034" s="31">
        <v>3025</v>
      </c>
      <c r="J3034">
        <f t="shared" si="52"/>
        <v>105000</v>
      </c>
      <c r="K3034" t="e">
        <f>VLOOKUP(B3034,'REGISTRO ABONOS'!$B$8:$BC$10041,54,0)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hidden="1" x14ac:dyDescent="0.2">
      <c r="B3035" s="31">
        <v>3026</v>
      </c>
      <c r="J3035">
        <f t="shared" si="52"/>
        <v>105000</v>
      </c>
      <c r="K3035" t="e">
        <f>VLOOKUP(B3035,'REGISTRO ABONOS'!$B$8:$BC$10041,54,0)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hidden="1" x14ac:dyDescent="0.2">
      <c r="B3036" s="31">
        <v>3027</v>
      </c>
      <c r="J3036">
        <f t="shared" si="52"/>
        <v>105000</v>
      </c>
      <c r="K3036" t="e">
        <f>VLOOKUP(B3036,'REGISTRO ABONOS'!$B$8:$BC$10041,54,0)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hidden="1" x14ac:dyDescent="0.2">
      <c r="B3037" s="31">
        <v>3028</v>
      </c>
      <c r="J3037">
        <f t="shared" si="52"/>
        <v>105000</v>
      </c>
      <c r="K3037" t="e">
        <f>VLOOKUP(B3037,'REGISTRO ABONOS'!$B$8:$BC$10041,54,0)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hidden="1" x14ac:dyDescent="0.2">
      <c r="B3038" s="31">
        <v>3029</v>
      </c>
      <c r="J3038">
        <f t="shared" si="52"/>
        <v>105000</v>
      </c>
      <c r="K3038" t="e">
        <f>VLOOKUP(B3038,'REGISTRO ABONOS'!$B$8:$BC$10041,54,0)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hidden="1" x14ac:dyDescent="0.2">
      <c r="B3039" s="31">
        <v>3030</v>
      </c>
      <c r="J3039">
        <f t="shared" si="52"/>
        <v>105000</v>
      </c>
      <c r="K3039" t="e">
        <f>VLOOKUP(B3039,'REGISTRO ABONOS'!$B$8:$BC$10041,54,0)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hidden="1" x14ac:dyDescent="0.2">
      <c r="B3040" s="31">
        <v>3031</v>
      </c>
      <c r="J3040">
        <f t="shared" si="52"/>
        <v>105000</v>
      </c>
      <c r="K3040" t="e">
        <f>VLOOKUP(B3040,'REGISTRO ABONOS'!$B$8:$BC$10041,54,0)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hidden="1" x14ac:dyDescent="0.2">
      <c r="B3041" s="31">
        <v>3032</v>
      </c>
      <c r="J3041">
        <f t="shared" si="52"/>
        <v>105000</v>
      </c>
      <c r="K3041" t="e">
        <f>VLOOKUP(B3041,'REGISTRO ABONOS'!$B$8:$BC$10041,54,0)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hidden="1" x14ac:dyDescent="0.2">
      <c r="B3042" s="31">
        <v>3033</v>
      </c>
      <c r="J3042">
        <f t="shared" si="52"/>
        <v>105000</v>
      </c>
      <c r="K3042" t="e">
        <f>VLOOKUP(B3042,'REGISTRO ABONOS'!$B$8:$BC$10041,54,0)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hidden="1" x14ac:dyDescent="0.2">
      <c r="B3043" s="31">
        <v>3034</v>
      </c>
      <c r="J3043">
        <f t="shared" si="52"/>
        <v>105000</v>
      </c>
      <c r="K3043" t="e">
        <f>VLOOKUP(B3043,'REGISTRO ABONOS'!$B$8:$BC$10041,54,0)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hidden="1" x14ac:dyDescent="0.2">
      <c r="B3044" s="31">
        <v>3035</v>
      </c>
      <c r="J3044">
        <f t="shared" si="52"/>
        <v>105000</v>
      </c>
      <c r="K3044" t="e">
        <f>VLOOKUP(B3044,'REGISTRO ABONOS'!$B$8:$BC$10041,54,0)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hidden="1" x14ac:dyDescent="0.2">
      <c r="B3045" s="31">
        <v>3036</v>
      </c>
      <c r="J3045">
        <f t="shared" si="52"/>
        <v>105000</v>
      </c>
      <c r="K3045" t="e">
        <f>VLOOKUP(B3045,'REGISTRO ABONOS'!$B$8:$BC$10041,54,0)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hidden="1" x14ac:dyDescent="0.2">
      <c r="B3046" s="31">
        <v>3037</v>
      </c>
      <c r="J3046">
        <f t="shared" si="52"/>
        <v>105000</v>
      </c>
      <c r="K3046" t="e">
        <f>VLOOKUP(B3046,'REGISTRO ABONOS'!$B$8:$BC$10041,54,0)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hidden="1" x14ac:dyDescent="0.2">
      <c r="B3047" s="31">
        <v>3038</v>
      </c>
      <c r="J3047">
        <f t="shared" si="52"/>
        <v>105000</v>
      </c>
      <c r="K3047" t="e">
        <f>VLOOKUP(B3047,'REGISTRO ABONOS'!$B$8:$BC$10041,54,0)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hidden="1" x14ac:dyDescent="0.2">
      <c r="B3048" s="31">
        <v>3039</v>
      </c>
      <c r="J3048">
        <f t="shared" si="52"/>
        <v>105000</v>
      </c>
      <c r="K3048" t="e">
        <f>VLOOKUP(B3048,'REGISTRO ABONOS'!$B$8:$BC$10041,54,0)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hidden="1" x14ac:dyDescent="0.2">
      <c r="B3049" s="31">
        <v>3040</v>
      </c>
      <c r="J3049">
        <f t="shared" si="52"/>
        <v>105000</v>
      </c>
      <c r="K3049" t="e">
        <f>VLOOKUP(B3049,'REGISTRO ABONOS'!$B$8:$BC$10041,54,0)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hidden="1" x14ac:dyDescent="0.2">
      <c r="B3050" s="31">
        <v>3041</v>
      </c>
      <c r="J3050">
        <f t="shared" si="52"/>
        <v>105000</v>
      </c>
      <c r="K3050" t="e">
        <f>VLOOKUP(B3050,'REGISTRO ABONOS'!$B$8:$BC$10041,54,0)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hidden="1" x14ac:dyDescent="0.2">
      <c r="B3051" s="31">
        <v>3042</v>
      </c>
      <c r="J3051">
        <f t="shared" si="52"/>
        <v>105000</v>
      </c>
      <c r="K3051" t="e">
        <f>VLOOKUP(B3051,'REGISTRO ABONOS'!$B$8:$BC$10041,54,0)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hidden="1" x14ac:dyDescent="0.2">
      <c r="B3052" s="31">
        <v>3043</v>
      </c>
      <c r="J3052">
        <f t="shared" si="52"/>
        <v>105000</v>
      </c>
      <c r="K3052" t="e">
        <f>VLOOKUP(B3052,'REGISTRO ABONOS'!$B$8:$BC$10041,54,0)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hidden="1" x14ac:dyDescent="0.2">
      <c r="B3053" s="31">
        <v>3044</v>
      </c>
      <c r="J3053">
        <f t="shared" si="52"/>
        <v>105000</v>
      </c>
      <c r="K3053" t="e">
        <f>VLOOKUP(B3053,'REGISTRO ABONOS'!$B$8:$BC$10041,54,0)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hidden="1" x14ac:dyDescent="0.2">
      <c r="B3054" s="31">
        <v>3045</v>
      </c>
      <c r="J3054">
        <f t="shared" si="52"/>
        <v>105000</v>
      </c>
      <c r="K3054" t="e">
        <f>VLOOKUP(B3054,'REGISTRO ABONOS'!$B$8:$BC$10041,54,0)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hidden="1" x14ac:dyDescent="0.2">
      <c r="B3055" s="31">
        <v>3046</v>
      </c>
      <c r="J3055">
        <f t="shared" si="52"/>
        <v>105000</v>
      </c>
      <c r="K3055" t="e">
        <f>VLOOKUP(B3055,'REGISTRO ABONOS'!$B$8:$BC$10041,54,0)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hidden="1" x14ac:dyDescent="0.2">
      <c r="B3056" s="31">
        <v>3047</v>
      </c>
      <c r="J3056">
        <f t="shared" si="52"/>
        <v>105000</v>
      </c>
      <c r="K3056" t="e">
        <f>VLOOKUP(B3056,'REGISTRO ABONOS'!$B$8:$BC$10041,54,0)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hidden="1" x14ac:dyDescent="0.2">
      <c r="B3057" s="31">
        <v>3048</v>
      </c>
      <c r="J3057">
        <f t="shared" si="52"/>
        <v>105000</v>
      </c>
      <c r="K3057" t="e">
        <f>VLOOKUP(B3057,'REGISTRO ABONOS'!$B$8:$BC$10041,54,0)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hidden="1" x14ac:dyDescent="0.2">
      <c r="B3058" s="31">
        <v>3049</v>
      </c>
      <c r="J3058">
        <f t="shared" si="52"/>
        <v>105000</v>
      </c>
      <c r="K3058" t="e">
        <f>VLOOKUP(B3058,'REGISTRO ABONOS'!$B$8:$BC$10041,54,0)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hidden="1" x14ac:dyDescent="0.2">
      <c r="B3059" s="31">
        <v>3050</v>
      </c>
      <c r="J3059">
        <f t="shared" si="52"/>
        <v>105000</v>
      </c>
      <c r="K3059" t="e">
        <f>VLOOKUP(B3059,'REGISTRO ABONOS'!$B$8:$BC$10041,54,0)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hidden="1" x14ac:dyDescent="0.2">
      <c r="B3060" s="31">
        <v>3051</v>
      </c>
      <c r="J3060">
        <f t="shared" si="52"/>
        <v>105000</v>
      </c>
      <c r="K3060" t="e">
        <f>VLOOKUP(B3060,'REGISTRO ABONOS'!$B$8:$BC$10041,54,0)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hidden="1" x14ac:dyDescent="0.2">
      <c r="B3061" s="31">
        <v>3052</v>
      </c>
      <c r="J3061">
        <f t="shared" si="52"/>
        <v>105000</v>
      </c>
      <c r="K3061" t="e">
        <f>VLOOKUP(B3061,'REGISTRO ABONOS'!$B$8:$BC$10041,54,0)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hidden="1" x14ac:dyDescent="0.2">
      <c r="B3062" s="31">
        <v>3053</v>
      </c>
      <c r="J3062">
        <f t="shared" si="52"/>
        <v>105000</v>
      </c>
      <c r="K3062" t="e">
        <f>VLOOKUP(B3062,'REGISTRO ABONOS'!$B$8:$BC$10041,54,0)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hidden="1" x14ac:dyDescent="0.2">
      <c r="B3063" s="31">
        <v>3054</v>
      </c>
      <c r="J3063">
        <f t="shared" si="52"/>
        <v>105000</v>
      </c>
      <c r="K3063" t="e">
        <f>VLOOKUP(B3063,'REGISTRO ABONOS'!$B$8:$BC$10041,54,0)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hidden="1" x14ac:dyDescent="0.2">
      <c r="B3064" s="31">
        <v>3055</v>
      </c>
      <c r="J3064">
        <f t="shared" si="52"/>
        <v>105000</v>
      </c>
      <c r="K3064" t="e">
        <f>VLOOKUP(B3064,'REGISTRO ABONOS'!$B$8:$BC$10041,54,0)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hidden="1" x14ac:dyDescent="0.2">
      <c r="B3065" s="31">
        <v>3056</v>
      </c>
      <c r="J3065">
        <f t="shared" si="52"/>
        <v>105000</v>
      </c>
      <c r="K3065" t="e">
        <f>VLOOKUP(B3065,'REGISTRO ABONOS'!$B$8:$BC$10041,54,0)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hidden="1" x14ac:dyDescent="0.2">
      <c r="B3066" s="31">
        <v>3057</v>
      </c>
      <c r="J3066">
        <f t="shared" si="52"/>
        <v>105000</v>
      </c>
      <c r="K3066" t="e">
        <f>VLOOKUP(B3066,'REGISTRO ABONOS'!$B$8:$BC$10041,54,0)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hidden="1" x14ac:dyDescent="0.2">
      <c r="B3067" s="31">
        <v>3058</v>
      </c>
      <c r="J3067">
        <f t="shared" si="52"/>
        <v>105000</v>
      </c>
      <c r="K3067" t="e">
        <f>VLOOKUP(B3067,'REGISTRO ABONOS'!$B$8:$BC$10041,54,0)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hidden="1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ABONOS'!$B$8:$BC$10041,54,0)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hidden="1" x14ac:dyDescent="0.2">
      <c r="B3069" s="31">
        <v>3060</v>
      </c>
      <c r="J3069">
        <f t="shared" si="53"/>
        <v>105000</v>
      </c>
      <c r="K3069" t="e">
        <f>VLOOKUP(B3069,'REGISTRO ABONOS'!$B$8:$BC$10041,54,0)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hidden="1" x14ac:dyDescent="0.2">
      <c r="B3070" s="31">
        <v>3061</v>
      </c>
      <c r="J3070">
        <f t="shared" si="53"/>
        <v>105000</v>
      </c>
      <c r="K3070" t="e">
        <f>VLOOKUP(B3070,'REGISTRO ABONOS'!$B$8:$BC$10041,54,0)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hidden="1" x14ac:dyDescent="0.2">
      <c r="B3071" s="31">
        <v>3062</v>
      </c>
      <c r="J3071">
        <f t="shared" si="53"/>
        <v>105000</v>
      </c>
      <c r="K3071" t="e">
        <f>VLOOKUP(B3071,'REGISTRO ABONOS'!$B$8:$BC$10041,54,0)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hidden="1" x14ac:dyDescent="0.2">
      <c r="B3072" s="31">
        <v>3063</v>
      </c>
      <c r="J3072">
        <f t="shared" si="53"/>
        <v>105000</v>
      </c>
      <c r="K3072" t="e">
        <f>VLOOKUP(B3072,'REGISTRO ABONOS'!$B$8:$BC$10041,54,0)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hidden="1" x14ac:dyDescent="0.2">
      <c r="B3073" s="31">
        <v>3064</v>
      </c>
      <c r="J3073">
        <f t="shared" si="53"/>
        <v>105000</v>
      </c>
      <c r="K3073" t="e">
        <f>VLOOKUP(B3073,'REGISTRO ABONOS'!$B$8:$BC$10041,54,0)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hidden="1" x14ac:dyDescent="0.2">
      <c r="B3074" s="31">
        <v>3065</v>
      </c>
      <c r="J3074">
        <f t="shared" si="53"/>
        <v>105000</v>
      </c>
      <c r="K3074" t="e">
        <f>VLOOKUP(B3074,'REGISTRO ABONOS'!$B$8:$BC$10041,54,0)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hidden="1" x14ac:dyDescent="0.2">
      <c r="B3075" s="31">
        <v>3066</v>
      </c>
      <c r="J3075">
        <f t="shared" si="53"/>
        <v>105000</v>
      </c>
      <c r="K3075" t="e">
        <f>VLOOKUP(B3075,'REGISTRO ABONOS'!$B$8:$BC$10041,54,0)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hidden="1" x14ac:dyDescent="0.2">
      <c r="B3076" s="31">
        <v>3067</v>
      </c>
      <c r="J3076">
        <f t="shared" si="53"/>
        <v>105000</v>
      </c>
      <c r="K3076" t="e">
        <f>VLOOKUP(B3076,'REGISTRO ABONOS'!$B$8:$BC$10041,54,0)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hidden="1" x14ac:dyDescent="0.2">
      <c r="B3077" s="31">
        <v>3068</v>
      </c>
      <c r="J3077">
        <f t="shared" si="53"/>
        <v>105000</v>
      </c>
      <c r="K3077" t="e">
        <f>VLOOKUP(B3077,'REGISTRO ABONOS'!$B$8:$BC$10041,54,0)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hidden="1" x14ac:dyDescent="0.2">
      <c r="B3078" s="31">
        <v>3069</v>
      </c>
      <c r="J3078">
        <f t="shared" si="53"/>
        <v>105000</v>
      </c>
      <c r="K3078" t="e">
        <f>VLOOKUP(B3078,'REGISTRO ABONOS'!$B$8:$BC$10041,54,0)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hidden="1" x14ac:dyDescent="0.2">
      <c r="B3079" s="31">
        <v>3070</v>
      </c>
      <c r="J3079">
        <f t="shared" si="53"/>
        <v>105000</v>
      </c>
      <c r="K3079" t="e">
        <f>VLOOKUP(B3079,'REGISTRO ABONOS'!$B$8:$BC$10041,54,0)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hidden="1" x14ac:dyDescent="0.2">
      <c r="B3080" s="31">
        <v>3071</v>
      </c>
      <c r="J3080">
        <f t="shared" si="53"/>
        <v>105000</v>
      </c>
      <c r="K3080" t="e">
        <f>VLOOKUP(B3080,'REGISTRO ABONOS'!$B$8:$BC$10041,54,0)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hidden="1" x14ac:dyDescent="0.2">
      <c r="B3081" s="31">
        <v>3072</v>
      </c>
      <c r="J3081">
        <f t="shared" si="53"/>
        <v>105000</v>
      </c>
      <c r="K3081" t="e">
        <f>VLOOKUP(B3081,'REGISTRO ABONOS'!$B$8:$BC$10041,54,0)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hidden="1" x14ac:dyDescent="0.2">
      <c r="B3082" s="31">
        <v>3073</v>
      </c>
      <c r="J3082">
        <f t="shared" si="53"/>
        <v>105000</v>
      </c>
      <c r="K3082" t="e">
        <f>VLOOKUP(B3082,'REGISTRO ABONOS'!$B$8:$BC$10041,54,0)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hidden="1" x14ac:dyDescent="0.2">
      <c r="B3083" s="31">
        <v>3074</v>
      </c>
      <c r="J3083">
        <f t="shared" si="53"/>
        <v>105000</v>
      </c>
      <c r="K3083" t="e">
        <f>VLOOKUP(B3083,'REGISTRO ABONOS'!$B$8:$BC$10041,54,0)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hidden="1" x14ac:dyDescent="0.2">
      <c r="B3084" s="31">
        <v>3075</v>
      </c>
      <c r="J3084">
        <f t="shared" si="53"/>
        <v>105000</v>
      </c>
      <c r="K3084" t="e">
        <f>VLOOKUP(B3084,'REGISTRO ABONOS'!$B$8:$BC$10041,54,0)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hidden="1" x14ac:dyDescent="0.2">
      <c r="B3085" s="31">
        <v>3076</v>
      </c>
      <c r="J3085">
        <f t="shared" si="53"/>
        <v>105000</v>
      </c>
      <c r="K3085" t="e">
        <f>VLOOKUP(B3085,'REGISTRO ABONOS'!$B$8:$BC$10041,54,0)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hidden="1" x14ac:dyDescent="0.2">
      <c r="B3086" s="31">
        <v>3077</v>
      </c>
      <c r="J3086">
        <f t="shared" si="53"/>
        <v>105000</v>
      </c>
      <c r="K3086" t="e">
        <f>VLOOKUP(B3086,'REGISTRO ABONOS'!$B$8:$BC$10041,54,0)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hidden="1" x14ac:dyDescent="0.2">
      <c r="B3087" s="31">
        <v>3078</v>
      </c>
      <c r="J3087">
        <f t="shared" si="53"/>
        <v>105000</v>
      </c>
      <c r="K3087" t="e">
        <f>VLOOKUP(B3087,'REGISTRO ABONOS'!$B$8:$BC$10041,54,0)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hidden="1" x14ac:dyDescent="0.2">
      <c r="B3088" s="31">
        <v>3079</v>
      </c>
      <c r="J3088">
        <f t="shared" si="53"/>
        <v>105000</v>
      </c>
      <c r="K3088" t="e">
        <f>VLOOKUP(B3088,'REGISTRO ABONOS'!$B$8:$BC$10041,54,0)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hidden="1" x14ac:dyDescent="0.2">
      <c r="B3089" s="31">
        <v>3080</v>
      </c>
      <c r="J3089">
        <f t="shared" si="53"/>
        <v>105000</v>
      </c>
      <c r="K3089" t="e">
        <f>VLOOKUP(B3089,'REGISTRO ABONOS'!$B$8:$BC$10041,54,0)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hidden="1" x14ac:dyDescent="0.2">
      <c r="B3090" s="31">
        <v>3081</v>
      </c>
      <c r="J3090">
        <f t="shared" si="53"/>
        <v>105000</v>
      </c>
      <c r="K3090" t="e">
        <f>VLOOKUP(B3090,'REGISTRO ABONOS'!$B$8:$BC$10041,54,0)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hidden="1" x14ac:dyDescent="0.2">
      <c r="B3091" s="31">
        <v>3082</v>
      </c>
      <c r="J3091">
        <f t="shared" si="53"/>
        <v>105000</v>
      </c>
      <c r="K3091" t="e">
        <f>VLOOKUP(B3091,'REGISTRO ABONOS'!$B$8:$BC$10041,54,0)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hidden="1" x14ac:dyDescent="0.2">
      <c r="B3092" s="31">
        <v>3083</v>
      </c>
      <c r="J3092">
        <f t="shared" si="53"/>
        <v>105000</v>
      </c>
      <c r="K3092" t="e">
        <f>VLOOKUP(B3092,'REGISTRO ABONOS'!$B$8:$BC$10041,54,0)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hidden="1" x14ac:dyDescent="0.2">
      <c r="B3093" s="31">
        <v>3084</v>
      </c>
      <c r="J3093">
        <f t="shared" si="53"/>
        <v>105000</v>
      </c>
      <c r="K3093" t="e">
        <f>VLOOKUP(B3093,'REGISTRO ABONOS'!$B$8:$BC$10041,54,0)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hidden="1" x14ac:dyDescent="0.2">
      <c r="B3094" s="31">
        <v>3085</v>
      </c>
      <c r="J3094">
        <f t="shared" si="53"/>
        <v>105000</v>
      </c>
      <c r="K3094" t="e">
        <f>VLOOKUP(B3094,'REGISTRO ABONOS'!$B$8:$BC$10041,54,0)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hidden="1" x14ac:dyDescent="0.2">
      <c r="B3095" s="31">
        <v>3086</v>
      </c>
      <c r="J3095">
        <f t="shared" si="53"/>
        <v>105000</v>
      </c>
      <c r="K3095" t="e">
        <f>VLOOKUP(B3095,'REGISTRO ABONOS'!$B$8:$BC$10041,54,0)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hidden="1" x14ac:dyDescent="0.2">
      <c r="B3096" s="31">
        <v>3087</v>
      </c>
      <c r="J3096">
        <f t="shared" si="53"/>
        <v>105000</v>
      </c>
      <c r="K3096" t="e">
        <f>VLOOKUP(B3096,'REGISTRO ABONOS'!$B$8:$BC$10041,54,0)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hidden="1" x14ac:dyDescent="0.2">
      <c r="B3097" s="31">
        <v>3088</v>
      </c>
      <c r="J3097">
        <f t="shared" si="53"/>
        <v>105000</v>
      </c>
      <c r="K3097" t="e">
        <f>VLOOKUP(B3097,'REGISTRO ABONOS'!$B$8:$BC$10041,54,0)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hidden="1" x14ac:dyDescent="0.2">
      <c r="B3098" s="31">
        <v>3089</v>
      </c>
      <c r="J3098">
        <f t="shared" si="53"/>
        <v>105000</v>
      </c>
      <c r="K3098" t="e">
        <f>VLOOKUP(B3098,'REGISTRO ABONOS'!$B$8:$BC$10041,54,0)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hidden="1" x14ac:dyDescent="0.2">
      <c r="B3099" s="31">
        <v>3090</v>
      </c>
      <c r="J3099">
        <f t="shared" si="53"/>
        <v>105000</v>
      </c>
      <c r="K3099" t="e">
        <f>VLOOKUP(B3099,'REGISTRO ABONOS'!$B$8:$BC$10041,54,0)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hidden="1" x14ac:dyDescent="0.2">
      <c r="B3100" s="31">
        <v>3091</v>
      </c>
      <c r="J3100">
        <f t="shared" si="53"/>
        <v>105000</v>
      </c>
      <c r="K3100" t="e">
        <f>VLOOKUP(B3100,'REGISTRO ABONOS'!$B$8:$BC$10041,54,0)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hidden="1" x14ac:dyDescent="0.2">
      <c r="B3101" s="31">
        <v>3092</v>
      </c>
      <c r="J3101">
        <f t="shared" si="53"/>
        <v>105000</v>
      </c>
      <c r="K3101" t="e">
        <f>VLOOKUP(B3101,'REGISTRO ABONOS'!$B$8:$BC$10041,54,0)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hidden="1" x14ac:dyDescent="0.2">
      <c r="B3102" s="31">
        <v>3093</v>
      </c>
      <c r="J3102">
        <f t="shared" si="53"/>
        <v>105000</v>
      </c>
      <c r="K3102" t="e">
        <f>VLOOKUP(B3102,'REGISTRO ABONOS'!$B$8:$BC$10041,54,0)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hidden="1" x14ac:dyDescent="0.2">
      <c r="B3103" s="31">
        <v>3094</v>
      </c>
      <c r="J3103">
        <f t="shared" si="53"/>
        <v>105000</v>
      </c>
      <c r="K3103" t="e">
        <f>VLOOKUP(B3103,'REGISTRO ABONOS'!$B$8:$BC$10041,54,0)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hidden="1" x14ac:dyDescent="0.2">
      <c r="B3104" s="31">
        <v>3095</v>
      </c>
      <c r="J3104">
        <f t="shared" si="53"/>
        <v>105000</v>
      </c>
      <c r="K3104" t="e">
        <f>VLOOKUP(B3104,'REGISTRO ABONOS'!$B$8:$BC$10041,54,0)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hidden="1" x14ac:dyDescent="0.2">
      <c r="B3105" s="31">
        <v>3096</v>
      </c>
      <c r="J3105">
        <f t="shared" si="53"/>
        <v>105000</v>
      </c>
      <c r="K3105" t="e">
        <f>VLOOKUP(B3105,'REGISTRO ABONOS'!$B$8:$BC$10041,54,0)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hidden="1" x14ac:dyDescent="0.2">
      <c r="B3106" s="31">
        <v>3097</v>
      </c>
      <c r="J3106">
        <f t="shared" si="53"/>
        <v>105000</v>
      </c>
      <c r="K3106" t="e">
        <f>VLOOKUP(B3106,'REGISTRO ABONOS'!$B$8:$BC$10041,54,0)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hidden="1" x14ac:dyDescent="0.2">
      <c r="B3107" s="31">
        <v>3098</v>
      </c>
      <c r="J3107">
        <f t="shared" si="53"/>
        <v>105000</v>
      </c>
      <c r="K3107" t="e">
        <f>VLOOKUP(B3107,'REGISTRO ABONOS'!$B$8:$BC$10041,54,0)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hidden="1" x14ac:dyDescent="0.2">
      <c r="B3108" s="31">
        <v>3099</v>
      </c>
      <c r="J3108">
        <f t="shared" si="53"/>
        <v>105000</v>
      </c>
      <c r="K3108" t="e">
        <f>VLOOKUP(B3108,'REGISTRO ABONOS'!$B$8:$BC$10041,54,0)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hidden="1" x14ac:dyDescent="0.2">
      <c r="B3109" s="31">
        <v>3100</v>
      </c>
      <c r="J3109">
        <f t="shared" si="53"/>
        <v>105000</v>
      </c>
      <c r="K3109" t="e">
        <f>VLOOKUP(B3109,'REGISTRO ABONOS'!$B$8:$BC$10041,54,0)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hidden="1" x14ac:dyDescent="0.2">
      <c r="B3110" s="31">
        <v>3101</v>
      </c>
      <c r="J3110">
        <f t="shared" si="53"/>
        <v>105000</v>
      </c>
      <c r="K3110" t="e">
        <f>VLOOKUP(B3110,'REGISTRO ABONOS'!$B$8:$BC$10041,54,0)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hidden="1" x14ac:dyDescent="0.2">
      <c r="B3111" s="31">
        <v>3102</v>
      </c>
      <c r="J3111">
        <f t="shared" si="53"/>
        <v>105000</v>
      </c>
      <c r="K3111" t="e">
        <f>VLOOKUP(B3111,'REGISTRO ABONOS'!$B$8:$BC$10041,54,0)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hidden="1" x14ac:dyDescent="0.2">
      <c r="B3112" s="31">
        <v>3103</v>
      </c>
      <c r="J3112">
        <f t="shared" si="53"/>
        <v>105000</v>
      </c>
      <c r="K3112" t="e">
        <f>VLOOKUP(B3112,'REGISTRO ABONOS'!$B$8:$BC$10041,54,0)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hidden="1" x14ac:dyDescent="0.2">
      <c r="B3113" s="31">
        <v>3104</v>
      </c>
      <c r="J3113">
        <f t="shared" si="53"/>
        <v>105000</v>
      </c>
      <c r="K3113" t="e">
        <f>VLOOKUP(B3113,'REGISTRO ABONOS'!$B$8:$BC$10041,54,0)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hidden="1" x14ac:dyDescent="0.2">
      <c r="B3114" s="31">
        <v>3105</v>
      </c>
      <c r="J3114">
        <f t="shared" si="53"/>
        <v>105000</v>
      </c>
      <c r="K3114" t="e">
        <f>VLOOKUP(B3114,'REGISTRO ABONOS'!$B$8:$BC$10041,54,0)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hidden="1" x14ac:dyDescent="0.2">
      <c r="B3115" s="31">
        <v>3106</v>
      </c>
      <c r="J3115">
        <f t="shared" si="53"/>
        <v>105000</v>
      </c>
      <c r="K3115" t="e">
        <f>VLOOKUP(B3115,'REGISTRO ABONOS'!$B$8:$BC$10041,54,0)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hidden="1" x14ac:dyDescent="0.2">
      <c r="B3116" s="31">
        <v>3107</v>
      </c>
      <c r="J3116">
        <f t="shared" si="53"/>
        <v>105000</v>
      </c>
      <c r="K3116" t="e">
        <f>VLOOKUP(B3116,'REGISTRO ABONOS'!$B$8:$BC$10041,54,0)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3"/>
        <v>105000</v>
      </c>
      <c r="K3117" t="e">
        <f>VLOOKUP(B3117,'REGISTRO ABONOS'!$B$8:$BC$10041,54,0)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hidden="1" x14ac:dyDescent="0.2">
      <c r="B3118" s="31">
        <v>3109</v>
      </c>
      <c r="J3118">
        <f t="shared" si="53"/>
        <v>105000</v>
      </c>
      <c r="K3118" t="e">
        <f>VLOOKUP(B3118,'REGISTRO ABONOS'!$B$8:$BC$10041,54,0)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hidden="1" x14ac:dyDescent="0.2">
      <c r="B3119" s="31">
        <v>3110</v>
      </c>
      <c r="J3119">
        <f t="shared" si="53"/>
        <v>105000</v>
      </c>
      <c r="K3119" t="e">
        <f>VLOOKUP(B3119,'REGISTRO ABONOS'!$B$8:$BC$10041,54,0)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hidden="1" x14ac:dyDescent="0.2">
      <c r="B3120" s="31">
        <v>3111</v>
      </c>
      <c r="J3120">
        <f t="shared" si="53"/>
        <v>105000</v>
      </c>
      <c r="K3120" t="e">
        <f>VLOOKUP(B3120,'REGISTRO ABONOS'!$B$8:$BC$10041,54,0)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hidden="1" x14ac:dyDescent="0.2">
      <c r="B3121" s="31">
        <v>3112</v>
      </c>
      <c r="J3121">
        <f t="shared" si="53"/>
        <v>105000</v>
      </c>
      <c r="K3121" t="e">
        <f>VLOOKUP(B3121,'REGISTRO ABONOS'!$B$8:$BC$10041,54,0)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hidden="1" x14ac:dyDescent="0.2">
      <c r="B3122" s="31">
        <v>3113</v>
      </c>
      <c r="J3122">
        <f t="shared" si="53"/>
        <v>105000</v>
      </c>
      <c r="K3122" t="e">
        <f>VLOOKUP(B3122,'REGISTRO ABONOS'!$B$8:$BC$10041,54,0)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hidden="1" x14ac:dyDescent="0.2">
      <c r="B3123" s="31">
        <v>3114</v>
      </c>
      <c r="J3123">
        <f t="shared" si="53"/>
        <v>105000</v>
      </c>
      <c r="K3123" t="e">
        <f>VLOOKUP(B3123,'REGISTRO ABONOS'!$B$8:$BC$10041,54,0)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hidden="1" x14ac:dyDescent="0.2">
      <c r="B3124" s="31">
        <v>3115</v>
      </c>
      <c r="J3124">
        <f t="shared" si="53"/>
        <v>105000</v>
      </c>
      <c r="K3124" t="e">
        <f>VLOOKUP(B3124,'REGISTRO ABONOS'!$B$8:$BC$10041,54,0)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hidden="1" x14ac:dyDescent="0.2">
      <c r="B3125" s="31">
        <v>3116</v>
      </c>
      <c r="J3125">
        <f t="shared" si="53"/>
        <v>105000</v>
      </c>
      <c r="K3125" t="e">
        <f>VLOOKUP(B3125,'REGISTRO ABONOS'!$B$8:$BC$10041,54,0)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hidden="1" x14ac:dyDescent="0.2">
      <c r="B3126" s="31">
        <v>3117</v>
      </c>
      <c r="J3126">
        <f t="shared" si="53"/>
        <v>105000</v>
      </c>
      <c r="K3126" t="e">
        <f>VLOOKUP(B3126,'REGISTRO ABONOS'!$B$8:$BC$10041,54,0)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3"/>
        <v>105000</v>
      </c>
      <c r="K3127">
        <f>VLOOKUP(B3127,'REGISTRO ABONOS'!$B$8:$BC$10041,54,0)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hidden="1" x14ac:dyDescent="0.2">
      <c r="B3128" s="31">
        <v>3119</v>
      </c>
      <c r="J3128">
        <f t="shared" si="53"/>
        <v>105000</v>
      </c>
      <c r="K3128" t="e">
        <f>VLOOKUP(B3128,'REGISTRO ABONOS'!$B$8:$BC$10041,54,0)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hidden="1" x14ac:dyDescent="0.2">
      <c r="B3129" s="31">
        <v>3120</v>
      </c>
      <c r="J3129">
        <f t="shared" si="53"/>
        <v>105000</v>
      </c>
      <c r="K3129" t="e">
        <f>VLOOKUP(B3129,'REGISTRO ABONOS'!$B$8:$BC$10041,54,0)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hidden="1" x14ac:dyDescent="0.2">
      <c r="B3130" s="31">
        <v>3121</v>
      </c>
      <c r="J3130">
        <f t="shared" si="53"/>
        <v>105000</v>
      </c>
      <c r="K3130" t="e">
        <f>VLOOKUP(B3130,'REGISTRO ABONOS'!$B$8:$BC$10041,54,0)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hidden="1" x14ac:dyDescent="0.2">
      <c r="B3131" s="31">
        <v>3122</v>
      </c>
      <c r="J3131">
        <f t="shared" si="53"/>
        <v>105000</v>
      </c>
      <c r="K3131" t="e">
        <f>VLOOKUP(B3131,'REGISTRO ABONOS'!$B$8:$BC$10041,54,0)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hidden="1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ABONOS'!$B$8:$BC$10041,54,0)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hidden="1" x14ac:dyDescent="0.2">
      <c r="B3133" s="31">
        <v>3124</v>
      </c>
      <c r="J3133">
        <f t="shared" si="54"/>
        <v>105000</v>
      </c>
      <c r="K3133" t="e">
        <f>VLOOKUP(B3133,'REGISTRO ABONOS'!$B$8:$BC$10041,54,0)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hidden="1" x14ac:dyDescent="0.2">
      <c r="B3134" s="31">
        <v>3125</v>
      </c>
      <c r="J3134">
        <f t="shared" si="54"/>
        <v>105000</v>
      </c>
      <c r="K3134" t="e">
        <f>VLOOKUP(B3134,'REGISTRO ABONOS'!$B$8:$BC$10041,54,0)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hidden="1" x14ac:dyDescent="0.2">
      <c r="B3135" s="31">
        <v>3126</v>
      </c>
      <c r="J3135">
        <f t="shared" si="54"/>
        <v>105000</v>
      </c>
      <c r="K3135" t="e">
        <f>VLOOKUP(B3135,'REGISTRO ABONOS'!$B$8:$BC$10041,54,0)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hidden="1" x14ac:dyDescent="0.2">
      <c r="B3136" s="31">
        <v>3127</v>
      </c>
      <c r="J3136">
        <f t="shared" si="54"/>
        <v>105000</v>
      </c>
      <c r="K3136" t="e">
        <f>VLOOKUP(B3136,'REGISTRO ABONOS'!$B$8:$BC$10041,54,0)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hidden="1" x14ac:dyDescent="0.2">
      <c r="B3137" s="31">
        <v>3128</v>
      </c>
      <c r="J3137">
        <f t="shared" si="54"/>
        <v>105000</v>
      </c>
      <c r="K3137" t="e">
        <f>VLOOKUP(B3137,'REGISTRO ABONOS'!$B$8:$BC$10041,54,0)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hidden="1" x14ac:dyDescent="0.2">
      <c r="B3138" s="31">
        <v>3129</v>
      </c>
      <c r="J3138">
        <f t="shared" si="54"/>
        <v>105000</v>
      </c>
      <c r="K3138" t="e">
        <f>VLOOKUP(B3138,'REGISTRO ABONOS'!$B$8:$BC$10041,54,0)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hidden="1" x14ac:dyDescent="0.2">
      <c r="B3139" s="31">
        <v>3130</v>
      </c>
      <c r="J3139">
        <f t="shared" si="54"/>
        <v>105000</v>
      </c>
      <c r="K3139" t="e">
        <f>VLOOKUP(B3139,'REGISTRO ABONOS'!$B$8:$BC$10041,54,0)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hidden="1" x14ac:dyDescent="0.2">
      <c r="B3140" s="31">
        <v>3131</v>
      </c>
      <c r="J3140">
        <f t="shared" si="54"/>
        <v>105000</v>
      </c>
      <c r="K3140" t="e">
        <f>VLOOKUP(B3140,'REGISTRO ABONOS'!$B$8:$BC$10041,54,0)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hidden="1" x14ac:dyDescent="0.2">
      <c r="B3141" s="31">
        <v>3132</v>
      </c>
      <c r="J3141">
        <f t="shared" si="54"/>
        <v>105000</v>
      </c>
      <c r="K3141" t="e">
        <f>VLOOKUP(B3141,'REGISTRO ABONOS'!$B$8:$BC$10041,54,0)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hidden="1" x14ac:dyDescent="0.2">
      <c r="B3142" s="31">
        <v>3133</v>
      </c>
      <c r="J3142">
        <f t="shared" si="54"/>
        <v>105000</v>
      </c>
      <c r="K3142" t="e">
        <f>VLOOKUP(B3142,'REGISTRO ABONOS'!$B$8:$BC$10041,54,0)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hidden="1" x14ac:dyDescent="0.2">
      <c r="B3143" s="31">
        <v>3134</v>
      </c>
      <c r="J3143">
        <f t="shared" si="54"/>
        <v>105000</v>
      </c>
      <c r="K3143" t="e">
        <f>VLOOKUP(B3143,'REGISTRO ABONOS'!$B$8:$BC$10041,54,0)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hidden="1" x14ac:dyDescent="0.2">
      <c r="B3144" s="31">
        <v>3135</v>
      </c>
      <c r="J3144">
        <f t="shared" si="54"/>
        <v>105000</v>
      </c>
      <c r="K3144" t="e">
        <f>VLOOKUP(B3144,'REGISTRO ABONOS'!$B$8:$BC$10041,54,0)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hidden="1" x14ac:dyDescent="0.2">
      <c r="B3145" s="31">
        <v>3136</v>
      </c>
      <c r="C3145" s="10">
        <v>43565</v>
      </c>
      <c r="D3145" t="s">
        <v>498</v>
      </c>
      <c r="H3145" t="s">
        <v>498</v>
      </c>
      <c r="I3145" t="s">
        <v>99</v>
      </c>
      <c r="J3145">
        <f t="shared" si="54"/>
        <v>105000</v>
      </c>
      <c r="K3145">
        <f>VLOOKUP(B3145,'REGISTRO ABONOS'!$B$8:$BC$10041,54,0)</f>
        <v>55000</v>
      </c>
      <c r="L3145" t="str">
        <f>IF(Tabla26[[#This Row],[VALOR RESTANTE]]&lt;Tabla26[[#This Row],[VALOR]],"NO DISPONIBLE","DISPONIBLE")</f>
        <v>NO DISPONIBLE</v>
      </c>
      <c r="M3145" s="9">
        <f>COUNTIF(Tabla26[[#This Row],[VALOR RESTANTE]],0)</f>
        <v>0</v>
      </c>
    </row>
    <row r="3146" spans="2:13" hidden="1" x14ac:dyDescent="0.2">
      <c r="B3146" s="31">
        <v>3137</v>
      </c>
      <c r="J3146">
        <f t="shared" si="54"/>
        <v>105000</v>
      </c>
      <c r="K3146" t="e">
        <f>VLOOKUP(B3146,'REGISTRO ABONOS'!$B$8:$BC$10041,54,0)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hidden="1" x14ac:dyDescent="0.2">
      <c r="B3147" s="31">
        <v>3138</v>
      </c>
      <c r="J3147">
        <f t="shared" si="54"/>
        <v>105000</v>
      </c>
      <c r="K3147" t="e">
        <f>VLOOKUP(B3147,'REGISTRO ABONOS'!$B$8:$BC$10041,54,0)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hidden="1" x14ac:dyDescent="0.2">
      <c r="B3148" s="31">
        <v>3139</v>
      </c>
      <c r="J3148">
        <f t="shared" si="54"/>
        <v>105000</v>
      </c>
      <c r="K3148" t="e">
        <f>VLOOKUP(B3148,'REGISTRO ABONOS'!$B$8:$BC$10041,54,0)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hidden="1" x14ac:dyDescent="0.2">
      <c r="B3149" s="31">
        <v>3140</v>
      </c>
      <c r="J3149">
        <f t="shared" si="54"/>
        <v>105000</v>
      </c>
      <c r="K3149" t="e">
        <f>VLOOKUP(B3149,'REGISTRO ABONOS'!$B$8:$BC$10041,54,0)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hidden="1" x14ac:dyDescent="0.2">
      <c r="B3150" s="31">
        <v>3141</v>
      </c>
      <c r="J3150">
        <f t="shared" si="54"/>
        <v>105000</v>
      </c>
      <c r="K3150" t="e">
        <f>VLOOKUP(B3150,'REGISTRO ABONOS'!$B$8:$BC$10041,54,0)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hidden="1" x14ac:dyDescent="0.2">
      <c r="B3151" s="31">
        <v>3142</v>
      </c>
      <c r="J3151">
        <f t="shared" si="54"/>
        <v>105000</v>
      </c>
      <c r="K3151" t="e">
        <f>VLOOKUP(B3151,'REGISTRO ABONOS'!$B$8:$BC$10041,54,0)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hidden="1" x14ac:dyDescent="0.2">
      <c r="B3152" s="31">
        <v>3143</v>
      </c>
      <c r="J3152">
        <f t="shared" si="54"/>
        <v>105000</v>
      </c>
      <c r="K3152" t="e">
        <f>VLOOKUP(B3152,'REGISTRO ABONOS'!$B$8:$BC$10041,54,0)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hidden="1" x14ac:dyDescent="0.2">
      <c r="B3153" s="31">
        <v>3144</v>
      </c>
      <c r="C3153" s="10">
        <v>43571</v>
      </c>
      <c r="D3153" t="s">
        <v>515</v>
      </c>
      <c r="H3153" t="s">
        <v>515</v>
      </c>
      <c r="I3153" t="s">
        <v>322</v>
      </c>
      <c r="J3153">
        <f t="shared" si="54"/>
        <v>105000</v>
      </c>
      <c r="K3153" t="e">
        <f>VLOOKUP(B3153,'REGISTRO ABONOS'!$B$8:$BC$10041,54,0)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hidden="1" x14ac:dyDescent="0.2">
      <c r="B3154" s="31">
        <v>3145</v>
      </c>
      <c r="J3154">
        <f t="shared" si="54"/>
        <v>105000</v>
      </c>
      <c r="K3154" t="e">
        <f>VLOOKUP(B3154,'REGISTRO ABONOS'!$B$8:$BC$10041,54,0)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hidden="1" x14ac:dyDescent="0.2">
      <c r="B3155" s="31">
        <v>3146</v>
      </c>
      <c r="J3155">
        <f t="shared" si="54"/>
        <v>105000</v>
      </c>
      <c r="K3155" t="e">
        <f>VLOOKUP(B3155,'REGISTRO ABONOS'!$B$8:$BC$10041,54,0)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hidden="1" x14ac:dyDescent="0.2">
      <c r="B3156" s="31">
        <v>3147</v>
      </c>
      <c r="J3156">
        <f t="shared" si="54"/>
        <v>105000</v>
      </c>
      <c r="K3156" t="e">
        <f>VLOOKUP(B3156,'REGISTRO ABONOS'!$B$8:$BC$10041,54,0)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hidden="1" x14ac:dyDescent="0.2">
      <c r="B3157" s="31">
        <v>3148</v>
      </c>
      <c r="J3157">
        <f t="shared" si="54"/>
        <v>105000</v>
      </c>
      <c r="K3157" t="e">
        <f>VLOOKUP(B3157,'REGISTRO ABONOS'!$B$8:$BC$10041,54,0)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hidden="1" x14ac:dyDescent="0.2">
      <c r="B3158" s="31">
        <v>3149</v>
      </c>
      <c r="J3158">
        <f t="shared" si="54"/>
        <v>105000</v>
      </c>
      <c r="K3158" t="e">
        <f>VLOOKUP(B3158,'REGISTRO ABONOS'!$B$8:$BC$10041,54,0)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hidden="1" x14ac:dyDescent="0.2">
      <c r="B3159" s="31">
        <v>3150</v>
      </c>
      <c r="J3159">
        <f t="shared" si="54"/>
        <v>105000</v>
      </c>
      <c r="K3159" t="e">
        <f>VLOOKUP(B3159,'REGISTRO ABONOS'!$B$8:$BC$10041,54,0)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hidden="1" x14ac:dyDescent="0.2">
      <c r="B3160" s="31">
        <v>3151</v>
      </c>
      <c r="J3160">
        <f t="shared" si="54"/>
        <v>105000</v>
      </c>
      <c r="K3160" t="e">
        <f>VLOOKUP(B3160,'REGISTRO ABONOS'!$B$8:$BC$10041,54,0)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hidden="1" x14ac:dyDescent="0.2">
      <c r="B3161" s="31">
        <v>3152</v>
      </c>
      <c r="J3161">
        <f t="shared" si="54"/>
        <v>105000</v>
      </c>
      <c r="K3161" t="e">
        <f>VLOOKUP(B3161,'REGISTRO ABONOS'!$B$8:$BC$10041,54,0)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hidden="1" x14ac:dyDescent="0.2">
      <c r="B3162" s="31">
        <v>3153</v>
      </c>
      <c r="J3162">
        <f t="shared" si="54"/>
        <v>105000</v>
      </c>
      <c r="K3162" t="e">
        <f>VLOOKUP(B3162,'REGISTRO ABONOS'!$B$8:$BC$10041,54,0)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hidden="1" x14ac:dyDescent="0.2">
      <c r="B3163" s="31">
        <v>3154</v>
      </c>
      <c r="J3163">
        <f t="shared" si="54"/>
        <v>105000</v>
      </c>
      <c r="K3163" t="e">
        <f>VLOOKUP(B3163,'REGISTRO ABONOS'!$B$8:$BC$10041,54,0)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hidden="1" x14ac:dyDescent="0.2">
      <c r="B3164" s="31">
        <v>3155</v>
      </c>
      <c r="C3164" s="10">
        <v>43571</v>
      </c>
      <c r="D3164" t="s">
        <v>519</v>
      </c>
      <c r="H3164" t="s">
        <v>519</v>
      </c>
      <c r="I3164" t="s">
        <v>322</v>
      </c>
      <c r="J3164">
        <f t="shared" si="54"/>
        <v>105000</v>
      </c>
      <c r="K3164" t="e">
        <f>VLOOKUP(B3164,'REGISTRO ABONOS'!$B$8:$BC$10041,54,0)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hidden="1" x14ac:dyDescent="0.2">
      <c r="B3165" s="31">
        <v>3156</v>
      </c>
      <c r="J3165">
        <f t="shared" si="54"/>
        <v>105000</v>
      </c>
      <c r="K3165" t="e">
        <f>VLOOKUP(B3165,'REGISTRO ABONOS'!$B$8:$BC$10041,54,0)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hidden="1" x14ac:dyDescent="0.2">
      <c r="B3166" s="31">
        <v>3157</v>
      </c>
      <c r="J3166">
        <f t="shared" si="54"/>
        <v>105000</v>
      </c>
      <c r="K3166" t="e">
        <f>VLOOKUP(B3166,'REGISTRO ABONOS'!$B$8:$BC$10041,54,0)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hidden="1" x14ac:dyDescent="0.2">
      <c r="B3167" s="31">
        <v>3158</v>
      </c>
      <c r="J3167">
        <f t="shared" si="54"/>
        <v>105000</v>
      </c>
      <c r="K3167" t="e">
        <f>VLOOKUP(B3167,'REGISTRO ABONOS'!$B$8:$BC$10041,54,0)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hidden="1" x14ac:dyDescent="0.2">
      <c r="B3168" s="31">
        <v>3159</v>
      </c>
      <c r="J3168">
        <f t="shared" si="54"/>
        <v>105000</v>
      </c>
      <c r="K3168" t="e">
        <f>VLOOKUP(B3168,'REGISTRO ABONOS'!$B$8:$BC$10041,54,0)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hidden="1" x14ac:dyDescent="0.2">
      <c r="B3169" s="31">
        <v>3160</v>
      </c>
      <c r="J3169">
        <f t="shared" si="54"/>
        <v>105000</v>
      </c>
      <c r="K3169" t="e">
        <f>VLOOKUP(B3169,'REGISTRO ABONOS'!$B$8:$BC$10041,54,0)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hidden="1" x14ac:dyDescent="0.2">
      <c r="B3170" s="31">
        <v>3161</v>
      </c>
      <c r="J3170">
        <f t="shared" si="54"/>
        <v>105000</v>
      </c>
      <c r="K3170" t="e">
        <f>VLOOKUP(B3170,'REGISTRO ABONOS'!$B$8:$BC$10041,54,0)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hidden="1" x14ac:dyDescent="0.2">
      <c r="B3171" s="31">
        <v>3162</v>
      </c>
      <c r="J3171">
        <f t="shared" si="54"/>
        <v>105000</v>
      </c>
      <c r="K3171" t="e">
        <f>VLOOKUP(B3171,'REGISTRO ABONOS'!$B$8:$BC$10041,54,0)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hidden="1" x14ac:dyDescent="0.2">
      <c r="B3172" s="31">
        <v>3163</v>
      </c>
      <c r="J3172">
        <f t="shared" si="54"/>
        <v>105000</v>
      </c>
      <c r="K3172" t="e">
        <f>VLOOKUP(B3172,'REGISTRO ABONOS'!$B$8:$BC$10041,54,0)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hidden="1" x14ac:dyDescent="0.2">
      <c r="B3173" s="31">
        <v>3164</v>
      </c>
      <c r="J3173">
        <f t="shared" si="54"/>
        <v>105000</v>
      </c>
      <c r="K3173" t="e">
        <f>VLOOKUP(B3173,'REGISTRO ABONOS'!$B$8:$BC$10041,54,0)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hidden="1" x14ac:dyDescent="0.2">
      <c r="B3174" s="31">
        <v>3165</v>
      </c>
      <c r="J3174">
        <f t="shared" si="54"/>
        <v>105000</v>
      </c>
      <c r="K3174" t="e">
        <f>VLOOKUP(B3174,'REGISTRO ABONOS'!$B$8:$BC$10041,54,0)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hidden="1" x14ac:dyDescent="0.2">
      <c r="B3175" s="31">
        <v>3166</v>
      </c>
      <c r="J3175">
        <f t="shared" si="54"/>
        <v>105000</v>
      </c>
      <c r="K3175" t="e">
        <f>VLOOKUP(B3175,'REGISTRO ABONOS'!$B$8:$BC$10041,54,0)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hidden="1" x14ac:dyDescent="0.2">
      <c r="B3176" s="31">
        <v>3167</v>
      </c>
      <c r="J3176">
        <f t="shared" si="54"/>
        <v>105000</v>
      </c>
      <c r="K3176" t="e">
        <f>VLOOKUP(B3176,'REGISTRO ABONOS'!$B$8:$BC$10041,54,0)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hidden="1" x14ac:dyDescent="0.2">
      <c r="B3177" s="31">
        <v>3168</v>
      </c>
      <c r="J3177">
        <f t="shared" si="54"/>
        <v>105000</v>
      </c>
      <c r="K3177" t="e">
        <f>VLOOKUP(B3177,'REGISTRO ABONOS'!$B$8:$BC$10041,54,0)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hidden="1" x14ac:dyDescent="0.2">
      <c r="B3178" s="31">
        <v>3169</v>
      </c>
      <c r="J3178">
        <f t="shared" si="54"/>
        <v>105000</v>
      </c>
      <c r="K3178" t="e">
        <f>VLOOKUP(B3178,'REGISTRO ABONOS'!$B$8:$BC$10041,54,0)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hidden="1" x14ac:dyDescent="0.2">
      <c r="B3179" s="31">
        <v>3170</v>
      </c>
      <c r="J3179">
        <f t="shared" si="54"/>
        <v>105000</v>
      </c>
      <c r="K3179" t="e">
        <f>VLOOKUP(B3179,'REGISTRO ABONOS'!$B$8:$BC$10041,54,0)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hidden="1" x14ac:dyDescent="0.2">
      <c r="B3180" s="31">
        <v>3171</v>
      </c>
      <c r="J3180">
        <f t="shared" si="54"/>
        <v>105000</v>
      </c>
      <c r="K3180" t="e">
        <f>VLOOKUP(B3180,'REGISTRO ABONOS'!$B$8:$BC$10041,54,0)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hidden="1" x14ac:dyDescent="0.2">
      <c r="B3181" s="31">
        <v>3172</v>
      </c>
      <c r="J3181">
        <f t="shared" si="54"/>
        <v>105000</v>
      </c>
      <c r="K3181" t="e">
        <f>VLOOKUP(B3181,'REGISTRO ABONOS'!$B$8:$BC$10041,54,0)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hidden="1" x14ac:dyDescent="0.2">
      <c r="B3182" s="31">
        <v>3173</v>
      </c>
      <c r="J3182">
        <f t="shared" si="54"/>
        <v>105000</v>
      </c>
      <c r="K3182" t="e">
        <f>VLOOKUP(B3182,'REGISTRO ABONOS'!$B$8:$BC$10041,54,0)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hidden="1" x14ac:dyDescent="0.2">
      <c r="B3183" s="31">
        <v>3174</v>
      </c>
      <c r="J3183">
        <f t="shared" si="54"/>
        <v>105000</v>
      </c>
      <c r="K3183" t="e">
        <f>VLOOKUP(B3183,'REGISTRO ABONOS'!$B$8:$BC$10041,54,0)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hidden="1" x14ac:dyDescent="0.2">
      <c r="B3184" s="31">
        <v>3175</v>
      </c>
      <c r="J3184">
        <f t="shared" si="54"/>
        <v>105000</v>
      </c>
      <c r="K3184" t="e">
        <f>VLOOKUP(B3184,'REGISTRO ABONOS'!$B$8:$BC$10041,54,0)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hidden="1" x14ac:dyDescent="0.2">
      <c r="B3185" s="31">
        <v>3176</v>
      </c>
      <c r="J3185">
        <f t="shared" si="54"/>
        <v>105000</v>
      </c>
      <c r="K3185" t="e">
        <f>VLOOKUP(B3185,'REGISTRO ABONOS'!$B$8:$BC$10041,54,0)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hidden="1" x14ac:dyDescent="0.2">
      <c r="B3186" s="31">
        <v>3177</v>
      </c>
      <c r="J3186">
        <f t="shared" si="54"/>
        <v>105000</v>
      </c>
      <c r="K3186" t="e">
        <f>VLOOKUP(B3186,'REGISTRO ABONOS'!$B$8:$BC$10041,54,0)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hidden="1" x14ac:dyDescent="0.2">
      <c r="B3187" s="31">
        <v>3178</v>
      </c>
      <c r="J3187">
        <f t="shared" si="54"/>
        <v>105000</v>
      </c>
      <c r="K3187" t="e">
        <f>VLOOKUP(B3187,'REGISTRO ABONOS'!$B$8:$BC$10041,54,0)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hidden="1" x14ac:dyDescent="0.2">
      <c r="B3188" s="31">
        <v>3179</v>
      </c>
      <c r="J3188">
        <f t="shared" si="54"/>
        <v>105000</v>
      </c>
      <c r="K3188" t="e">
        <f>VLOOKUP(B3188,'REGISTRO ABONOS'!$B$8:$BC$10041,54,0)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hidden="1" x14ac:dyDescent="0.2">
      <c r="B3189" s="31">
        <v>3180</v>
      </c>
      <c r="J3189">
        <f t="shared" si="54"/>
        <v>105000</v>
      </c>
      <c r="K3189" t="e">
        <f>VLOOKUP(B3189,'REGISTRO ABONOS'!$B$8:$BC$10041,54,0)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hidden="1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ABONOS'!$B$8:$BC$10041,54,0)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hidden="1" x14ac:dyDescent="0.2">
      <c r="B3191" s="31">
        <v>3182</v>
      </c>
      <c r="J3191">
        <f t="shared" si="55"/>
        <v>105000</v>
      </c>
      <c r="K3191" t="e">
        <f>VLOOKUP(B3191,'REGISTRO ABONOS'!$B$8:$BC$10041,54,0)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hidden="1" x14ac:dyDescent="0.2">
      <c r="B3192" s="31">
        <v>3183</v>
      </c>
      <c r="J3192">
        <f t="shared" si="55"/>
        <v>105000</v>
      </c>
      <c r="K3192" t="e">
        <f>VLOOKUP(B3192,'REGISTRO ABONOS'!$B$8:$BC$10041,54,0)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hidden="1" x14ac:dyDescent="0.2">
      <c r="B3193" s="31">
        <v>3184</v>
      </c>
      <c r="J3193">
        <f t="shared" si="55"/>
        <v>105000</v>
      </c>
      <c r="K3193" t="e">
        <f>VLOOKUP(B3193,'REGISTRO ABONOS'!$B$8:$BC$10041,54,0)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hidden="1" x14ac:dyDescent="0.2">
      <c r="B3194" s="31">
        <v>3185</v>
      </c>
      <c r="J3194">
        <f t="shared" si="55"/>
        <v>105000</v>
      </c>
      <c r="K3194" t="e">
        <f>VLOOKUP(B3194,'REGISTRO ABONOS'!$B$8:$BC$10041,54,0)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hidden="1" x14ac:dyDescent="0.2">
      <c r="B3195" s="31">
        <v>3186</v>
      </c>
      <c r="J3195">
        <f t="shared" si="55"/>
        <v>105000</v>
      </c>
      <c r="K3195" t="e">
        <f>VLOOKUP(B3195,'REGISTRO ABONOS'!$B$8:$BC$10041,54,0)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hidden="1" x14ac:dyDescent="0.2">
      <c r="B3196" s="31">
        <v>3187</v>
      </c>
      <c r="J3196">
        <f t="shared" si="55"/>
        <v>105000</v>
      </c>
      <c r="K3196" t="e">
        <f>VLOOKUP(B3196,'REGISTRO ABONOS'!$B$8:$BC$10041,54,0)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hidden="1" x14ac:dyDescent="0.2">
      <c r="B3197" s="31">
        <v>3188</v>
      </c>
      <c r="J3197">
        <f t="shared" si="55"/>
        <v>105000</v>
      </c>
      <c r="K3197" t="e">
        <f>VLOOKUP(B3197,'REGISTRO ABONOS'!$B$8:$BC$10041,54,0)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hidden="1" x14ac:dyDescent="0.2">
      <c r="B3198" s="31">
        <v>3189</v>
      </c>
      <c r="J3198">
        <f t="shared" si="55"/>
        <v>105000</v>
      </c>
      <c r="K3198" t="e">
        <f>VLOOKUP(B3198,'REGISTRO ABONOS'!$B$8:$BC$10041,54,0)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hidden="1" x14ac:dyDescent="0.2">
      <c r="B3199" s="31">
        <v>3190</v>
      </c>
      <c r="J3199">
        <f t="shared" si="55"/>
        <v>105000</v>
      </c>
      <c r="K3199" t="e">
        <f>VLOOKUP(B3199,'REGISTRO ABONOS'!$B$8:$BC$10041,54,0)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hidden="1" x14ac:dyDescent="0.2">
      <c r="B3200" s="31">
        <v>3191</v>
      </c>
      <c r="J3200">
        <f t="shared" si="55"/>
        <v>105000</v>
      </c>
      <c r="K3200" t="e">
        <f>VLOOKUP(B3200,'REGISTRO ABONOS'!$B$8:$BC$10041,54,0)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hidden="1" x14ac:dyDescent="0.2">
      <c r="B3201" s="31">
        <v>3192</v>
      </c>
      <c r="J3201">
        <f t="shared" si="55"/>
        <v>105000</v>
      </c>
      <c r="K3201" t="e">
        <f>VLOOKUP(B3201,'REGISTRO ABONOS'!$B$8:$BC$10041,54,0)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hidden="1" x14ac:dyDescent="0.2">
      <c r="B3202" s="31">
        <v>3193</v>
      </c>
      <c r="J3202">
        <f t="shared" si="55"/>
        <v>105000</v>
      </c>
      <c r="K3202" t="e">
        <f>VLOOKUP(B3202,'REGISTRO ABONOS'!$B$8:$BC$10041,54,0)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hidden="1" x14ac:dyDescent="0.2">
      <c r="B3203" s="31">
        <v>3194</v>
      </c>
      <c r="J3203">
        <f t="shared" si="55"/>
        <v>105000</v>
      </c>
      <c r="K3203" t="e">
        <f>VLOOKUP(B3203,'REGISTRO ABONOS'!$B$8:$BC$10041,54,0)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hidden="1" x14ac:dyDescent="0.2">
      <c r="B3204" s="31">
        <v>3195</v>
      </c>
      <c r="J3204">
        <f t="shared" si="55"/>
        <v>105000</v>
      </c>
      <c r="K3204" t="e">
        <f>VLOOKUP(B3204,'REGISTRO ABONOS'!$B$8:$BC$10041,54,0)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hidden="1" x14ac:dyDescent="0.2">
      <c r="B3205" s="31">
        <v>3196</v>
      </c>
      <c r="J3205">
        <f t="shared" si="55"/>
        <v>105000</v>
      </c>
      <c r="K3205" t="e">
        <f>VLOOKUP(B3205,'REGISTRO ABONOS'!$B$8:$BC$10041,54,0)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hidden="1" x14ac:dyDescent="0.2">
      <c r="B3206" s="31">
        <v>3197</v>
      </c>
      <c r="J3206">
        <f t="shared" si="55"/>
        <v>105000</v>
      </c>
      <c r="K3206" t="e">
        <f>VLOOKUP(B3206,'REGISTRO ABONOS'!$B$8:$BC$10041,54,0)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hidden="1" x14ac:dyDescent="0.2">
      <c r="B3207" s="31">
        <v>3198</v>
      </c>
      <c r="J3207">
        <f t="shared" si="55"/>
        <v>105000</v>
      </c>
      <c r="K3207" t="e">
        <f>VLOOKUP(B3207,'REGISTRO ABONOS'!$B$8:$BC$10041,54,0)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hidden="1" x14ac:dyDescent="0.2">
      <c r="B3208" s="31">
        <v>3199</v>
      </c>
      <c r="J3208">
        <f t="shared" si="55"/>
        <v>105000</v>
      </c>
      <c r="K3208" t="e">
        <f>VLOOKUP(B3208,'REGISTRO ABONOS'!$B$8:$BC$10041,54,0)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hidden="1" x14ac:dyDescent="0.2">
      <c r="B3209" s="31">
        <v>3200</v>
      </c>
      <c r="J3209">
        <f t="shared" si="55"/>
        <v>105000</v>
      </c>
      <c r="K3209" t="e">
        <f>VLOOKUP(B3209,'REGISTRO ABONOS'!$B$8:$BC$10041,54,0)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x14ac:dyDescent="0.2">
      <c r="B3210" s="31">
        <v>3201</v>
      </c>
      <c r="C3210" s="10">
        <v>43571</v>
      </c>
      <c r="D3210" t="s">
        <v>528</v>
      </c>
      <c r="H3210" t="s">
        <v>528</v>
      </c>
      <c r="I3210" t="s">
        <v>322</v>
      </c>
      <c r="J3210">
        <f t="shared" si="55"/>
        <v>105000</v>
      </c>
      <c r="K3210" t="e">
        <f>VLOOKUP(B3210,'REGISTRO ABONOS'!$B$8:$BC$10041,54,0)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hidden="1" x14ac:dyDescent="0.2">
      <c r="B3211" s="31">
        <v>3202</v>
      </c>
      <c r="J3211">
        <f t="shared" si="55"/>
        <v>105000</v>
      </c>
      <c r="K3211" t="e">
        <f>VLOOKUP(B3211,'REGISTRO ABONOS'!$B$8:$BC$10041,54,0)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hidden="1" x14ac:dyDescent="0.2">
      <c r="B3212" s="31">
        <v>3203</v>
      </c>
      <c r="J3212">
        <f t="shared" si="55"/>
        <v>105000</v>
      </c>
      <c r="K3212" t="e">
        <f>VLOOKUP(B3212,'REGISTRO ABONOS'!$B$8:$BC$10041,54,0)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hidden="1" x14ac:dyDescent="0.2">
      <c r="B3213" s="31">
        <v>3204</v>
      </c>
      <c r="J3213">
        <f t="shared" si="55"/>
        <v>105000</v>
      </c>
      <c r="K3213" t="e">
        <f>VLOOKUP(B3213,'REGISTRO ABONOS'!$B$8:$BC$10041,54,0)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hidden="1" x14ac:dyDescent="0.2">
      <c r="B3214" s="31">
        <v>3205</v>
      </c>
      <c r="J3214">
        <f t="shared" si="55"/>
        <v>105000</v>
      </c>
      <c r="K3214" t="e">
        <f>VLOOKUP(B3214,'REGISTRO ABONOS'!$B$8:$BC$10041,54,0)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hidden="1" x14ac:dyDescent="0.2">
      <c r="B3215" s="31">
        <v>3206</v>
      </c>
      <c r="J3215">
        <f t="shared" si="55"/>
        <v>105000</v>
      </c>
      <c r="K3215" t="e">
        <f>VLOOKUP(B3215,'REGISTRO ABONOS'!$B$8:$BC$10041,54,0)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hidden="1" x14ac:dyDescent="0.2">
      <c r="B3216" s="31">
        <v>3207</v>
      </c>
      <c r="J3216">
        <f t="shared" si="55"/>
        <v>105000</v>
      </c>
      <c r="K3216" t="e">
        <f>VLOOKUP(B3216,'REGISTRO ABONOS'!$B$8:$BC$10041,54,0)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hidden="1" x14ac:dyDescent="0.2">
      <c r="B3217" s="31">
        <v>3208</v>
      </c>
      <c r="J3217">
        <f t="shared" si="55"/>
        <v>105000</v>
      </c>
      <c r="K3217" t="e">
        <f>VLOOKUP(B3217,'REGISTRO ABONOS'!$B$8:$BC$10041,54,0)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hidden="1" x14ac:dyDescent="0.2">
      <c r="B3218" s="31">
        <v>3209</v>
      </c>
      <c r="J3218">
        <f t="shared" si="55"/>
        <v>105000</v>
      </c>
      <c r="K3218" t="e">
        <f>VLOOKUP(B3218,'REGISTRO ABONOS'!$B$8:$BC$10041,54,0)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hidden="1" x14ac:dyDescent="0.2">
      <c r="B3219" s="31">
        <v>3210</v>
      </c>
      <c r="J3219">
        <f t="shared" si="55"/>
        <v>105000</v>
      </c>
      <c r="K3219" t="e">
        <f>VLOOKUP(B3219,'REGISTRO ABONOS'!$B$8:$BC$10041,54,0)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hidden="1" x14ac:dyDescent="0.2">
      <c r="B3220" s="31">
        <v>3211</v>
      </c>
      <c r="J3220">
        <f t="shared" si="55"/>
        <v>105000</v>
      </c>
      <c r="K3220" t="e">
        <f>VLOOKUP(B3220,'REGISTRO ABONOS'!$B$8:$BC$10041,54,0)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hidden="1" x14ac:dyDescent="0.2">
      <c r="B3221" s="31">
        <v>3212</v>
      </c>
      <c r="J3221">
        <f t="shared" si="55"/>
        <v>105000</v>
      </c>
      <c r="K3221" t="e">
        <f>VLOOKUP(B3221,'REGISTRO ABONOS'!$B$8:$BC$10041,54,0)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hidden="1" x14ac:dyDescent="0.2">
      <c r="B3222" s="31">
        <v>3213</v>
      </c>
      <c r="J3222">
        <f t="shared" si="55"/>
        <v>105000</v>
      </c>
      <c r="K3222" t="e">
        <f>VLOOKUP(B3222,'REGISTRO ABONOS'!$B$8:$BC$10041,54,0)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hidden="1" x14ac:dyDescent="0.2">
      <c r="B3223" s="31">
        <v>3214</v>
      </c>
      <c r="J3223">
        <f t="shared" si="55"/>
        <v>105000</v>
      </c>
      <c r="K3223" t="e">
        <f>VLOOKUP(B3223,'REGISTRO ABONOS'!$B$8:$BC$10041,54,0)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hidden="1" x14ac:dyDescent="0.2">
      <c r="B3224" s="31">
        <v>3215</v>
      </c>
      <c r="J3224">
        <f t="shared" si="55"/>
        <v>105000</v>
      </c>
      <c r="K3224" t="e">
        <f>VLOOKUP(B3224,'REGISTRO ABONOS'!$B$8:$BC$10041,54,0)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hidden="1" x14ac:dyDescent="0.2">
      <c r="B3225" s="31">
        <v>3216</v>
      </c>
      <c r="J3225">
        <f t="shared" si="55"/>
        <v>105000</v>
      </c>
      <c r="K3225" t="e">
        <f>VLOOKUP(B3225,'REGISTRO ABONOS'!$B$8:$BC$10041,54,0)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hidden="1" x14ac:dyDescent="0.2">
      <c r="B3226" s="31">
        <v>3217</v>
      </c>
      <c r="J3226">
        <f t="shared" si="55"/>
        <v>105000</v>
      </c>
      <c r="K3226" t="e">
        <f>VLOOKUP(B3226,'REGISTRO ABONOS'!$B$8:$BC$10041,54,0)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hidden="1" x14ac:dyDescent="0.2">
      <c r="B3227" s="31">
        <v>3218</v>
      </c>
      <c r="J3227">
        <f t="shared" si="55"/>
        <v>105000</v>
      </c>
      <c r="K3227" t="e">
        <f>VLOOKUP(B3227,'REGISTRO ABONOS'!$B$8:$BC$10041,54,0)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hidden="1" x14ac:dyDescent="0.2">
      <c r="B3228" s="31">
        <v>3219</v>
      </c>
      <c r="J3228">
        <f t="shared" si="55"/>
        <v>105000</v>
      </c>
      <c r="K3228" t="e">
        <f>VLOOKUP(B3228,'REGISTRO ABONOS'!$B$8:$BC$10041,54,0)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hidden="1" x14ac:dyDescent="0.2">
      <c r="B3229" s="31">
        <v>3220</v>
      </c>
      <c r="J3229">
        <f t="shared" si="55"/>
        <v>105000</v>
      </c>
      <c r="K3229" t="e">
        <f>VLOOKUP(B3229,'REGISTRO ABONOS'!$B$8:$BC$10041,54,0)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hidden="1" x14ac:dyDescent="0.2">
      <c r="B3230" s="31">
        <v>3221</v>
      </c>
      <c r="J3230">
        <f t="shared" si="55"/>
        <v>105000</v>
      </c>
      <c r="K3230" t="e">
        <f>VLOOKUP(B3230,'REGISTRO ABONOS'!$B$8:$BC$10041,54,0)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hidden="1" x14ac:dyDescent="0.2">
      <c r="B3231" s="31">
        <v>3222</v>
      </c>
      <c r="J3231">
        <f t="shared" si="55"/>
        <v>105000</v>
      </c>
      <c r="K3231" t="e">
        <f>VLOOKUP(B3231,'REGISTRO ABONOS'!$B$8:$BC$10041,54,0)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hidden="1" x14ac:dyDescent="0.2">
      <c r="B3232" s="31">
        <v>3223</v>
      </c>
      <c r="J3232">
        <f t="shared" si="55"/>
        <v>105000</v>
      </c>
      <c r="K3232" t="e">
        <f>VLOOKUP(B3232,'REGISTRO ABONOS'!$B$8:$BC$10041,54,0)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hidden="1" x14ac:dyDescent="0.2">
      <c r="B3233" s="31">
        <v>3224</v>
      </c>
      <c r="J3233">
        <f t="shared" si="55"/>
        <v>105000</v>
      </c>
      <c r="K3233" t="e">
        <f>VLOOKUP(B3233,'REGISTRO ABONOS'!$B$8:$BC$10041,54,0)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hidden="1" x14ac:dyDescent="0.2">
      <c r="B3234" s="31">
        <v>3225</v>
      </c>
      <c r="J3234">
        <f t="shared" si="55"/>
        <v>105000</v>
      </c>
      <c r="K3234" t="e">
        <f>VLOOKUP(B3234,'REGISTRO ABONOS'!$B$8:$BC$10041,54,0)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hidden="1" x14ac:dyDescent="0.2">
      <c r="B3235" s="31">
        <v>3226</v>
      </c>
      <c r="J3235">
        <f t="shared" si="55"/>
        <v>105000</v>
      </c>
      <c r="K3235" t="e">
        <f>VLOOKUP(B3235,'REGISTRO ABONOS'!$B$8:$BC$10041,54,0)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hidden="1" x14ac:dyDescent="0.2">
      <c r="B3236" s="31">
        <v>3227</v>
      </c>
      <c r="J3236">
        <f t="shared" si="55"/>
        <v>105000</v>
      </c>
      <c r="K3236" t="e">
        <f>VLOOKUP(B3236,'REGISTRO ABONOS'!$B$8:$BC$10041,54,0)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hidden="1" x14ac:dyDescent="0.2">
      <c r="B3237" s="31">
        <v>3228</v>
      </c>
      <c r="J3237">
        <f t="shared" si="55"/>
        <v>105000</v>
      </c>
      <c r="K3237" t="e">
        <f>VLOOKUP(B3237,'REGISTRO ABONOS'!$B$8:$BC$10041,54,0)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hidden="1" x14ac:dyDescent="0.2">
      <c r="B3238" s="31">
        <v>3229</v>
      </c>
      <c r="J3238">
        <f t="shared" si="55"/>
        <v>105000</v>
      </c>
      <c r="K3238" t="e">
        <f>VLOOKUP(B3238,'REGISTRO ABONOS'!$B$8:$BC$10041,54,0)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hidden="1" x14ac:dyDescent="0.2">
      <c r="B3239" s="31">
        <v>3230</v>
      </c>
      <c r="J3239">
        <f t="shared" si="55"/>
        <v>105000</v>
      </c>
      <c r="K3239" t="e">
        <f>VLOOKUP(B3239,'REGISTRO ABONOS'!$B$8:$BC$10041,54,0)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hidden="1" x14ac:dyDescent="0.2">
      <c r="B3240" s="31">
        <v>3231</v>
      </c>
      <c r="J3240">
        <f t="shared" si="55"/>
        <v>105000</v>
      </c>
      <c r="K3240" t="e">
        <f>VLOOKUP(B3240,'REGISTRO ABONOS'!$B$8:$BC$10041,54,0)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hidden="1" x14ac:dyDescent="0.2">
      <c r="B3241" s="31">
        <v>3232</v>
      </c>
      <c r="J3241">
        <f t="shared" si="55"/>
        <v>105000</v>
      </c>
      <c r="K3241" t="e">
        <f>VLOOKUP(B3241,'REGISTRO ABONOS'!$B$8:$BC$10041,54,0)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hidden="1" x14ac:dyDescent="0.2">
      <c r="B3242" s="31">
        <v>3233</v>
      </c>
      <c r="J3242">
        <f t="shared" si="55"/>
        <v>105000</v>
      </c>
      <c r="K3242" t="e">
        <f>VLOOKUP(B3242,'REGISTRO ABONOS'!$B$8:$BC$10041,54,0)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hidden="1" x14ac:dyDescent="0.2">
      <c r="B3243" s="31">
        <v>3234</v>
      </c>
      <c r="J3243">
        <f t="shared" si="55"/>
        <v>105000</v>
      </c>
      <c r="K3243" t="e">
        <f>VLOOKUP(B3243,'REGISTRO ABONOS'!$B$8:$BC$10041,54,0)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hidden="1" x14ac:dyDescent="0.2">
      <c r="B3244" s="31">
        <v>3235</v>
      </c>
      <c r="J3244">
        <f t="shared" si="55"/>
        <v>105000</v>
      </c>
      <c r="K3244" t="e">
        <f>VLOOKUP(B3244,'REGISTRO ABONOS'!$B$8:$BC$10041,54,0)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hidden="1" x14ac:dyDescent="0.2">
      <c r="B3245" s="31">
        <v>3236</v>
      </c>
      <c r="J3245">
        <f t="shared" si="55"/>
        <v>105000</v>
      </c>
      <c r="K3245" t="e">
        <f>VLOOKUP(B3245,'REGISTRO ABONOS'!$B$8:$BC$10041,54,0)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hidden="1" x14ac:dyDescent="0.2">
      <c r="B3246" s="31">
        <v>3237</v>
      </c>
      <c r="J3246">
        <f t="shared" si="55"/>
        <v>105000</v>
      </c>
      <c r="K3246" t="e">
        <f>VLOOKUP(B3246,'REGISTRO ABONOS'!$B$8:$BC$10041,54,0)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hidden="1" x14ac:dyDescent="0.2">
      <c r="B3247" s="31">
        <v>3238</v>
      </c>
      <c r="J3247">
        <f t="shared" si="55"/>
        <v>105000</v>
      </c>
      <c r="K3247" t="e">
        <f>VLOOKUP(B3247,'REGISTRO ABONOS'!$B$8:$BC$10041,54,0)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hidden="1" x14ac:dyDescent="0.2">
      <c r="B3248" s="31">
        <v>3239</v>
      </c>
      <c r="J3248">
        <f t="shared" si="55"/>
        <v>105000</v>
      </c>
      <c r="K3248" t="e">
        <f>VLOOKUP(B3248,'REGISTRO ABONOS'!$B$8:$BC$10041,54,0)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hidden="1" x14ac:dyDescent="0.2">
      <c r="B3249" s="31">
        <v>3240</v>
      </c>
      <c r="J3249">
        <f t="shared" si="55"/>
        <v>105000</v>
      </c>
      <c r="K3249" t="e">
        <f>VLOOKUP(B3249,'REGISTRO ABONOS'!$B$8:$BC$10041,54,0)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hidden="1" x14ac:dyDescent="0.2">
      <c r="B3250" s="31">
        <v>3241</v>
      </c>
      <c r="J3250">
        <f t="shared" si="55"/>
        <v>105000</v>
      </c>
      <c r="K3250" t="e">
        <f>VLOOKUP(B3250,'REGISTRO ABONOS'!$B$8:$BC$10041,54,0)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hidden="1" x14ac:dyDescent="0.2">
      <c r="B3251" s="31">
        <v>3242</v>
      </c>
      <c r="J3251">
        <f t="shared" si="55"/>
        <v>105000</v>
      </c>
      <c r="K3251" t="e">
        <f>VLOOKUP(B3251,'REGISTRO ABONOS'!$B$8:$BC$10041,54,0)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hidden="1" x14ac:dyDescent="0.2">
      <c r="B3252" s="31">
        <v>3243</v>
      </c>
      <c r="J3252">
        <f t="shared" si="55"/>
        <v>105000</v>
      </c>
      <c r="K3252" t="e">
        <f>VLOOKUP(B3252,'REGISTRO ABONOS'!$B$8:$BC$10041,54,0)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hidden="1" x14ac:dyDescent="0.2">
      <c r="B3253" s="31">
        <v>3244</v>
      </c>
      <c r="J3253">
        <f t="shared" si="55"/>
        <v>105000</v>
      </c>
      <c r="K3253" t="e">
        <f>VLOOKUP(B3253,'REGISTRO ABONOS'!$B$8:$BC$10041,54,0)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hidden="1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ABONOS'!$B$8:$BC$10041,54,0)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hidden="1" x14ac:dyDescent="0.2">
      <c r="B3255" s="31">
        <v>3246</v>
      </c>
      <c r="J3255">
        <f t="shared" si="56"/>
        <v>105000</v>
      </c>
      <c r="K3255" t="e">
        <f>VLOOKUP(B3255,'REGISTRO ABONOS'!$B$8:$BC$10041,54,0)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hidden="1" x14ac:dyDescent="0.2">
      <c r="B3256" s="31">
        <v>3247</v>
      </c>
      <c r="J3256">
        <f t="shared" si="56"/>
        <v>105000</v>
      </c>
      <c r="K3256" t="e">
        <f>VLOOKUP(B3256,'REGISTRO ABONOS'!$B$8:$BC$10041,54,0)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hidden="1" x14ac:dyDescent="0.2">
      <c r="B3257" s="31">
        <v>3248</v>
      </c>
      <c r="J3257">
        <f t="shared" si="56"/>
        <v>105000</v>
      </c>
      <c r="K3257" t="e">
        <f>VLOOKUP(B3257,'REGISTRO ABONOS'!$B$8:$BC$10041,54,0)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hidden="1" x14ac:dyDescent="0.2">
      <c r="B3258" s="31">
        <v>3249</v>
      </c>
      <c r="J3258">
        <f t="shared" si="56"/>
        <v>105000</v>
      </c>
      <c r="K3258" t="e">
        <f>VLOOKUP(B3258,'REGISTRO ABONOS'!$B$8:$BC$10041,54,0)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hidden="1" x14ac:dyDescent="0.2">
      <c r="B3259" s="31">
        <v>3250</v>
      </c>
      <c r="J3259">
        <f t="shared" si="56"/>
        <v>105000</v>
      </c>
      <c r="K3259" t="e">
        <f>VLOOKUP(B3259,'REGISTRO ABONOS'!$B$8:$BC$10041,54,0)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hidden="1" x14ac:dyDescent="0.2">
      <c r="B3260" s="31">
        <v>3251</v>
      </c>
      <c r="J3260">
        <f t="shared" si="56"/>
        <v>105000</v>
      </c>
      <c r="K3260" t="e">
        <f>VLOOKUP(B3260,'REGISTRO ABONOS'!$B$8:$BC$10041,54,0)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hidden="1" x14ac:dyDescent="0.2">
      <c r="B3261" s="31">
        <v>3252</v>
      </c>
      <c r="J3261">
        <f t="shared" si="56"/>
        <v>105000</v>
      </c>
      <c r="K3261" t="e">
        <f>VLOOKUP(B3261,'REGISTRO ABONOS'!$B$8:$BC$10041,54,0)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hidden="1" x14ac:dyDescent="0.2">
      <c r="B3262" s="31">
        <v>3253</v>
      </c>
      <c r="J3262">
        <f t="shared" si="56"/>
        <v>105000</v>
      </c>
      <c r="K3262" t="e">
        <f>VLOOKUP(B3262,'REGISTRO ABONOS'!$B$8:$BC$10041,54,0)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hidden="1" x14ac:dyDescent="0.2">
      <c r="B3263" s="31">
        <v>3254</v>
      </c>
      <c r="J3263">
        <f t="shared" si="56"/>
        <v>105000</v>
      </c>
      <c r="K3263" t="e">
        <f>VLOOKUP(B3263,'REGISTRO ABONOS'!$B$8:$BC$10041,54,0)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hidden="1" x14ac:dyDescent="0.2">
      <c r="B3264" s="31">
        <v>3255</v>
      </c>
      <c r="J3264">
        <f t="shared" si="56"/>
        <v>105000</v>
      </c>
      <c r="K3264" t="e">
        <f>VLOOKUP(B3264,'REGISTRO ABONOS'!$B$8:$BC$10041,54,0)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hidden="1" x14ac:dyDescent="0.2">
      <c r="B3265" s="31">
        <v>3256</v>
      </c>
      <c r="J3265">
        <f t="shared" si="56"/>
        <v>105000</v>
      </c>
      <c r="K3265" t="e">
        <f>VLOOKUP(B3265,'REGISTRO ABONOS'!$B$8:$BC$10041,54,0)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hidden="1" x14ac:dyDescent="0.2">
      <c r="B3266" s="31">
        <v>3257</v>
      </c>
      <c r="J3266">
        <f t="shared" si="56"/>
        <v>105000</v>
      </c>
      <c r="K3266" t="e">
        <f>VLOOKUP(B3266,'REGISTRO ABONOS'!$B$8:$BC$10041,54,0)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hidden="1" x14ac:dyDescent="0.2">
      <c r="B3267" s="31">
        <v>3258</v>
      </c>
      <c r="J3267">
        <f t="shared" si="56"/>
        <v>105000</v>
      </c>
      <c r="K3267" t="e">
        <f>VLOOKUP(B3267,'REGISTRO ABONOS'!$B$8:$BC$10041,54,0)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hidden="1" x14ac:dyDescent="0.2">
      <c r="B3268" s="31">
        <v>3259</v>
      </c>
      <c r="J3268">
        <f t="shared" si="56"/>
        <v>105000</v>
      </c>
      <c r="K3268" t="e">
        <f>VLOOKUP(B3268,'REGISTRO ABONOS'!$B$8:$BC$10041,54,0)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hidden="1" x14ac:dyDescent="0.2">
      <c r="B3269" s="31">
        <v>3260</v>
      </c>
      <c r="J3269">
        <f t="shared" si="56"/>
        <v>105000</v>
      </c>
      <c r="K3269" t="e">
        <f>VLOOKUP(B3269,'REGISTRO ABONOS'!$B$8:$BC$10041,54,0)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hidden="1" x14ac:dyDescent="0.2">
      <c r="B3270" s="31">
        <v>3261</v>
      </c>
      <c r="J3270">
        <f t="shared" si="56"/>
        <v>105000</v>
      </c>
      <c r="K3270" t="e">
        <f>VLOOKUP(B3270,'REGISTRO ABONOS'!$B$8:$BC$10041,54,0)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hidden="1" x14ac:dyDescent="0.2">
      <c r="B3271" s="31">
        <v>3262</v>
      </c>
      <c r="J3271">
        <f t="shared" si="56"/>
        <v>105000</v>
      </c>
      <c r="K3271" t="e">
        <f>VLOOKUP(B3271,'REGISTRO ABONOS'!$B$8:$BC$10041,54,0)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hidden="1" x14ac:dyDescent="0.2">
      <c r="B3272" s="31">
        <v>3263</v>
      </c>
      <c r="J3272">
        <f t="shared" si="56"/>
        <v>105000</v>
      </c>
      <c r="K3272" t="e">
        <f>VLOOKUP(B3272,'REGISTRO ABONOS'!$B$8:$BC$10041,54,0)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hidden="1" x14ac:dyDescent="0.2">
      <c r="B3273" s="31">
        <v>3264</v>
      </c>
      <c r="J3273">
        <f t="shared" si="56"/>
        <v>105000</v>
      </c>
      <c r="K3273" t="e">
        <f>VLOOKUP(B3273,'REGISTRO ABONOS'!$B$8:$BC$10041,54,0)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hidden="1" x14ac:dyDescent="0.2">
      <c r="B3274" s="31">
        <v>3265</v>
      </c>
      <c r="J3274">
        <f t="shared" si="56"/>
        <v>105000</v>
      </c>
      <c r="K3274" t="e">
        <f>VLOOKUP(B3274,'REGISTRO ABONOS'!$B$8:$BC$10041,54,0)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hidden="1" x14ac:dyDescent="0.2">
      <c r="B3275" s="31">
        <v>3266</v>
      </c>
      <c r="J3275">
        <f t="shared" si="56"/>
        <v>105000</v>
      </c>
      <c r="K3275" t="e">
        <f>VLOOKUP(B3275,'REGISTRO ABONOS'!$B$8:$BC$10041,54,0)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hidden="1" x14ac:dyDescent="0.2">
      <c r="B3276" s="31">
        <v>3267</v>
      </c>
      <c r="J3276">
        <f t="shared" si="56"/>
        <v>105000</v>
      </c>
      <c r="K3276" t="e">
        <f>VLOOKUP(B3276,'REGISTRO ABONOS'!$B$8:$BC$10041,54,0)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hidden="1" x14ac:dyDescent="0.2">
      <c r="B3277" s="31">
        <v>3268</v>
      </c>
      <c r="J3277">
        <f t="shared" si="56"/>
        <v>105000</v>
      </c>
      <c r="K3277" t="e">
        <f>VLOOKUP(B3277,'REGISTRO ABONOS'!$B$8:$BC$10041,54,0)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hidden="1" x14ac:dyDescent="0.2">
      <c r="B3278" s="31">
        <v>3269</v>
      </c>
      <c r="J3278">
        <f t="shared" si="56"/>
        <v>105000</v>
      </c>
      <c r="K3278" t="e">
        <f>VLOOKUP(B3278,'REGISTRO ABONOS'!$B$8:$BC$10041,54,0)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hidden="1" x14ac:dyDescent="0.2">
      <c r="B3279" s="31">
        <v>3270</v>
      </c>
      <c r="J3279">
        <f t="shared" si="56"/>
        <v>105000</v>
      </c>
      <c r="K3279" t="e">
        <f>VLOOKUP(B3279,'REGISTRO ABONOS'!$B$8:$BC$10041,54,0)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hidden="1" x14ac:dyDescent="0.2">
      <c r="B3280" s="31">
        <v>3271</v>
      </c>
      <c r="J3280">
        <f t="shared" si="56"/>
        <v>105000</v>
      </c>
      <c r="K3280" t="e">
        <f>VLOOKUP(B3280,'REGISTRO ABONOS'!$B$8:$BC$10041,54,0)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hidden="1" x14ac:dyDescent="0.2">
      <c r="B3281" s="31">
        <v>3272</v>
      </c>
      <c r="J3281">
        <f t="shared" si="56"/>
        <v>105000</v>
      </c>
      <c r="K3281" t="e">
        <f>VLOOKUP(B3281,'REGISTRO ABONOS'!$B$8:$BC$10041,54,0)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hidden="1" x14ac:dyDescent="0.2">
      <c r="B3282" s="31">
        <v>3273</v>
      </c>
      <c r="J3282">
        <f t="shared" si="56"/>
        <v>105000</v>
      </c>
      <c r="K3282" t="e">
        <f>VLOOKUP(B3282,'REGISTRO ABONOS'!$B$8:$BC$10041,54,0)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hidden="1" x14ac:dyDescent="0.2">
      <c r="B3283" s="31">
        <v>3274</v>
      </c>
      <c r="J3283">
        <f t="shared" si="56"/>
        <v>105000</v>
      </c>
      <c r="K3283" t="e">
        <f>VLOOKUP(B3283,'REGISTRO ABONOS'!$B$8:$BC$10041,54,0)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hidden="1" x14ac:dyDescent="0.2">
      <c r="B3284" s="31">
        <v>3275</v>
      </c>
      <c r="J3284">
        <f t="shared" si="56"/>
        <v>105000</v>
      </c>
      <c r="K3284" t="e">
        <f>VLOOKUP(B3284,'REGISTRO ABONOS'!$B$8:$BC$10041,54,0)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hidden="1" x14ac:dyDescent="0.2">
      <c r="B3285" s="31">
        <v>3276</v>
      </c>
      <c r="J3285">
        <f t="shared" si="56"/>
        <v>105000</v>
      </c>
      <c r="K3285" t="e">
        <f>VLOOKUP(B3285,'REGISTRO ABONOS'!$B$8:$BC$10041,54,0)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hidden="1" x14ac:dyDescent="0.2">
      <c r="B3286" s="31">
        <v>3277</v>
      </c>
      <c r="J3286">
        <f t="shared" si="56"/>
        <v>105000</v>
      </c>
      <c r="K3286" t="e">
        <f>VLOOKUP(B3286,'REGISTRO ABONOS'!$B$8:$BC$10041,54,0)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hidden="1" x14ac:dyDescent="0.2">
      <c r="B3287" s="31">
        <v>3278</v>
      </c>
      <c r="J3287">
        <f t="shared" si="56"/>
        <v>105000</v>
      </c>
      <c r="K3287" t="e">
        <f>VLOOKUP(B3287,'REGISTRO ABONOS'!$B$8:$BC$10041,54,0)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hidden="1" x14ac:dyDescent="0.2">
      <c r="B3288" s="31">
        <v>3279</v>
      </c>
      <c r="J3288">
        <f t="shared" si="56"/>
        <v>105000</v>
      </c>
      <c r="K3288" t="e">
        <f>VLOOKUP(B3288,'REGISTRO ABONOS'!$B$8:$BC$10041,54,0)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hidden="1" x14ac:dyDescent="0.2">
      <c r="B3289" s="31">
        <v>3280</v>
      </c>
      <c r="J3289">
        <f t="shared" si="56"/>
        <v>105000</v>
      </c>
      <c r="K3289" t="e">
        <f>VLOOKUP(B3289,'REGISTRO ABONOS'!$B$8:$BC$10041,54,0)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hidden="1" x14ac:dyDescent="0.2">
      <c r="B3290" s="31">
        <v>3281</v>
      </c>
      <c r="J3290">
        <f t="shared" si="56"/>
        <v>105000</v>
      </c>
      <c r="K3290" t="e">
        <f>VLOOKUP(B3290,'REGISTRO ABONOS'!$B$8:$BC$10041,54,0)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hidden="1" x14ac:dyDescent="0.2">
      <c r="B3291" s="31">
        <v>3282</v>
      </c>
      <c r="J3291">
        <f t="shared" si="56"/>
        <v>105000</v>
      </c>
      <c r="K3291" t="e">
        <f>VLOOKUP(B3291,'REGISTRO ABONOS'!$B$8:$BC$10041,54,0)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hidden="1" x14ac:dyDescent="0.2">
      <c r="B3292" s="31">
        <v>3283</v>
      </c>
      <c r="J3292">
        <f t="shared" si="56"/>
        <v>105000</v>
      </c>
      <c r="K3292" t="e">
        <f>VLOOKUP(B3292,'REGISTRO ABONOS'!$B$8:$BC$10041,54,0)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hidden="1" x14ac:dyDescent="0.2">
      <c r="B3293" s="31">
        <v>3284</v>
      </c>
      <c r="J3293">
        <f t="shared" si="56"/>
        <v>105000</v>
      </c>
      <c r="K3293" t="e">
        <f>VLOOKUP(B3293,'REGISTRO ABONOS'!$B$8:$BC$10041,54,0)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hidden="1" x14ac:dyDescent="0.2">
      <c r="B3294" s="31">
        <v>3285</v>
      </c>
      <c r="J3294">
        <f t="shared" si="56"/>
        <v>105000</v>
      </c>
      <c r="K3294" t="e">
        <f>VLOOKUP(B3294,'REGISTRO ABONOS'!$B$8:$BC$10041,54,0)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hidden="1" x14ac:dyDescent="0.2">
      <c r="B3295" s="31">
        <v>3286</v>
      </c>
      <c r="J3295">
        <f t="shared" si="56"/>
        <v>105000</v>
      </c>
      <c r="K3295" t="e">
        <f>VLOOKUP(B3295,'REGISTRO ABONOS'!$B$8:$BC$10041,54,0)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hidden="1" x14ac:dyDescent="0.2">
      <c r="B3296" s="31">
        <v>3287</v>
      </c>
      <c r="J3296">
        <f t="shared" si="56"/>
        <v>105000</v>
      </c>
      <c r="K3296" t="e">
        <f>VLOOKUP(B3296,'REGISTRO ABONOS'!$B$8:$BC$10041,54,0)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hidden="1" x14ac:dyDescent="0.2">
      <c r="B3297" s="31">
        <v>3288</v>
      </c>
      <c r="J3297">
        <f t="shared" si="56"/>
        <v>105000</v>
      </c>
      <c r="K3297" t="e">
        <f>VLOOKUP(B3297,'REGISTRO ABONOS'!$B$8:$BC$10041,54,0)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hidden="1" x14ac:dyDescent="0.2">
      <c r="B3298" s="31">
        <v>3289</v>
      </c>
      <c r="J3298">
        <f t="shared" si="56"/>
        <v>105000</v>
      </c>
      <c r="K3298" t="e">
        <f>VLOOKUP(B3298,'REGISTRO ABONOS'!$B$8:$BC$10041,54,0)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hidden="1" x14ac:dyDescent="0.2">
      <c r="B3299" s="31">
        <v>3290</v>
      </c>
      <c r="J3299">
        <f t="shared" si="56"/>
        <v>105000</v>
      </c>
      <c r="K3299" t="e">
        <f>VLOOKUP(B3299,'REGISTRO ABONOS'!$B$8:$BC$10041,54,0)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hidden="1" x14ac:dyDescent="0.2">
      <c r="B3300" s="31">
        <v>3291</v>
      </c>
      <c r="J3300">
        <f t="shared" si="56"/>
        <v>105000</v>
      </c>
      <c r="K3300" t="e">
        <f>VLOOKUP(B3300,'REGISTRO ABONOS'!$B$8:$BC$10041,54,0)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hidden="1" x14ac:dyDescent="0.2">
      <c r="B3301" s="31">
        <v>3292</v>
      </c>
      <c r="J3301">
        <f t="shared" si="56"/>
        <v>105000</v>
      </c>
      <c r="K3301" t="e">
        <f>VLOOKUP(B3301,'REGISTRO ABONOS'!$B$8:$BC$10041,54,0)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hidden="1" x14ac:dyDescent="0.2">
      <c r="B3302" s="31">
        <v>3293</v>
      </c>
      <c r="J3302">
        <f t="shared" si="56"/>
        <v>105000</v>
      </c>
      <c r="K3302" t="e">
        <f>VLOOKUP(B3302,'REGISTRO ABONOS'!$B$8:$BC$10041,54,0)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hidden="1" x14ac:dyDescent="0.2">
      <c r="B3303" s="31">
        <v>3294</v>
      </c>
      <c r="J3303">
        <f t="shared" si="56"/>
        <v>105000</v>
      </c>
      <c r="K3303" t="e">
        <f>VLOOKUP(B3303,'REGISTRO ABONOS'!$B$8:$BC$10041,54,0)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hidden="1" x14ac:dyDescent="0.2">
      <c r="B3304" s="31">
        <v>3295</v>
      </c>
      <c r="J3304">
        <f t="shared" si="56"/>
        <v>105000</v>
      </c>
      <c r="K3304" t="e">
        <f>VLOOKUP(B3304,'REGISTRO ABONOS'!$B$8:$BC$10041,54,0)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hidden="1" x14ac:dyDescent="0.2">
      <c r="B3305" s="31">
        <v>3296</v>
      </c>
      <c r="J3305">
        <f t="shared" si="56"/>
        <v>105000</v>
      </c>
      <c r="K3305" t="e">
        <f>VLOOKUP(B3305,'REGISTRO ABONOS'!$B$8:$BC$10041,54,0)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hidden="1" x14ac:dyDescent="0.2">
      <c r="B3306" s="31">
        <v>3297</v>
      </c>
      <c r="J3306">
        <f t="shared" si="56"/>
        <v>105000</v>
      </c>
      <c r="K3306" t="e">
        <f>VLOOKUP(B3306,'REGISTRO ABONOS'!$B$8:$BC$10041,54,0)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hidden="1" x14ac:dyDescent="0.2">
      <c r="B3307" s="31">
        <v>3298</v>
      </c>
      <c r="J3307">
        <f t="shared" si="56"/>
        <v>105000</v>
      </c>
      <c r="K3307" t="e">
        <f>VLOOKUP(B3307,'REGISTRO ABONOS'!$B$8:$BC$10041,54,0)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hidden="1" x14ac:dyDescent="0.2">
      <c r="B3308" s="31">
        <v>3299</v>
      </c>
      <c r="J3308">
        <f t="shared" si="56"/>
        <v>105000</v>
      </c>
      <c r="K3308" t="e">
        <f>VLOOKUP(B3308,'REGISTRO ABONOS'!$B$8:$BC$10041,54,0)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hidden="1" x14ac:dyDescent="0.2">
      <c r="B3309" s="31">
        <v>3300</v>
      </c>
      <c r="J3309">
        <f t="shared" si="56"/>
        <v>105000</v>
      </c>
      <c r="K3309" t="e">
        <f>VLOOKUP(B3309,'REGISTRO ABONOS'!$B$8:$BC$10041,54,0)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hidden="1" x14ac:dyDescent="0.2">
      <c r="B3310" s="31">
        <v>3301</v>
      </c>
      <c r="J3310">
        <f t="shared" si="56"/>
        <v>105000</v>
      </c>
      <c r="K3310" t="e">
        <f>VLOOKUP(B3310,'REGISTRO ABONOS'!$B$8:$BC$10041,54,0)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hidden="1" x14ac:dyDescent="0.2">
      <c r="B3311" s="31">
        <v>3302</v>
      </c>
      <c r="J3311">
        <f t="shared" si="56"/>
        <v>105000</v>
      </c>
      <c r="K3311" t="e">
        <f>VLOOKUP(B3311,'REGISTRO ABONOS'!$B$8:$BC$10041,54,0)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hidden="1" x14ac:dyDescent="0.2">
      <c r="B3312" s="31">
        <v>3303</v>
      </c>
      <c r="J3312">
        <f t="shared" si="56"/>
        <v>105000</v>
      </c>
      <c r="K3312" t="e">
        <f>VLOOKUP(B3312,'REGISTRO ABONOS'!$B$8:$BC$10041,54,0)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hidden="1" x14ac:dyDescent="0.2">
      <c r="B3313" s="31">
        <v>3304</v>
      </c>
      <c r="J3313">
        <f t="shared" si="56"/>
        <v>105000</v>
      </c>
      <c r="K3313" t="e">
        <f>VLOOKUP(B3313,'REGISTRO ABONOS'!$B$8:$BC$10041,54,0)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hidden="1" x14ac:dyDescent="0.2">
      <c r="B3314" s="31">
        <v>3305</v>
      </c>
      <c r="J3314">
        <f t="shared" si="56"/>
        <v>105000</v>
      </c>
      <c r="K3314" t="e">
        <f>VLOOKUP(B3314,'REGISTRO ABONOS'!$B$8:$BC$10041,54,0)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hidden="1" x14ac:dyDescent="0.2">
      <c r="B3315" s="31">
        <v>3306</v>
      </c>
      <c r="J3315">
        <f t="shared" si="56"/>
        <v>105000</v>
      </c>
      <c r="K3315" t="e">
        <f>VLOOKUP(B3315,'REGISTRO ABONOS'!$B$8:$BC$10041,54,0)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hidden="1" x14ac:dyDescent="0.2">
      <c r="B3316" s="31">
        <v>3307</v>
      </c>
      <c r="J3316">
        <f t="shared" si="56"/>
        <v>105000</v>
      </c>
      <c r="K3316" t="e">
        <f>VLOOKUP(B3316,'REGISTRO ABONOS'!$B$8:$BC$10041,54,0)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hidden="1" x14ac:dyDescent="0.2">
      <c r="B3317" s="31">
        <v>3308</v>
      </c>
      <c r="J3317">
        <f t="shared" si="56"/>
        <v>105000</v>
      </c>
      <c r="K3317" t="e">
        <f>VLOOKUP(B3317,'REGISTRO ABONOS'!$B$8:$BC$10041,54,0)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hidden="1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ABONOS'!$B$8:$BC$10041,54,0)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hidden="1" x14ac:dyDescent="0.2">
      <c r="B3319" s="31">
        <v>3310</v>
      </c>
      <c r="J3319">
        <f t="shared" si="57"/>
        <v>105000</v>
      </c>
      <c r="K3319" t="e">
        <f>VLOOKUP(B3319,'REGISTRO ABONOS'!$B$8:$BC$10041,54,0)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hidden="1" x14ac:dyDescent="0.2">
      <c r="B3320" s="31">
        <v>3311</v>
      </c>
      <c r="J3320">
        <f t="shared" si="57"/>
        <v>105000</v>
      </c>
      <c r="K3320" t="e">
        <f>VLOOKUP(B3320,'REGISTRO ABONOS'!$B$8:$BC$10041,54,0)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hidden="1" x14ac:dyDescent="0.2">
      <c r="B3321" s="31">
        <v>3312</v>
      </c>
      <c r="J3321">
        <f t="shared" si="57"/>
        <v>105000</v>
      </c>
      <c r="K3321" t="e">
        <f>VLOOKUP(B3321,'REGISTRO ABONOS'!$B$8:$BC$10041,54,0)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hidden="1" x14ac:dyDescent="0.2">
      <c r="B3322" s="31">
        <v>3313</v>
      </c>
      <c r="J3322">
        <f t="shared" si="57"/>
        <v>105000</v>
      </c>
      <c r="K3322" t="e">
        <f>VLOOKUP(B3322,'REGISTRO ABONOS'!$B$8:$BC$10041,54,0)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hidden="1" x14ac:dyDescent="0.2">
      <c r="B3323" s="31">
        <v>3314</v>
      </c>
      <c r="J3323">
        <f t="shared" si="57"/>
        <v>105000</v>
      </c>
      <c r="K3323" t="e">
        <f>VLOOKUP(B3323,'REGISTRO ABONOS'!$B$8:$BC$10041,54,0)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hidden="1" x14ac:dyDescent="0.2">
      <c r="B3324" s="31">
        <v>3315</v>
      </c>
      <c r="J3324">
        <f t="shared" si="57"/>
        <v>105000</v>
      </c>
      <c r="K3324" t="e">
        <f>VLOOKUP(B3324,'REGISTRO ABONOS'!$B$8:$BC$10041,54,0)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hidden="1" x14ac:dyDescent="0.2">
      <c r="B3325" s="31">
        <v>3316</v>
      </c>
      <c r="J3325">
        <f t="shared" si="57"/>
        <v>105000</v>
      </c>
      <c r="K3325" t="e">
        <f>VLOOKUP(B3325,'REGISTRO ABONOS'!$B$8:$BC$10041,54,0)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hidden="1" x14ac:dyDescent="0.2">
      <c r="B3326" s="31">
        <v>3317</v>
      </c>
      <c r="J3326">
        <f t="shared" si="57"/>
        <v>105000</v>
      </c>
      <c r="K3326" t="e">
        <f>VLOOKUP(B3326,'REGISTRO ABONOS'!$B$8:$BC$10041,54,0)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hidden="1" x14ac:dyDescent="0.2">
      <c r="B3327" s="31">
        <v>3318</v>
      </c>
      <c r="J3327">
        <f t="shared" si="57"/>
        <v>105000</v>
      </c>
      <c r="K3327" t="e">
        <f>VLOOKUP(B3327,'REGISTRO ABONOS'!$B$8:$BC$10041,54,0)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hidden="1" x14ac:dyDescent="0.2">
      <c r="B3328" s="31">
        <v>3319</v>
      </c>
      <c r="J3328">
        <f t="shared" si="57"/>
        <v>105000</v>
      </c>
      <c r="K3328" t="e">
        <f>VLOOKUP(B3328,'REGISTRO ABONOS'!$B$8:$BC$10041,54,0)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hidden="1" x14ac:dyDescent="0.2">
      <c r="B3329" s="31">
        <v>3320</v>
      </c>
      <c r="J3329">
        <f t="shared" si="57"/>
        <v>105000</v>
      </c>
      <c r="K3329" t="e">
        <f>VLOOKUP(B3329,'REGISTRO ABONOS'!$B$8:$BC$10041,54,0)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hidden="1" x14ac:dyDescent="0.2">
      <c r="B3330" s="31">
        <v>3321</v>
      </c>
      <c r="J3330">
        <f t="shared" si="57"/>
        <v>105000</v>
      </c>
      <c r="K3330" t="e">
        <f>VLOOKUP(B3330,'REGISTRO ABONOS'!$B$8:$BC$10041,54,0)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hidden="1" x14ac:dyDescent="0.2">
      <c r="B3331" s="31">
        <v>3322</v>
      </c>
      <c r="J3331">
        <f t="shared" si="57"/>
        <v>105000</v>
      </c>
      <c r="K3331" t="e">
        <f>VLOOKUP(B3331,'REGISTRO ABONOS'!$B$8:$BC$10041,54,0)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hidden="1" x14ac:dyDescent="0.2">
      <c r="B3332" s="31">
        <v>3323</v>
      </c>
      <c r="J3332">
        <f t="shared" si="57"/>
        <v>105000</v>
      </c>
      <c r="K3332" t="e">
        <f>VLOOKUP(B3332,'REGISTRO ABONOS'!$B$8:$BC$10041,54,0)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hidden="1" x14ac:dyDescent="0.2">
      <c r="B3333" s="31">
        <v>3324</v>
      </c>
      <c r="J3333">
        <f t="shared" si="57"/>
        <v>105000</v>
      </c>
      <c r="K3333" t="e">
        <f>VLOOKUP(B3333,'REGISTRO ABONOS'!$B$8:$BC$10041,54,0)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hidden="1" x14ac:dyDescent="0.2">
      <c r="B3334" s="31">
        <v>3325</v>
      </c>
      <c r="J3334">
        <f t="shared" si="57"/>
        <v>105000</v>
      </c>
      <c r="K3334" t="e">
        <f>VLOOKUP(B3334,'REGISTRO ABONOS'!$B$8:$BC$10041,54,0)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hidden="1" x14ac:dyDescent="0.2">
      <c r="B3335" s="31">
        <v>3326</v>
      </c>
      <c r="J3335">
        <f t="shared" si="57"/>
        <v>105000</v>
      </c>
      <c r="K3335" t="e">
        <f>VLOOKUP(B3335,'REGISTRO ABONOS'!$B$8:$BC$10041,54,0)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hidden="1" x14ac:dyDescent="0.2">
      <c r="B3336" s="31">
        <v>3327</v>
      </c>
      <c r="J3336">
        <f t="shared" si="57"/>
        <v>105000</v>
      </c>
      <c r="K3336" t="e">
        <f>VLOOKUP(B3336,'REGISTRO ABONOS'!$B$8:$BC$10041,54,0)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hidden="1" x14ac:dyDescent="0.2">
      <c r="B3337" s="31">
        <v>3328</v>
      </c>
      <c r="J3337">
        <f t="shared" si="57"/>
        <v>105000</v>
      </c>
      <c r="K3337" t="e">
        <f>VLOOKUP(B3337,'REGISTRO ABONOS'!$B$8:$BC$10041,54,0)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hidden="1" x14ac:dyDescent="0.2">
      <c r="B3338" s="31">
        <v>3329</v>
      </c>
      <c r="J3338">
        <f t="shared" si="57"/>
        <v>105000</v>
      </c>
      <c r="K3338" t="e">
        <f>VLOOKUP(B3338,'REGISTRO ABONOS'!$B$8:$BC$10041,54,0)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hidden="1" x14ac:dyDescent="0.2">
      <c r="B3339" s="31">
        <v>3330</v>
      </c>
      <c r="J3339">
        <f t="shared" si="57"/>
        <v>105000</v>
      </c>
      <c r="K3339" t="e">
        <f>VLOOKUP(B3339,'REGISTRO ABONOS'!$B$8:$BC$10041,54,0)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hidden="1" x14ac:dyDescent="0.2">
      <c r="B3340" s="31">
        <v>3331</v>
      </c>
      <c r="J3340">
        <f t="shared" si="57"/>
        <v>105000</v>
      </c>
      <c r="K3340" t="e">
        <f>VLOOKUP(B3340,'REGISTRO ABONOS'!$B$8:$BC$10041,54,0)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hidden="1" x14ac:dyDescent="0.2">
      <c r="B3341" s="31">
        <v>3332</v>
      </c>
      <c r="J3341">
        <f t="shared" si="57"/>
        <v>105000</v>
      </c>
      <c r="K3341" t="e">
        <f>VLOOKUP(B3341,'REGISTRO ABONOS'!$B$8:$BC$10041,54,0)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hidden="1" x14ac:dyDescent="0.2">
      <c r="B3342" s="31">
        <v>3333</v>
      </c>
      <c r="J3342">
        <f t="shared" si="57"/>
        <v>105000</v>
      </c>
      <c r="K3342" t="e">
        <f>VLOOKUP(B3342,'REGISTRO ABONOS'!$B$8:$BC$10041,54,0)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hidden="1" x14ac:dyDescent="0.2">
      <c r="B3343" s="31">
        <v>3334</v>
      </c>
      <c r="J3343">
        <f t="shared" si="57"/>
        <v>105000</v>
      </c>
      <c r="K3343" t="e">
        <f>VLOOKUP(B3343,'REGISTRO ABONOS'!$B$8:$BC$10041,54,0)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hidden="1" x14ac:dyDescent="0.2">
      <c r="B3344" s="31">
        <v>3335</v>
      </c>
      <c r="J3344">
        <f t="shared" si="57"/>
        <v>105000</v>
      </c>
      <c r="K3344" t="e">
        <f>VLOOKUP(B3344,'REGISTRO ABONOS'!$B$8:$BC$10041,54,0)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hidden="1" x14ac:dyDescent="0.2">
      <c r="B3345" s="31">
        <v>3336</v>
      </c>
      <c r="J3345">
        <f t="shared" si="57"/>
        <v>105000</v>
      </c>
      <c r="K3345" t="e">
        <f>VLOOKUP(B3345,'REGISTRO ABONOS'!$B$8:$BC$10041,54,0)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hidden="1" x14ac:dyDescent="0.2">
      <c r="B3346" s="31">
        <v>3337</v>
      </c>
      <c r="J3346">
        <f t="shared" si="57"/>
        <v>105000</v>
      </c>
      <c r="K3346" t="e">
        <f>VLOOKUP(B3346,'REGISTRO ABONOS'!$B$8:$BC$10041,54,0)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hidden="1" x14ac:dyDescent="0.2">
      <c r="B3347" s="31">
        <v>3338</v>
      </c>
      <c r="J3347">
        <f t="shared" si="57"/>
        <v>105000</v>
      </c>
      <c r="K3347" t="e">
        <f>VLOOKUP(B3347,'REGISTRO ABONOS'!$B$8:$BC$10041,54,0)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hidden="1" x14ac:dyDescent="0.2">
      <c r="B3348" s="31">
        <v>3339</v>
      </c>
      <c r="J3348">
        <f t="shared" si="57"/>
        <v>105000</v>
      </c>
      <c r="K3348" t="e">
        <f>VLOOKUP(B3348,'REGISTRO ABONOS'!$B$8:$BC$10041,54,0)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hidden="1" x14ac:dyDescent="0.2">
      <c r="B3349" s="31">
        <v>3340</v>
      </c>
      <c r="J3349">
        <f t="shared" si="57"/>
        <v>105000</v>
      </c>
      <c r="K3349" t="e">
        <f>VLOOKUP(B3349,'REGISTRO ABONOS'!$B$8:$BC$10041,54,0)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hidden="1" x14ac:dyDescent="0.2">
      <c r="B3350" s="31">
        <v>3341</v>
      </c>
      <c r="J3350">
        <f t="shared" si="57"/>
        <v>105000</v>
      </c>
      <c r="K3350" t="e">
        <f>VLOOKUP(B3350,'REGISTRO ABONOS'!$B$8:$BC$10041,54,0)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hidden="1" x14ac:dyDescent="0.2">
      <c r="B3351" s="31">
        <v>3342</v>
      </c>
      <c r="J3351">
        <f t="shared" si="57"/>
        <v>105000</v>
      </c>
      <c r="K3351" t="e">
        <f>VLOOKUP(B3351,'REGISTRO ABONOS'!$B$8:$BC$10041,54,0)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hidden="1" x14ac:dyDescent="0.2">
      <c r="B3352" s="31">
        <v>3343</v>
      </c>
      <c r="J3352">
        <f t="shared" si="57"/>
        <v>105000</v>
      </c>
      <c r="K3352" t="e">
        <f>VLOOKUP(B3352,'REGISTRO ABONOS'!$B$8:$BC$10041,54,0)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hidden="1" x14ac:dyDescent="0.2">
      <c r="B3353" s="31">
        <v>3344</v>
      </c>
      <c r="J3353">
        <f t="shared" si="57"/>
        <v>105000</v>
      </c>
      <c r="K3353" t="e">
        <f>VLOOKUP(B3353,'REGISTRO ABONOS'!$B$8:$BC$10041,54,0)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7"/>
        <v>105000</v>
      </c>
      <c r="K3354" t="e">
        <f>VLOOKUP(B3354,'REGISTRO ABONOS'!$B$8:$BC$10041,54,0)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hidden="1" x14ac:dyDescent="0.2">
      <c r="B3355" s="31">
        <v>3346</v>
      </c>
      <c r="J3355">
        <f t="shared" si="57"/>
        <v>105000</v>
      </c>
      <c r="K3355" t="e">
        <f>VLOOKUP(B3355,'REGISTRO ABONOS'!$B$8:$BC$10041,54,0)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hidden="1" x14ac:dyDescent="0.2">
      <c r="B3356" s="31">
        <v>3347</v>
      </c>
      <c r="J3356">
        <f t="shared" si="57"/>
        <v>105000</v>
      </c>
      <c r="K3356" t="e">
        <f>VLOOKUP(B3356,'REGISTRO ABONOS'!$B$8:$BC$10041,54,0)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hidden="1" x14ac:dyDescent="0.2">
      <c r="B3357" s="31">
        <v>3348</v>
      </c>
      <c r="J3357">
        <f t="shared" si="57"/>
        <v>105000</v>
      </c>
      <c r="K3357" t="e">
        <f>VLOOKUP(B3357,'REGISTRO ABONOS'!$B$8:$BC$10041,54,0)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hidden="1" x14ac:dyDescent="0.2">
      <c r="B3358" s="31">
        <v>3349</v>
      </c>
      <c r="J3358">
        <f t="shared" si="57"/>
        <v>105000</v>
      </c>
      <c r="K3358" t="e">
        <f>VLOOKUP(B3358,'REGISTRO ABONOS'!$B$8:$BC$10041,54,0)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hidden="1" x14ac:dyDescent="0.2">
      <c r="B3359" s="31">
        <v>3350</v>
      </c>
      <c r="J3359">
        <f t="shared" si="57"/>
        <v>105000</v>
      </c>
      <c r="K3359" t="e">
        <f>VLOOKUP(B3359,'REGISTRO ABONOS'!$B$8:$BC$10041,54,0)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hidden="1" x14ac:dyDescent="0.2">
      <c r="B3360" s="31">
        <v>3351</v>
      </c>
      <c r="J3360">
        <f t="shared" si="57"/>
        <v>105000</v>
      </c>
      <c r="K3360" t="e">
        <f>VLOOKUP(B3360,'REGISTRO ABONOS'!$B$8:$BC$10041,54,0)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hidden="1" x14ac:dyDescent="0.2">
      <c r="B3361" s="31">
        <v>3352</v>
      </c>
      <c r="J3361">
        <f t="shared" si="57"/>
        <v>105000</v>
      </c>
      <c r="K3361" t="e">
        <f>VLOOKUP(B3361,'REGISTRO ABONOS'!$B$8:$BC$10041,54,0)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hidden="1" x14ac:dyDescent="0.2">
      <c r="B3362" s="31">
        <v>3353</v>
      </c>
      <c r="J3362">
        <f t="shared" si="57"/>
        <v>105000</v>
      </c>
      <c r="K3362" t="e">
        <f>VLOOKUP(B3362,'REGISTRO ABONOS'!$B$8:$BC$10041,54,0)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hidden="1" x14ac:dyDescent="0.2">
      <c r="B3363" s="31">
        <v>3354</v>
      </c>
      <c r="J3363">
        <f t="shared" si="57"/>
        <v>105000</v>
      </c>
      <c r="K3363" t="e">
        <f>VLOOKUP(B3363,'REGISTRO ABONOS'!$B$8:$BC$10041,54,0)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hidden="1" x14ac:dyDescent="0.2">
      <c r="B3364" s="31">
        <v>3355</v>
      </c>
      <c r="J3364">
        <f t="shared" si="57"/>
        <v>105000</v>
      </c>
      <c r="K3364" t="e">
        <f>VLOOKUP(B3364,'REGISTRO ABONOS'!$B$8:$BC$10041,54,0)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hidden="1" x14ac:dyDescent="0.2">
      <c r="B3365" s="31">
        <v>3356</v>
      </c>
      <c r="J3365">
        <f t="shared" si="57"/>
        <v>105000</v>
      </c>
      <c r="K3365" t="e">
        <f>VLOOKUP(B3365,'REGISTRO ABONOS'!$B$8:$BC$10041,54,0)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hidden="1" x14ac:dyDescent="0.2">
      <c r="B3366" s="31">
        <v>3357</v>
      </c>
      <c r="J3366">
        <f t="shared" si="57"/>
        <v>105000</v>
      </c>
      <c r="K3366" t="e">
        <f>VLOOKUP(B3366,'REGISTRO ABONOS'!$B$8:$BC$10041,54,0)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hidden="1" x14ac:dyDescent="0.2">
      <c r="B3367" s="31">
        <v>3358</v>
      </c>
      <c r="J3367">
        <f t="shared" si="57"/>
        <v>105000</v>
      </c>
      <c r="K3367" t="e">
        <f>VLOOKUP(B3367,'REGISTRO ABONOS'!$B$8:$BC$10041,54,0)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hidden="1" x14ac:dyDescent="0.2">
      <c r="B3368" s="31">
        <v>3359</v>
      </c>
      <c r="J3368">
        <f t="shared" si="57"/>
        <v>105000</v>
      </c>
      <c r="K3368" t="e">
        <f>VLOOKUP(B3368,'REGISTRO ABONOS'!$B$8:$BC$10041,54,0)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hidden="1" x14ac:dyDescent="0.2">
      <c r="B3369" s="31">
        <v>3360</v>
      </c>
      <c r="J3369">
        <f t="shared" si="57"/>
        <v>105000</v>
      </c>
      <c r="K3369" t="e">
        <f>VLOOKUP(B3369,'REGISTRO ABONOS'!$B$8:$BC$10041,54,0)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hidden="1" x14ac:dyDescent="0.2">
      <c r="B3370" s="31">
        <v>3361</v>
      </c>
      <c r="J3370">
        <f t="shared" si="57"/>
        <v>105000</v>
      </c>
      <c r="K3370" t="e">
        <f>VLOOKUP(B3370,'REGISTRO ABONOS'!$B$8:$BC$10041,54,0)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hidden="1" x14ac:dyDescent="0.2">
      <c r="B3371" s="31">
        <v>3362</v>
      </c>
      <c r="J3371">
        <f t="shared" si="57"/>
        <v>105000</v>
      </c>
      <c r="K3371" t="e">
        <f>VLOOKUP(B3371,'REGISTRO ABONOS'!$B$8:$BC$10041,54,0)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hidden="1" x14ac:dyDescent="0.2">
      <c r="B3372" s="31">
        <v>3363</v>
      </c>
      <c r="J3372">
        <f t="shared" si="57"/>
        <v>105000</v>
      </c>
      <c r="K3372" t="e">
        <f>VLOOKUP(B3372,'REGISTRO ABONOS'!$B$8:$BC$10041,54,0)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hidden="1" x14ac:dyDescent="0.2">
      <c r="B3373" s="31">
        <v>3364</v>
      </c>
      <c r="J3373">
        <f t="shared" si="57"/>
        <v>105000</v>
      </c>
      <c r="K3373" t="e">
        <f>VLOOKUP(B3373,'REGISTRO ABONOS'!$B$8:$BC$10041,54,0)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hidden="1" x14ac:dyDescent="0.2">
      <c r="B3374" s="31">
        <v>3365</v>
      </c>
      <c r="J3374">
        <f t="shared" si="57"/>
        <v>105000</v>
      </c>
      <c r="K3374" t="e">
        <f>VLOOKUP(B3374,'REGISTRO ABONOS'!$B$8:$BC$10041,54,0)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hidden="1" x14ac:dyDescent="0.2">
      <c r="B3375" s="31">
        <v>3366</v>
      </c>
      <c r="J3375">
        <f t="shared" si="57"/>
        <v>105000</v>
      </c>
      <c r="K3375" t="e">
        <f>VLOOKUP(B3375,'REGISTRO ABONOS'!$B$8:$BC$10041,54,0)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hidden="1" x14ac:dyDescent="0.2">
      <c r="B3376" s="31">
        <v>3367</v>
      </c>
      <c r="J3376">
        <f t="shared" si="57"/>
        <v>105000</v>
      </c>
      <c r="K3376" t="e">
        <f>VLOOKUP(B3376,'REGISTRO ABONOS'!$B$8:$BC$10041,54,0)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hidden="1" x14ac:dyDescent="0.2">
      <c r="B3377" s="31">
        <v>3368</v>
      </c>
      <c r="J3377">
        <f t="shared" si="57"/>
        <v>105000</v>
      </c>
      <c r="K3377" t="e">
        <f>VLOOKUP(B3377,'REGISTRO ABONOS'!$B$8:$BC$10041,54,0)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hidden="1" x14ac:dyDescent="0.2">
      <c r="B3378" s="31">
        <v>3369</v>
      </c>
      <c r="J3378">
        <f t="shared" si="57"/>
        <v>105000</v>
      </c>
      <c r="K3378" t="e">
        <f>VLOOKUP(B3378,'REGISTRO ABONOS'!$B$8:$BC$10041,54,0)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hidden="1" x14ac:dyDescent="0.2">
      <c r="B3379" s="31">
        <v>3370</v>
      </c>
      <c r="J3379">
        <f t="shared" si="57"/>
        <v>105000</v>
      </c>
      <c r="K3379" t="e">
        <f>VLOOKUP(B3379,'REGISTRO ABONOS'!$B$8:$BC$10041,54,0)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7"/>
        <v>105000</v>
      </c>
      <c r="K3380" t="e">
        <f>VLOOKUP(B3380,'REGISTRO ABONOS'!$B$8:$BC$10041,54,0)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hidden="1" x14ac:dyDescent="0.2">
      <c r="B3381" s="31">
        <v>3372</v>
      </c>
      <c r="J3381">
        <f t="shared" si="57"/>
        <v>105000</v>
      </c>
      <c r="K3381" t="e">
        <f>VLOOKUP(B3381,'REGISTRO ABONOS'!$B$8:$BC$10041,54,0)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hidden="1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ABONOS'!$B$8:$BC$10041,54,0)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hidden="1" x14ac:dyDescent="0.2">
      <c r="B3383" s="31">
        <v>3374</v>
      </c>
      <c r="J3383">
        <f t="shared" si="58"/>
        <v>105000</v>
      </c>
      <c r="K3383" t="e">
        <f>VLOOKUP(B3383,'REGISTRO ABONOS'!$B$8:$BC$10041,54,0)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hidden="1" x14ac:dyDescent="0.2">
      <c r="B3384" s="31">
        <v>3375</v>
      </c>
      <c r="J3384">
        <f t="shared" si="58"/>
        <v>105000</v>
      </c>
      <c r="K3384" t="e">
        <f>VLOOKUP(B3384,'REGISTRO ABONOS'!$B$8:$BC$10041,54,0)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hidden="1" x14ac:dyDescent="0.2">
      <c r="B3385" s="31">
        <v>3376</v>
      </c>
      <c r="J3385">
        <f t="shared" si="58"/>
        <v>105000</v>
      </c>
      <c r="K3385" t="e">
        <f>VLOOKUP(B3385,'REGISTRO ABONOS'!$B$8:$BC$10041,54,0)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hidden="1" x14ac:dyDescent="0.2">
      <c r="B3386" s="31">
        <v>3377</v>
      </c>
      <c r="J3386">
        <f t="shared" si="58"/>
        <v>105000</v>
      </c>
      <c r="K3386" t="e">
        <f>VLOOKUP(B3386,'REGISTRO ABONOS'!$B$8:$BC$10041,54,0)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hidden="1" x14ac:dyDescent="0.2">
      <c r="B3387" s="31">
        <v>3378</v>
      </c>
      <c r="J3387">
        <f t="shared" si="58"/>
        <v>105000</v>
      </c>
      <c r="K3387" t="e">
        <f>VLOOKUP(B3387,'REGISTRO ABONOS'!$B$8:$BC$10041,54,0)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hidden="1" x14ac:dyDescent="0.2">
      <c r="B3388" s="31">
        <v>3379</v>
      </c>
      <c r="J3388">
        <f t="shared" si="58"/>
        <v>105000</v>
      </c>
      <c r="K3388" t="e">
        <f>VLOOKUP(B3388,'REGISTRO ABONOS'!$B$8:$BC$10041,54,0)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hidden="1" x14ac:dyDescent="0.2">
      <c r="B3389" s="31">
        <v>3380</v>
      </c>
      <c r="J3389">
        <f t="shared" si="58"/>
        <v>105000</v>
      </c>
      <c r="K3389" t="e">
        <f>VLOOKUP(B3389,'REGISTRO ABONOS'!$B$8:$BC$10041,54,0)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hidden="1" x14ac:dyDescent="0.2">
      <c r="B3390" s="31">
        <v>3381</v>
      </c>
      <c r="J3390">
        <f t="shared" si="58"/>
        <v>105000</v>
      </c>
      <c r="K3390" t="e">
        <f>VLOOKUP(B3390,'REGISTRO ABONOS'!$B$8:$BC$10041,54,0)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hidden="1" x14ac:dyDescent="0.2">
      <c r="B3391" s="31">
        <v>3382</v>
      </c>
      <c r="J3391">
        <f t="shared" si="58"/>
        <v>105000</v>
      </c>
      <c r="K3391" t="e">
        <f>VLOOKUP(B3391,'REGISTRO ABONOS'!$B$8:$BC$10041,54,0)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hidden="1" x14ac:dyDescent="0.2">
      <c r="B3392" s="31">
        <v>3383</v>
      </c>
      <c r="J3392">
        <f t="shared" si="58"/>
        <v>105000</v>
      </c>
      <c r="K3392" t="e">
        <f>VLOOKUP(B3392,'REGISTRO ABONOS'!$B$8:$BC$10041,54,0)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hidden="1" x14ac:dyDescent="0.2">
      <c r="B3393" s="31">
        <v>3384</v>
      </c>
      <c r="J3393">
        <f t="shared" si="58"/>
        <v>105000</v>
      </c>
      <c r="K3393" t="e">
        <f>VLOOKUP(B3393,'REGISTRO ABONOS'!$B$8:$BC$10041,54,0)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hidden="1" x14ac:dyDescent="0.2">
      <c r="B3394" s="31">
        <v>3385</v>
      </c>
      <c r="J3394">
        <f t="shared" si="58"/>
        <v>105000</v>
      </c>
      <c r="K3394" t="e">
        <f>VLOOKUP(B3394,'REGISTRO ABONOS'!$B$8:$BC$10041,54,0)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hidden="1" x14ac:dyDescent="0.2">
      <c r="B3395" s="31">
        <v>3386</v>
      </c>
      <c r="J3395">
        <f t="shared" si="58"/>
        <v>105000</v>
      </c>
      <c r="K3395" t="e">
        <f>VLOOKUP(B3395,'REGISTRO ABONOS'!$B$8:$BC$10041,54,0)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hidden="1" x14ac:dyDescent="0.2">
      <c r="B3396" s="31">
        <v>3387</v>
      </c>
      <c r="J3396">
        <f t="shared" si="58"/>
        <v>105000</v>
      </c>
      <c r="K3396" t="e">
        <f>VLOOKUP(B3396,'REGISTRO ABONOS'!$B$8:$BC$10041,54,0)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hidden="1" x14ac:dyDescent="0.2">
      <c r="B3397" s="31">
        <v>3388</v>
      </c>
      <c r="J3397">
        <f t="shared" si="58"/>
        <v>105000</v>
      </c>
      <c r="K3397" t="e">
        <f>VLOOKUP(B3397,'REGISTRO ABONOS'!$B$8:$BC$10041,54,0)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hidden="1" x14ac:dyDescent="0.2">
      <c r="B3398" s="31">
        <v>3389</v>
      </c>
      <c r="J3398">
        <f t="shared" si="58"/>
        <v>105000</v>
      </c>
      <c r="K3398" t="e">
        <f>VLOOKUP(B3398,'REGISTRO ABONOS'!$B$8:$BC$10041,54,0)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hidden="1" x14ac:dyDescent="0.2">
      <c r="B3399" s="31">
        <v>3390</v>
      </c>
      <c r="J3399">
        <f t="shared" si="58"/>
        <v>105000</v>
      </c>
      <c r="K3399" t="e">
        <f>VLOOKUP(B3399,'REGISTRO ABONOS'!$B$8:$BC$10041,54,0)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hidden="1" x14ac:dyDescent="0.2">
      <c r="B3400" s="31">
        <v>3391</v>
      </c>
      <c r="J3400">
        <f t="shared" si="58"/>
        <v>105000</v>
      </c>
      <c r="K3400" t="e">
        <f>VLOOKUP(B3400,'REGISTRO ABONOS'!$B$8:$BC$10041,54,0)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hidden="1" x14ac:dyDescent="0.2">
      <c r="B3401" s="31">
        <v>3392</v>
      </c>
      <c r="J3401">
        <f t="shared" si="58"/>
        <v>105000</v>
      </c>
      <c r="K3401" t="e">
        <f>VLOOKUP(B3401,'REGISTRO ABONOS'!$B$8:$BC$10041,54,0)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hidden="1" x14ac:dyDescent="0.2">
      <c r="B3402" s="31">
        <v>3393</v>
      </c>
      <c r="J3402">
        <f t="shared" si="58"/>
        <v>105000</v>
      </c>
      <c r="K3402" t="e">
        <f>VLOOKUP(B3402,'REGISTRO ABONOS'!$B$8:$BC$10041,54,0)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hidden="1" x14ac:dyDescent="0.2">
      <c r="B3403" s="31">
        <v>3394</v>
      </c>
      <c r="J3403">
        <f t="shared" si="58"/>
        <v>105000</v>
      </c>
      <c r="K3403" t="e">
        <f>VLOOKUP(B3403,'REGISTRO ABONOS'!$B$8:$BC$10041,54,0)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hidden="1" x14ac:dyDescent="0.2">
      <c r="B3404" s="31">
        <v>3395</v>
      </c>
      <c r="J3404">
        <f t="shared" si="58"/>
        <v>105000</v>
      </c>
      <c r="K3404" t="e">
        <f>VLOOKUP(B3404,'REGISTRO ABONOS'!$B$8:$BC$10041,54,0)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hidden="1" x14ac:dyDescent="0.2">
      <c r="B3405" s="31">
        <v>3396</v>
      </c>
      <c r="J3405">
        <f t="shared" si="58"/>
        <v>105000</v>
      </c>
      <c r="K3405" t="e">
        <f>VLOOKUP(B3405,'REGISTRO ABONOS'!$B$8:$BC$10041,54,0)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hidden="1" x14ac:dyDescent="0.2">
      <c r="B3406" s="31">
        <v>3397</v>
      </c>
      <c r="J3406">
        <f t="shared" si="58"/>
        <v>105000</v>
      </c>
      <c r="K3406" t="e">
        <f>VLOOKUP(B3406,'REGISTRO ABONOS'!$B$8:$BC$10041,54,0)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hidden="1" x14ac:dyDescent="0.2">
      <c r="B3407" s="31">
        <v>3398</v>
      </c>
      <c r="J3407">
        <f t="shared" si="58"/>
        <v>105000</v>
      </c>
      <c r="K3407" t="e">
        <f>VLOOKUP(B3407,'REGISTRO ABONOS'!$B$8:$BC$10041,54,0)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hidden="1" x14ac:dyDescent="0.2">
      <c r="B3408" s="31">
        <v>3399</v>
      </c>
      <c r="J3408">
        <f t="shared" si="58"/>
        <v>105000</v>
      </c>
      <c r="K3408" t="e">
        <f>VLOOKUP(B3408,'REGISTRO ABONOS'!$B$8:$BC$10041,54,0)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hidden="1" x14ac:dyDescent="0.2">
      <c r="B3409" s="31">
        <v>3400</v>
      </c>
      <c r="J3409">
        <f t="shared" si="58"/>
        <v>105000</v>
      </c>
      <c r="K3409" t="e">
        <f>VLOOKUP(B3409,'REGISTRO ABONOS'!$B$8:$BC$10041,54,0)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hidden="1" x14ac:dyDescent="0.2">
      <c r="B3410" s="31">
        <v>3401</v>
      </c>
      <c r="J3410">
        <f t="shared" si="58"/>
        <v>105000</v>
      </c>
      <c r="K3410" t="e">
        <f>VLOOKUP(B3410,'REGISTRO ABONOS'!$B$8:$BC$10041,54,0)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hidden="1" x14ac:dyDescent="0.2">
      <c r="B3411" s="31">
        <v>3402</v>
      </c>
      <c r="J3411">
        <f t="shared" si="58"/>
        <v>105000</v>
      </c>
      <c r="K3411" t="e">
        <f>VLOOKUP(B3411,'REGISTRO ABONOS'!$B$8:$BC$10041,54,0)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hidden="1" x14ac:dyDescent="0.2">
      <c r="B3412" s="31">
        <v>3403</v>
      </c>
      <c r="J3412">
        <f t="shared" si="58"/>
        <v>105000</v>
      </c>
      <c r="K3412" t="e">
        <f>VLOOKUP(B3412,'REGISTRO ABONOS'!$B$8:$BC$10041,54,0)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hidden="1" x14ac:dyDescent="0.2">
      <c r="B3413" s="31">
        <v>3404</v>
      </c>
      <c r="J3413">
        <f t="shared" si="58"/>
        <v>105000</v>
      </c>
      <c r="K3413" t="e">
        <f>VLOOKUP(B3413,'REGISTRO ABONOS'!$B$8:$BC$10041,54,0)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hidden="1" x14ac:dyDescent="0.2">
      <c r="B3414" s="31">
        <v>3405</v>
      </c>
      <c r="J3414">
        <f t="shared" si="58"/>
        <v>105000</v>
      </c>
      <c r="K3414" t="e">
        <f>VLOOKUP(B3414,'REGISTRO ABONOS'!$B$8:$BC$10041,54,0)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hidden="1" x14ac:dyDescent="0.2">
      <c r="B3415" s="31">
        <v>3406</v>
      </c>
      <c r="J3415">
        <f t="shared" si="58"/>
        <v>105000</v>
      </c>
      <c r="K3415" t="e">
        <f>VLOOKUP(B3415,'REGISTRO ABONOS'!$B$8:$BC$10041,54,0)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hidden="1" x14ac:dyDescent="0.2">
      <c r="B3416" s="31">
        <v>3407</v>
      </c>
      <c r="J3416">
        <f t="shared" si="58"/>
        <v>105000</v>
      </c>
      <c r="K3416" t="e">
        <f>VLOOKUP(B3416,'REGISTRO ABONOS'!$B$8:$BC$10041,54,0)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hidden="1" x14ac:dyDescent="0.2">
      <c r="B3417" s="31">
        <v>3408</v>
      </c>
      <c r="J3417">
        <f t="shared" si="58"/>
        <v>105000</v>
      </c>
      <c r="K3417" t="e">
        <f>VLOOKUP(B3417,'REGISTRO ABONOS'!$B$8:$BC$10041,54,0)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hidden="1" x14ac:dyDescent="0.2">
      <c r="B3418" s="31">
        <v>3409</v>
      </c>
      <c r="J3418">
        <f t="shared" si="58"/>
        <v>105000</v>
      </c>
      <c r="K3418" t="e">
        <f>VLOOKUP(B3418,'REGISTRO ABONOS'!$B$8:$BC$10041,54,0)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hidden="1" x14ac:dyDescent="0.2">
      <c r="B3419" s="31">
        <v>3410</v>
      </c>
      <c r="J3419">
        <f t="shared" si="58"/>
        <v>105000</v>
      </c>
      <c r="K3419" t="e">
        <f>VLOOKUP(B3419,'REGISTRO ABONOS'!$B$8:$BC$10041,54,0)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hidden="1" x14ac:dyDescent="0.2">
      <c r="B3420" s="31">
        <v>3411</v>
      </c>
      <c r="J3420">
        <f t="shared" si="58"/>
        <v>105000</v>
      </c>
      <c r="K3420" t="e">
        <f>VLOOKUP(B3420,'REGISTRO ABONOS'!$B$8:$BC$10041,54,0)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hidden="1" x14ac:dyDescent="0.2">
      <c r="B3421" s="31">
        <v>3412</v>
      </c>
      <c r="J3421">
        <f t="shared" si="58"/>
        <v>105000</v>
      </c>
      <c r="K3421" t="e">
        <f>VLOOKUP(B3421,'REGISTRO ABONOS'!$B$8:$BC$10041,54,0)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8"/>
        <v>105000</v>
      </c>
      <c r="K3422">
        <f>VLOOKUP(B3422,'REGISTRO ABONOS'!$B$8:$BC$10041,54,0)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hidden="1" x14ac:dyDescent="0.2">
      <c r="B3423" s="31">
        <v>3414</v>
      </c>
      <c r="J3423">
        <f t="shared" si="58"/>
        <v>105000</v>
      </c>
      <c r="K3423" t="e">
        <f>VLOOKUP(B3423,'REGISTRO ABONOS'!$B$8:$BC$10041,54,0)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hidden="1" x14ac:dyDescent="0.2">
      <c r="B3424" s="31">
        <v>3415</v>
      </c>
      <c r="J3424">
        <f t="shared" si="58"/>
        <v>105000</v>
      </c>
      <c r="K3424" t="e">
        <f>VLOOKUP(B3424,'REGISTRO ABONOS'!$B$8:$BC$10041,54,0)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hidden="1" x14ac:dyDescent="0.2">
      <c r="B3425" s="31">
        <v>3416</v>
      </c>
      <c r="J3425">
        <f t="shared" si="58"/>
        <v>105000</v>
      </c>
      <c r="K3425" t="e">
        <f>VLOOKUP(B3425,'REGISTRO ABONOS'!$B$8:$BC$10041,54,0)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hidden="1" x14ac:dyDescent="0.2">
      <c r="B3426" s="31">
        <v>3417</v>
      </c>
      <c r="J3426">
        <f t="shared" si="58"/>
        <v>105000</v>
      </c>
      <c r="K3426" t="e">
        <f>VLOOKUP(B3426,'REGISTRO ABONOS'!$B$8:$BC$10041,54,0)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hidden="1" x14ac:dyDescent="0.2">
      <c r="B3427" s="31">
        <v>3418</v>
      </c>
      <c r="J3427">
        <f t="shared" si="58"/>
        <v>105000</v>
      </c>
      <c r="K3427" t="e">
        <f>VLOOKUP(B3427,'REGISTRO ABONOS'!$B$8:$BC$10041,54,0)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hidden="1" x14ac:dyDescent="0.2">
      <c r="B3428" s="31">
        <v>3419</v>
      </c>
      <c r="J3428">
        <f t="shared" si="58"/>
        <v>105000</v>
      </c>
      <c r="K3428" t="e">
        <f>VLOOKUP(B3428,'REGISTRO ABONOS'!$B$8:$BC$10041,54,0)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hidden="1" x14ac:dyDescent="0.2">
      <c r="B3429" s="31">
        <v>3420</v>
      </c>
      <c r="J3429">
        <f t="shared" si="58"/>
        <v>105000</v>
      </c>
      <c r="K3429" t="e">
        <f>VLOOKUP(B3429,'REGISTRO ABONOS'!$B$8:$BC$10041,54,0)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hidden="1" x14ac:dyDescent="0.2">
      <c r="B3430" s="31">
        <v>3421</v>
      </c>
      <c r="J3430">
        <f t="shared" si="58"/>
        <v>105000</v>
      </c>
      <c r="K3430" t="e">
        <f>VLOOKUP(B3430,'REGISTRO ABONOS'!$B$8:$BC$10041,54,0)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hidden="1" x14ac:dyDescent="0.2">
      <c r="B3431" s="31">
        <v>3422</v>
      </c>
      <c r="J3431">
        <f t="shared" si="58"/>
        <v>105000</v>
      </c>
      <c r="K3431" t="e">
        <f>VLOOKUP(B3431,'REGISTRO ABONOS'!$B$8:$BC$10041,54,0)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8"/>
        <v>105000</v>
      </c>
      <c r="K3432" t="e">
        <f>VLOOKUP(B3432,'REGISTRO ABONOS'!$B$8:$BC$10041,54,0)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hidden="1" x14ac:dyDescent="0.2">
      <c r="B3433" s="31">
        <v>3424</v>
      </c>
      <c r="J3433">
        <f t="shared" si="58"/>
        <v>105000</v>
      </c>
      <c r="K3433" t="e">
        <f>VLOOKUP(B3433,'REGISTRO ABONOS'!$B$8:$BC$10041,54,0)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hidden="1" x14ac:dyDescent="0.2">
      <c r="B3434" s="31">
        <v>3425</v>
      </c>
      <c r="J3434">
        <f t="shared" si="58"/>
        <v>105000</v>
      </c>
      <c r="K3434" t="e">
        <f>VLOOKUP(B3434,'REGISTRO ABONOS'!$B$8:$BC$10041,54,0)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hidden="1" x14ac:dyDescent="0.2">
      <c r="B3435" s="31">
        <v>3426</v>
      </c>
      <c r="J3435">
        <f t="shared" si="58"/>
        <v>105000</v>
      </c>
      <c r="K3435" t="e">
        <f>VLOOKUP(B3435,'REGISTRO ABONOS'!$B$8:$BC$10041,54,0)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hidden="1" x14ac:dyDescent="0.2">
      <c r="B3436" s="31">
        <v>3427</v>
      </c>
      <c r="J3436">
        <f t="shared" si="58"/>
        <v>105000</v>
      </c>
      <c r="K3436" t="e">
        <f>VLOOKUP(B3436,'REGISTRO ABONOS'!$B$8:$BC$10041,54,0)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hidden="1" x14ac:dyDescent="0.2">
      <c r="B3437" s="31">
        <v>3428</v>
      </c>
      <c r="J3437">
        <f t="shared" si="58"/>
        <v>105000</v>
      </c>
      <c r="K3437" t="e">
        <f>VLOOKUP(B3437,'REGISTRO ABONOS'!$B$8:$BC$10041,54,0)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hidden="1" x14ac:dyDescent="0.2">
      <c r="B3438" s="31">
        <v>3429</v>
      </c>
      <c r="J3438">
        <f t="shared" si="58"/>
        <v>105000</v>
      </c>
      <c r="K3438" t="e">
        <f>VLOOKUP(B3438,'REGISTRO ABONOS'!$B$8:$BC$10041,54,0)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hidden="1" x14ac:dyDescent="0.2">
      <c r="B3439" s="31">
        <v>3430</v>
      </c>
      <c r="J3439">
        <f t="shared" si="58"/>
        <v>105000</v>
      </c>
      <c r="K3439" t="e">
        <f>VLOOKUP(B3439,'REGISTRO ABONOS'!$B$8:$BC$10041,54,0)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hidden="1" x14ac:dyDescent="0.2">
      <c r="B3440" s="31">
        <v>3431</v>
      </c>
      <c r="J3440">
        <f t="shared" si="58"/>
        <v>105000</v>
      </c>
      <c r="K3440" t="e">
        <f>VLOOKUP(B3440,'REGISTRO ABONOS'!$B$8:$BC$10041,54,0)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hidden="1" x14ac:dyDescent="0.2">
      <c r="B3441" s="31">
        <v>3432</v>
      </c>
      <c r="J3441">
        <f t="shared" si="58"/>
        <v>105000</v>
      </c>
      <c r="K3441" t="e">
        <f>VLOOKUP(B3441,'REGISTRO ABONOS'!$B$8:$BC$10041,54,0)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hidden="1" x14ac:dyDescent="0.2">
      <c r="B3442" s="31">
        <v>3433</v>
      </c>
      <c r="J3442">
        <f t="shared" si="58"/>
        <v>105000</v>
      </c>
      <c r="K3442" t="e">
        <f>VLOOKUP(B3442,'REGISTRO ABONOS'!$B$8:$BC$10041,54,0)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hidden="1" x14ac:dyDescent="0.2">
      <c r="B3443" s="31">
        <v>3434</v>
      </c>
      <c r="J3443">
        <f t="shared" si="58"/>
        <v>105000</v>
      </c>
      <c r="K3443" t="e">
        <f>VLOOKUP(B3443,'REGISTRO ABONOS'!$B$8:$BC$10041,54,0)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hidden="1" x14ac:dyDescent="0.2">
      <c r="B3444" s="31">
        <v>3435</v>
      </c>
      <c r="J3444">
        <f t="shared" si="58"/>
        <v>105000</v>
      </c>
      <c r="K3444" t="e">
        <f>VLOOKUP(B3444,'REGISTRO ABONOS'!$B$8:$BC$10041,54,0)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hidden="1" x14ac:dyDescent="0.2">
      <c r="B3445" s="31">
        <v>3436</v>
      </c>
      <c r="J3445">
        <f t="shared" si="58"/>
        <v>105000</v>
      </c>
      <c r="K3445" t="e">
        <f>VLOOKUP(B3445,'REGISTRO ABONOS'!$B$8:$BC$10041,54,0)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hidden="1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ABONOS'!$B$8:$BC$10041,54,0)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hidden="1" x14ac:dyDescent="0.2">
      <c r="B3447" s="31">
        <v>3438</v>
      </c>
      <c r="J3447">
        <f t="shared" si="59"/>
        <v>105000</v>
      </c>
      <c r="K3447" t="e">
        <f>VLOOKUP(B3447,'REGISTRO ABONOS'!$B$8:$BC$10041,54,0)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hidden="1" x14ac:dyDescent="0.2">
      <c r="B3448" s="31">
        <v>3439</v>
      </c>
      <c r="J3448">
        <f t="shared" si="59"/>
        <v>105000</v>
      </c>
      <c r="K3448" t="e">
        <f>VLOOKUP(B3448,'REGISTRO ABONOS'!$B$8:$BC$10041,54,0)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hidden="1" x14ac:dyDescent="0.2">
      <c r="B3449" s="31">
        <v>3440</v>
      </c>
      <c r="J3449">
        <f t="shared" si="59"/>
        <v>105000</v>
      </c>
      <c r="K3449" t="e">
        <f>VLOOKUP(B3449,'REGISTRO ABONOS'!$B$8:$BC$10041,54,0)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hidden="1" x14ac:dyDescent="0.2">
      <c r="B3450" s="31">
        <v>3441</v>
      </c>
      <c r="J3450">
        <f t="shared" si="59"/>
        <v>105000</v>
      </c>
      <c r="K3450" t="e">
        <f>VLOOKUP(B3450,'REGISTRO ABONOS'!$B$8:$BC$10041,54,0)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hidden="1" x14ac:dyDescent="0.2">
      <c r="B3451" s="31">
        <v>3442</v>
      </c>
      <c r="J3451">
        <f t="shared" si="59"/>
        <v>105000</v>
      </c>
      <c r="K3451" t="e">
        <f>VLOOKUP(B3451,'REGISTRO ABONOS'!$B$8:$BC$10041,54,0)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hidden="1" x14ac:dyDescent="0.2">
      <c r="B3452" s="31">
        <v>3443</v>
      </c>
      <c r="J3452">
        <f t="shared" si="59"/>
        <v>105000</v>
      </c>
      <c r="K3452" t="e">
        <f>VLOOKUP(B3452,'REGISTRO ABONOS'!$B$8:$BC$10041,54,0)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hidden="1" x14ac:dyDescent="0.2">
      <c r="B3453" s="31">
        <v>3444</v>
      </c>
      <c r="J3453">
        <f t="shared" si="59"/>
        <v>105000</v>
      </c>
      <c r="K3453" t="e">
        <f>VLOOKUP(B3453,'REGISTRO ABONOS'!$B$8:$BC$10041,54,0)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hidden="1" x14ac:dyDescent="0.2">
      <c r="B3454" s="31">
        <v>3445</v>
      </c>
      <c r="J3454">
        <f t="shared" si="59"/>
        <v>105000</v>
      </c>
      <c r="K3454" t="e">
        <f>VLOOKUP(B3454,'REGISTRO ABONOS'!$B$8:$BC$10041,54,0)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hidden="1" x14ac:dyDescent="0.2">
      <c r="B3455" s="31">
        <v>3446</v>
      </c>
      <c r="J3455">
        <f t="shared" si="59"/>
        <v>105000</v>
      </c>
      <c r="K3455" t="e">
        <f>VLOOKUP(B3455,'REGISTRO ABONOS'!$B$8:$BC$10041,54,0)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hidden="1" x14ac:dyDescent="0.2">
      <c r="B3456" s="31">
        <v>3447</v>
      </c>
      <c r="J3456">
        <f t="shared" si="59"/>
        <v>105000</v>
      </c>
      <c r="K3456" t="e">
        <f>VLOOKUP(B3456,'REGISTRO ABONOS'!$B$8:$BC$10041,54,0)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hidden="1" x14ac:dyDescent="0.2">
      <c r="B3457" s="31">
        <v>3448</v>
      </c>
      <c r="J3457">
        <f t="shared" si="59"/>
        <v>105000</v>
      </c>
      <c r="K3457" t="e">
        <f>VLOOKUP(B3457,'REGISTRO ABONOS'!$B$8:$BC$10041,54,0)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hidden="1" x14ac:dyDescent="0.2">
      <c r="B3458" s="31">
        <v>3449</v>
      </c>
      <c r="J3458">
        <f t="shared" si="59"/>
        <v>105000</v>
      </c>
      <c r="K3458" t="e">
        <f>VLOOKUP(B3458,'REGISTRO ABONOS'!$B$8:$BC$10041,54,0)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hidden="1" x14ac:dyDescent="0.2">
      <c r="B3459" s="31">
        <v>3450</v>
      </c>
      <c r="J3459">
        <f t="shared" si="59"/>
        <v>105000</v>
      </c>
      <c r="K3459" t="e">
        <f>VLOOKUP(B3459,'REGISTRO ABONOS'!$B$8:$BC$10041,54,0)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hidden="1" x14ac:dyDescent="0.2">
      <c r="B3460" s="31">
        <v>3451</v>
      </c>
      <c r="J3460">
        <f t="shared" si="59"/>
        <v>105000</v>
      </c>
      <c r="K3460" t="e">
        <f>VLOOKUP(B3460,'REGISTRO ABONOS'!$B$8:$BC$10041,54,0)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hidden="1" x14ac:dyDescent="0.2">
      <c r="B3461" s="31">
        <v>3452</v>
      </c>
      <c r="J3461">
        <f t="shared" si="59"/>
        <v>105000</v>
      </c>
      <c r="K3461" t="e">
        <f>VLOOKUP(B3461,'REGISTRO ABONOS'!$B$8:$BC$10041,54,0)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hidden="1" x14ac:dyDescent="0.2">
      <c r="B3462" s="31">
        <v>3453</v>
      </c>
      <c r="J3462">
        <f t="shared" si="59"/>
        <v>105000</v>
      </c>
      <c r="K3462" t="e">
        <f>VLOOKUP(B3462,'REGISTRO ABONOS'!$B$8:$BC$10041,54,0)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hidden="1" x14ac:dyDescent="0.2">
      <c r="B3463" s="31">
        <v>3454</v>
      </c>
      <c r="J3463">
        <f t="shared" si="59"/>
        <v>105000</v>
      </c>
      <c r="K3463" t="e">
        <f>VLOOKUP(B3463,'REGISTRO ABONOS'!$B$8:$BC$10041,54,0)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hidden="1" x14ac:dyDescent="0.2">
      <c r="B3464" s="31">
        <v>3455</v>
      </c>
      <c r="J3464">
        <f t="shared" si="59"/>
        <v>105000</v>
      </c>
      <c r="K3464" t="e">
        <f>VLOOKUP(B3464,'REGISTRO ABONOS'!$B$8:$BC$10041,54,0)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hidden="1" x14ac:dyDescent="0.2">
      <c r="B3465" s="31">
        <v>3456</v>
      </c>
      <c r="J3465">
        <f t="shared" si="59"/>
        <v>105000</v>
      </c>
      <c r="K3465" t="e">
        <f>VLOOKUP(B3465,'REGISTRO ABONOS'!$B$8:$BC$10041,54,0)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hidden="1" x14ac:dyDescent="0.2">
      <c r="B3466" s="31">
        <v>3457</v>
      </c>
      <c r="J3466">
        <f t="shared" si="59"/>
        <v>105000</v>
      </c>
      <c r="K3466" t="e">
        <f>VLOOKUP(B3466,'REGISTRO ABONOS'!$B$8:$BC$10041,54,0)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hidden="1" x14ac:dyDescent="0.2">
      <c r="B3467" s="31">
        <v>3458</v>
      </c>
      <c r="J3467">
        <f t="shared" si="59"/>
        <v>105000</v>
      </c>
      <c r="K3467" t="e">
        <f>VLOOKUP(B3467,'REGISTRO ABONOS'!$B$8:$BC$10041,54,0)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hidden="1" x14ac:dyDescent="0.2">
      <c r="B3468" s="31">
        <v>3459</v>
      </c>
      <c r="J3468">
        <f t="shared" si="59"/>
        <v>105000</v>
      </c>
      <c r="K3468" t="e">
        <f>VLOOKUP(B3468,'REGISTRO ABONOS'!$B$8:$BC$10041,54,0)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hidden="1" x14ac:dyDescent="0.2">
      <c r="B3469" s="31">
        <v>3460</v>
      </c>
      <c r="J3469">
        <f t="shared" si="59"/>
        <v>105000</v>
      </c>
      <c r="K3469" t="e">
        <f>VLOOKUP(B3469,'REGISTRO ABONOS'!$B$8:$BC$10041,54,0)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hidden="1" x14ac:dyDescent="0.2">
      <c r="B3470" s="31">
        <v>3461</v>
      </c>
      <c r="J3470">
        <f t="shared" si="59"/>
        <v>105000</v>
      </c>
      <c r="K3470" t="e">
        <f>VLOOKUP(B3470,'REGISTRO ABONOS'!$B$8:$BC$10041,54,0)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hidden="1" x14ac:dyDescent="0.2">
      <c r="B3471" s="31">
        <v>3462</v>
      </c>
      <c r="J3471">
        <f t="shared" si="59"/>
        <v>105000</v>
      </c>
      <c r="K3471" t="e">
        <f>VLOOKUP(B3471,'REGISTRO ABONOS'!$B$8:$BC$10041,54,0)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hidden="1" x14ac:dyDescent="0.2">
      <c r="B3472" s="31">
        <v>3463</v>
      </c>
      <c r="J3472">
        <f t="shared" si="59"/>
        <v>105000</v>
      </c>
      <c r="K3472" t="e">
        <f>VLOOKUP(B3472,'REGISTRO ABONOS'!$B$8:$BC$10041,54,0)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hidden="1" x14ac:dyDescent="0.2">
      <c r="B3473" s="31">
        <v>3464</v>
      </c>
      <c r="J3473">
        <f t="shared" si="59"/>
        <v>105000</v>
      </c>
      <c r="K3473" t="e">
        <f>VLOOKUP(B3473,'REGISTRO ABONOS'!$B$8:$BC$10041,54,0)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hidden="1" x14ac:dyDescent="0.2">
      <c r="B3474" s="31">
        <v>3465</v>
      </c>
      <c r="J3474">
        <f t="shared" si="59"/>
        <v>105000</v>
      </c>
      <c r="K3474" t="e">
        <f>VLOOKUP(B3474,'REGISTRO ABONOS'!$B$8:$BC$10041,54,0)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hidden="1" x14ac:dyDescent="0.2">
      <c r="B3475" s="31">
        <v>3466</v>
      </c>
      <c r="J3475">
        <f t="shared" si="59"/>
        <v>105000</v>
      </c>
      <c r="K3475" t="e">
        <f>VLOOKUP(B3475,'REGISTRO ABONOS'!$B$8:$BC$10041,54,0)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hidden="1" x14ac:dyDescent="0.2">
      <c r="B3476" s="31">
        <v>3467</v>
      </c>
      <c r="J3476">
        <f t="shared" si="59"/>
        <v>105000</v>
      </c>
      <c r="K3476" t="e">
        <f>VLOOKUP(B3476,'REGISTRO ABONOS'!$B$8:$BC$10041,54,0)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hidden="1" x14ac:dyDescent="0.2">
      <c r="B3477" s="31">
        <v>3468</v>
      </c>
      <c r="J3477">
        <f t="shared" si="59"/>
        <v>105000</v>
      </c>
      <c r="K3477" t="e">
        <f>VLOOKUP(B3477,'REGISTRO ABONOS'!$B$8:$BC$10041,54,0)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hidden="1" x14ac:dyDescent="0.2">
      <c r="B3478" s="31">
        <v>3469</v>
      </c>
      <c r="J3478">
        <f t="shared" si="59"/>
        <v>105000</v>
      </c>
      <c r="K3478" t="e">
        <f>VLOOKUP(B3478,'REGISTRO ABONOS'!$B$8:$BC$10041,54,0)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hidden="1" x14ac:dyDescent="0.2">
      <c r="B3479" s="31">
        <v>3470</v>
      </c>
      <c r="J3479">
        <f t="shared" si="59"/>
        <v>105000</v>
      </c>
      <c r="K3479" t="e">
        <f>VLOOKUP(B3479,'REGISTRO ABONOS'!$B$8:$BC$10041,54,0)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hidden="1" x14ac:dyDescent="0.2">
      <c r="B3480" s="31">
        <v>3471</v>
      </c>
      <c r="J3480">
        <f t="shared" si="59"/>
        <v>105000</v>
      </c>
      <c r="K3480" t="e">
        <f>VLOOKUP(B3480,'REGISTRO ABONOS'!$B$8:$BC$10041,54,0)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hidden="1" x14ac:dyDescent="0.2">
      <c r="B3481" s="31">
        <v>3472</v>
      </c>
      <c r="J3481">
        <f t="shared" si="59"/>
        <v>105000</v>
      </c>
      <c r="K3481" t="e">
        <f>VLOOKUP(B3481,'REGISTRO ABONOS'!$B$8:$BC$10041,54,0)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hidden="1" x14ac:dyDescent="0.2">
      <c r="B3482" s="31">
        <v>3473</v>
      </c>
      <c r="J3482">
        <f t="shared" si="59"/>
        <v>105000</v>
      </c>
      <c r="K3482" t="e">
        <f>VLOOKUP(B3482,'REGISTRO ABONOS'!$B$8:$BC$10041,54,0)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hidden="1" x14ac:dyDescent="0.2">
      <c r="B3483" s="31">
        <v>3474</v>
      </c>
      <c r="J3483">
        <f t="shared" si="59"/>
        <v>105000</v>
      </c>
      <c r="K3483" t="e">
        <f>VLOOKUP(B3483,'REGISTRO ABONOS'!$B$8:$BC$10041,54,0)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hidden="1" x14ac:dyDescent="0.2">
      <c r="B3484" s="31">
        <v>3475</v>
      </c>
      <c r="J3484">
        <f t="shared" si="59"/>
        <v>105000</v>
      </c>
      <c r="K3484" t="e">
        <f>VLOOKUP(B3484,'REGISTRO ABONOS'!$B$8:$BC$10041,54,0)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hidden="1" x14ac:dyDescent="0.2">
      <c r="B3485" s="31">
        <v>3476</v>
      </c>
      <c r="J3485">
        <f t="shared" si="59"/>
        <v>105000</v>
      </c>
      <c r="K3485" t="e">
        <f>VLOOKUP(B3485,'REGISTRO ABONOS'!$B$8:$BC$10041,54,0)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hidden="1" x14ac:dyDescent="0.2">
      <c r="B3486" s="31">
        <v>3477</v>
      </c>
      <c r="J3486">
        <f t="shared" si="59"/>
        <v>105000</v>
      </c>
      <c r="K3486" t="e">
        <f>VLOOKUP(B3486,'REGISTRO ABONOS'!$B$8:$BC$10041,54,0)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hidden="1" x14ac:dyDescent="0.2">
      <c r="B3487" s="31">
        <v>3478</v>
      </c>
      <c r="J3487">
        <f t="shared" si="59"/>
        <v>105000</v>
      </c>
      <c r="K3487" t="e">
        <f>VLOOKUP(B3487,'REGISTRO ABONOS'!$B$8:$BC$10041,54,0)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hidden="1" x14ac:dyDescent="0.2">
      <c r="B3488" s="31">
        <v>3479</v>
      </c>
      <c r="J3488">
        <f t="shared" si="59"/>
        <v>105000</v>
      </c>
      <c r="K3488" t="e">
        <f>VLOOKUP(B3488,'REGISTRO ABONOS'!$B$8:$BC$10041,54,0)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hidden="1" x14ac:dyDescent="0.2">
      <c r="B3489" s="31">
        <v>3480</v>
      </c>
      <c r="J3489">
        <f t="shared" si="59"/>
        <v>105000</v>
      </c>
      <c r="K3489" t="e">
        <f>VLOOKUP(B3489,'REGISTRO ABONOS'!$B$8:$BC$10041,54,0)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hidden="1" x14ac:dyDescent="0.2">
      <c r="B3490" s="31">
        <v>3481</v>
      </c>
      <c r="J3490">
        <f t="shared" si="59"/>
        <v>105000</v>
      </c>
      <c r="K3490" t="e">
        <f>VLOOKUP(B3490,'REGISTRO ABONOS'!$B$8:$BC$10041,54,0)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hidden="1" x14ac:dyDescent="0.2">
      <c r="B3491" s="31">
        <v>3482</v>
      </c>
      <c r="J3491">
        <f t="shared" si="59"/>
        <v>105000</v>
      </c>
      <c r="K3491" t="e">
        <f>VLOOKUP(B3491,'REGISTRO ABONOS'!$B$8:$BC$10041,54,0)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hidden="1" x14ac:dyDescent="0.2">
      <c r="B3492" s="31">
        <v>3483</v>
      </c>
      <c r="J3492">
        <f t="shared" si="59"/>
        <v>105000</v>
      </c>
      <c r="K3492" t="e">
        <f>VLOOKUP(B3492,'REGISTRO ABONOS'!$B$8:$BC$10041,54,0)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hidden="1" x14ac:dyDescent="0.2">
      <c r="B3493" s="31">
        <v>3484</v>
      </c>
      <c r="J3493">
        <f t="shared" si="59"/>
        <v>105000</v>
      </c>
      <c r="K3493" t="e">
        <f>VLOOKUP(B3493,'REGISTRO ABONOS'!$B$8:$BC$10041,54,0)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hidden="1" x14ac:dyDescent="0.2">
      <c r="B3494" s="31">
        <v>3485</v>
      </c>
      <c r="J3494">
        <f t="shared" si="59"/>
        <v>105000</v>
      </c>
      <c r="K3494" t="e">
        <f>VLOOKUP(B3494,'REGISTRO ABONOS'!$B$8:$BC$10041,54,0)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hidden="1" x14ac:dyDescent="0.2">
      <c r="B3495" s="31">
        <v>3486</v>
      </c>
      <c r="J3495">
        <f t="shared" si="59"/>
        <v>105000</v>
      </c>
      <c r="K3495" t="e">
        <f>VLOOKUP(B3495,'REGISTRO ABONOS'!$B$8:$BC$10041,54,0)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hidden="1" x14ac:dyDescent="0.2">
      <c r="B3496" s="31">
        <v>3487</v>
      </c>
      <c r="J3496">
        <f t="shared" si="59"/>
        <v>105000</v>
      </c>
      <c r="K3496" t="e">
        <f>VLOOKUP(B3496,'REGISTRO ABONOS'!$B$8:$BC$10041,54,0)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hidden="1" x14ac:dyDescent="0.2">
      <c r="B3497" s="31">
        <v>3488</v>
      </c>
      <c r="J3497">
        <f t="shared" si="59"/>
        <v>105000</v>
      </c>
      <c r="K3497" t="e">
        <f>VLOOKUP(B3497,'REGISTRO ABONOS'!$B$8:$BC$10041,54,0)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hidden="1" x14ac:dyDescent="0.2">
      <c r="B3498" s="31">
        <v>3489</v>
      </c>
      <c r="J3498">
        <f t="shared" si="59"/>
        <v>105000</v>
      </c>
      <c r="K3498" t="e">
        <f>VLOOKUP(B3498,'REGISTRO ABONOS'!$B$8:$BC$10041,54,0)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hidden="1" x14ac:dyDescent="0.2">
      <c r="B3499" s="31">
        <v>3490</v>
      </c>
      <c r="J3499">
        <f t="shared" si="59"/>
        <v>105000</v>
      </c>
      <c r="K3499" t="e">
        <f>VLOOKUP(B3499,'REGISTRO ABONOS'!$B$8:$BC$10041,54,0)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hidden="1" x14ac:dyDescent="0.2">
      <c r="B3500" s="31">
        <v>3491</v>
      </c>
      <c r="J3500">
        <f t="shared" si="59"/>
        <v>105000</v>
      </c>
      <c r="K3500" t="e">
        <f>VLOOKUP(B3500,'REGISTRO ABONOS'!$B$8:$BC$10041,54,0)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hidden="1" x14ac:dyDescent="0.2">
      <c r="B3501" s="31">
        <v>3492</v>
      </c>
      <c r="J3501">
        <f t="shared" si="59"/>
        <v>105000</v>
      </c>
      <c r="K3501" t="e">
        <f>VLOOKUP(B3501,'REGISTRO ABONOS'!$B$8:$BC$10041,54,0)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hidden="1" x14ac:dyDescent="0.2">
      <c r="B3502" s="31">
        <v>3493</v>
      </c>
      <c r="J3502">
        <f t="shared" si="59"/>
        <v>105000</v>
      </c>
      <c r="K3502" t="e">
        <f>VLOOKUP(B3502,'REGISTRO ABONOS'!$B$8:$BC$10041,54,0)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hidden="1" x14ac:dyDescent="0.2">
      <c r="B3503" s="31">
        <v>3494</v>
      </c>
      <c r="J3503">
        <f t="shared" si="59"/>
        <v>105000</v>
      </c>
      <c r="K3503" t="e">
        <f>VLOOKUP(B3503,'REGISTRO ABONOS'!$B$8:$BC$10041,54,0)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hidden="1" x14ac:dyDescent="0.2">
      <c r="B3504" s="31">
        <v>3495</v>
      </c>
      <c r="J3504">
        <f t="shared" si="59"/>
        <v>105000</v>
      </c>
      <c r="K3504" t="e">
        <f>VLOOKUP(B3504,'REGISTRO ABONOS'!$B$8:$BC$10041,54,0)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hidden="1" x14ac:dyDescent="0.2">
      <c r="B3505" s="31">
        <v>3496</v>
      </c>
      <c r="J3505">
        <f t="shared" si="59"/>
        <v>105000</v>
      </c>
      <c r="K3505" t="e">
        <f>VLOOKUP(B3505,'REGISTRO ABONOS'!$B$8:$BC$10041,54,0)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hidden="1" x14ac:dyDescent="0.2">
      <c r="B3506" s="31">
        <v>3497</v>
      </c>
      <c r="J3506">
        <f t="shared" si="59"/>
        <v>105000</v>
      </c>
      <c r="K3506" t="e">
        <f>VLOOKUP(B3506,'REGISTRO ABONOS'!$B$8:$BC$10041,54,0)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hidden="1" x14ac:dyDescent="0.2">
      <c r="B3507" s="31">
        <v>3498</v>
      </c>
      <c r="J3507">
        <f t="shared" si="59"/>
        <v>105000</v>
      </c>
      <c r="K3507" t="e">
        <f>VLOOKUP(B3507,'REGISTRO ABONOS'!$B$8:$BC$10041,54,0)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hidden="1" x14ac:dyDescent="0.2">
      <c r="B3508" s="31">
        <v>3499</v>
      </c>
      <c r="J3508">
        <f t="shared" si="59"/>
        <v>105000</v>
      </c>
      <c r="K3508" t="e">
        <f>VLOOKUP(B3508,'REGISTRO ABONOS'!$B$8:$BC$10041,54,0)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hidden="1" x14ac:dyDescent="0.2">
      <c r="B3509" s="31">
        <v>3500</v>
      </c>
      <c r="J3509">
        <f t="shared" si="59"/>
        <v>105000</v>
      </c>
      <c r="K3509" t="e">
        <f>VLOOKUP(B3509,'REGISTRO ABONOS'!$B$8:$BC$10041,54,0)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hidden="1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ABONOS'!$B$8:$BC$10041,54,0)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hidden="1" x14ac:dyDescent="0.2">
      <c r="B3511" s="31">
        <v>3502</v>
      </c>
      <c r="J3511">
        <f t="shared" si="60"/>
        <v>105000</v>
      </c>
      <c r="K3511" t="e">
        <f>VLOOKUP(B3511,'REGISTRO ABONOS'!$B$8:$BC$10041,54,0)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hidden="1" x14ac:dyDescent="0.2">
      <c r="B3512" s="31">
        <v>3503</v>
      </c>
      <c r="J3512">
        <f t="shared" si="60"/>
        <v>105000</v>
      </c>
      <c r="K3512" t="e">
        <f>VLOOKUP(B3512,'REGISTRO ABONOS'!$B$8:$BC$10041,54,0)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hidden="1" x14ac:dyDescent="0.2">
      <c r="B3513" s="31">
        <v>3504</v>
      </c>
      <c r="J3513">
        <f t="shared" si="60"/>
        <v>105000</v>
      </c>
      <c r="K3513" t="e">
        <f>VLOOKUP(B3513,'REGISTRO ABONOS'!$B$8:$BC$10041,54,0)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hidden="1" x14ac:dyDescent="0.2">
      <c r="B3514" s="31">
        <v>3505</v>
      </c>
      <c r="J3514">
        <f t="shared" si="60"/>
        <v>105000</v>
      </c>
      <c r="K3514" t="e">
        <f>VLOOKUP(B3514,'REGISTRO ABONOS'!$B$8:$BC$10041,54,0)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hidden="1" x14ac:dyDescent="0.2">
      <c r="B3515" s="31">
        <v>3506</v>
      </c>
      <c r="J3515">
        <f t="shared" si="60"/>
        <v>105000</v>
      </c>
      <c r="K3515" t="e">
        <f>VLOOKUP(B3515,'REGISTRO ABONOS'!$B$8:$BC$10041,54,0)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hidden="1" x14ac:dyDescent="0.2">
      <c r="B3516" s="31">
        <v>3507</v>
      </c>
      <c r="J3516">
        <f t="shared" si="60"/>
        <v>105000</v>
      </c>
      <c r="K3516" t="e">
        <f>VLOOKUP(B3516,'REGISTRO ABONOS'!$B$8:$BC$10041,54,0)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hidden="1" x14ac:dyDescent="0.2">
      <c r="B3517" s="31">
        <v>3508</v>
      </c>
      <c r="J3517">
        <f t="shared" si="60"/>
        <v>105000</v>
      </c>
      <c r="K3517" t="e">
        <f>VLOOKUP(B3517,'REGISTRO ABONOS'!$B$8:$BC$10041,54,0)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hidden="1" x14ac:dyDescent="0.2">
      <c r="B3518" s="31">
        <v>3509</v>
      </c>
      <c r="J3518">
        <f t="shared" si="60"/>
        <v>105000</v>
      </c>
      <c r="K3518" t="e">
        <f>VLOOKUP(B3518,'REGISTRO ABONOS'!$B$8:$BC$10041,54,0)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hidden="1" x14ac:dyDescent="0.2">
      <c r="B3519" s="31">
        <v>3510</v>
      </c>
      <c r="J3519">
        <f t="shared" si="60"/>
        <v>105000</v>
      </c>
      <c r="K3519" t="e">
        <f>VLOOKUP(B3519,'REGISTRO ABONOS'!$B$8:$BC$10041,54,0)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hidden="1" x14ac:dyDescent="0.2">
      <c r="B3520" s="31">
        <v>3511</v>
      </c>
      <c r="J3520">
        <f t="shared" si="60"/>
        <v>105000</v>
      </c>
      <c r="K3520" t="e">
        <f>VLOOKUP(B3520,'REGISTRO ABONOS'!$B$8:$BC$10041,54,0)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hidden="1" x14ac:dyDescent="0.2">
      <c r="B3521" s="31">
        <v>3512</v>
      </c>
      <c r="J3521">
        <f t="shared" si="60"/>
        <v>105000</v>
      </c>
      <c r="K3521" t="e">
        <f>VLOOKUP(B3521,'REGISTRO ABONOS'!$B$8:$BC$10041,54,0)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hidden="1" x14ac:dyDescent="0.2">
      <c r="B3522" s="31">
        <v>3513</v>
      </c>
      <c r="J3522">
        <f t="shared" si="60"/>
        <v>105000</v>
      </c>
      <c r="K3522" t="e">
        <f>VLOOKUP(B3522,'REGISTRO ABONOS'!$B$8:$BC$10041,54,0)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hidden="1" x14ac:dyDescent="0.2">
      <c r="B3523" s="31">
        <v>3514</v>
      </c>
      <c r="J3523">
        <f t="shared" si="60"/>
        <v>105000</v>
      </c>
      <c r="K3523" t="e">
        <f>VLOOKUP(B3523,'REGISTRO ABONOS'!$B$8:$BC$10041,54,0)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hidden="1" x14ac:dyDescent="0.2">
      <c r="B3524" s="31">
        <v>3515</v>
      </c>
      <c r="J3524">
        <f t="shared" si="60"/>
        <v>105000</v>
      </c>
      <c r="K3524" t="e">
        <f>VLOOKUP(B3524,'REGISTRO ABONOS'!$B$8:$BC$10041,54,0)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hidden="1" x14ac:dyDescent="0.2">
      <c r="B3525" s="31">
        <v>3516</v>
      </c>
      <c r="J3525">
        <f t="shared" si="60"/>
        <v>105000</v>
      </c>
      <c r="K3525" t="e">
        <f>VLOOKUP(B3525,'REGISTRO ABONOS'!$B$8:$BC$10041,54,0)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hidden="1" x14ac:dyDescent="0.2">
      <c r="B3526" s="31">
        <v>3517</v>
      </c>
      <c r="J3526">
        <f t="shared" si="60"/>
        <v>105000</v>
      </c>
      <c r="K3526" t="e">
        <f>VLOOKUP(B3526,'REGISTRO ABONOS'!$B$8:$BC$10041,54,0)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hidden="1" x14ac:dyDescent="0.2">
      <c r="B3527" s="31">
        <v>3518</v>
      </c>
      <c r="J3527">
        <f t="shared" si="60"/>
        <v>105000</v>
      </c>
      <c r="K3527" t="e">
        <f>VLOOKUP(B3527,'REGISTRO ABONOS'!$B$8:$BC$10041,54,0)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hidden="1" x14ac:dyDescent="0.2">
      <c r="B3528" s="31">
        <v>3519</v>
      </c>
      <c r="J3528">
        <f t="shared" si="60"/>
        <v>105000</v>
      </c>
      <c r="K3528" t="e">
        <f>VLOOKUP(B3528,'REGISTRO ABONOS'!$B$8:$BC$10041,54,0)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hidden="1" x14ac:dyDescent="0.2">
      <c r="B3529" s="31">
        <v>3520</v>
      </c>
      <c r="J3529">
        <f t="shared" si="60"/>
        <v>105000</v>
      </c>
      <c r="K3529" t="e">
        <f>VLOOKUP(B3529,'REGISTRO ABONOS'!$B$8:$BC$10041,54,0)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hidden="1" x14ac:dyDescent="0.2">
      <c r="B3530" s="31">
        <v>3521</v>
      </c>
      <c r="J3530">
        <f t="shared" si="60"/>
        <v>105000</v>
      </c>
      <c r="K3530" t="e">
        <f>VLOOKUP(B3530,'REGISTRO ABONOS'!$B$8:$BC$10041,54,0)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hidden="1" x14ac:dyDescent="0.2">
      <c r="B3531" s="31">
        <v>3522</v>
      </c>
      <c r="J3531">
        <f t="shared" si="60"/>
        <v>105000</v>
      </c>
      <c r="K3531" t="e">
        <f>VLOOKUP(B3531,'REGISTRO ABONOS'!$B$8:$BC$10041,54,0)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hidden="1" x14ac:dyDescent="0.2">
      <c r="B3532" s="31">
        <v>3523</v>
      </c>
      <c r="J3532">
        <f t="shared" si="60"/>
        <v>105000</v>
      </c>
      <c r="K3532" t="e">
        <f>VLOOKUP(B3532,'REGISTRO ABONOS'!$B$8:$BC$10041,54,0)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hidden="1" x14ac:dyDescent="0.2">
      <c r="B3533" s="31">
        <v>3524</v>
      </c>
      <c r="J3533">
        <f t="shared" si="60"/>
        <v>105000</v>
      </c>
      <c r="K3533" t="e">
        <f>VLOOKUP(B3533,'REGISTRO ABONOS'!$B$8:$BC$10041,54,0)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hidden="1" x14ac:dyDescent="0.2">
      <c r="B3534" s="31">
        <v>3525</v>
      </c>
      <c r="J3534">
        <f t="shared" si="60"/>
        <v>105000</v>
      </c>
      <c r="K3534" t="e">
        <f>VLOOKUP(B3534,'REGISTRO ABONOS'!$B$8:$BC$10041,54,0)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hidden="1" x14ac:dyDescent="0.2">
      <c r="B3535" s="31">
        <v>3526</v>
      </c>
      <c r="J3535">
        <f t="shared" si="60"/>
        <v>105000</v>
      </c>
      <c r="K3535" t="e">
        <f>VLOOKUP(B3535,'REGISTRO ABONOS'!$B$8:$BC$10041,54,0)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hidden="1" x14ac:dyDescent="0.2">
      <c r="B3536" s="31">
        <v>3527</v>
      </c>
      <c r="J3536">
        <f t="shared" si="60"/>
        <v>105000</v>
      </c>
      <c r="K3536" t="e">
        <f>VLOOKUP(B3536,'REGISTRO ABONOS'!$B$8:$BC$10041,54,0)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hidden="1" x14ac:dyDescent="0.2">
      <c r="B3537" s="31">
        <v>3528</v>
      </c>
      <c r="J3537">
        <f t="shared" si="60"/>
        <v>105000</v>
      </c>
      <c r="K3537" t="e">
        <f>VLOOKUP(B3537,'REGISTRO ABONOS'!$B$8:$BC$10041,54,0)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hidden="1" x14ac:dyDescent="0.2">
      <c r="B3538" s="31">
        <v>3529</v>
      </c>
      <c r="J3538">
        <f t="shared" si="60"/>
        <v>105000</v>
      </c>
      <c r="K3538" t="e">
        <f>VLOOKUP(B3538,'REGISTRO ABONOS'!$B$8:$BC$10041,54,0)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hidden="1" x14ac:dyDescent="0.2">
      <c r="B3539" s="31">
        <v>3530</v>
      </c>
      <c r="C3539" s="10">
        <v>43571</v>
      </c>
      <c r="D3539" t="s">
        <v>503</v>
      </c>
      <c r="H3539" t="s">
        <v>503</v>
      </c>
      <c r="I3539" t="s">
        <v>322</v>
      </c>
      <c r="J3539">
        <f t="shared" si="60"/>
        <v>105000</v>
      </c>
      <c r="K3539" t="e">
        <f>VLOOKUP(B3539,'REGISTRO ABONOS'!$B$8:$BC$10041,54,0)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hidden="1" x14ac:dyDescent="0.2">
      <c r="B3540" s="31">
        <v>3531</v>
      </c>
      <c r="J3540">
        <f t="shared" si="60"/>
        <v>105000</v>
      </c>
      <c r="K3540" t="e">
        <f>VLOOKUP(B3540,'REGISTRO ABONOS'!$B$8:$BC$10041,54,0)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hidden="1" x14ac:dyDescent="0.2">
      <c r="B3541" s="31">
        <v>3532</v>
      </c>
      <c r="J3541">
        <f t="shared" si="60"/>
        <v>105000</v>
      </c>
      <c r="K3541" t="e">
        <f>VLOOKUP(B3541,'REGISTRO ABONOS'!$B$8:$BC$10041,54,0)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hidden="1" x14ac:dyDescent="0.2">
      <c r="B3542" s="31">
        <v>3533</v>
      </c>
      <c r="J3542">
        <f t="shared" si="60"/>
        <v>105000</v>
      </c>
      <c r="K3542" t="e">
        <f>VLOOKUP(B3542,'REGISTRO ABONOS'!$B$8:$BC$10041,54,0)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hidden="1" x14ac:dyDescent="0.2">
      <c r="B3543" s="31">
        <v>3534</v>
      </c>
      <c r="J3543">
        <f t="shared" si="60"/>
        <v>105000</v>
      </c>
      <c r="K3543" t="e">
        <f>VLOOKUP(B3543,'REGISTRO ABONOS'!$B$8:$BC$10041,54,0)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hidden="1" x14ac:dyDescent="0.2">
      <c r="B3544" s="31">
        <v>3535</v>
      </c>
      <c r="J3544">
        <f t="shared" si="60"/>
        <v>105000</v>
      </c>
      <c r="K3544" t="e">
        <f>VLOOKUP(B3544,'REGISTRO ABONOS'!$B$8:$BC$10041,54,0)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hidden="1" x14ac:dyDescent="0.2">
      <c r="B3545" s="31">
        <v>3536</v>
      </c>
      <c r="J3545">
        <f t="shared" si="60"/>
        <v>105000</v>
      </c>
      <c r="K3545" t="e">
        <f>VLOOKUP(B3545,'REGISTRO ABONOS'!$B$8:$BC$10041,54,0)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hidden="1" x14ac:dyDescent="0.2">
      <c r="B3546" s="31">
        <v>3537</v>
      </c>
      <c r="J3546">
        <f t="shared" si="60"/>
        <v>105000</v>
      </c>
      <c r="K3546" t="e">
        <f>VLOOKUP(B3546,'REGISTRO ABONOS'!$B$8:$BC$10041,54,0)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hidden="1" x14ac:dyDescent="0.2">
      <c r="B3547" s="31">
        <v>3538</v>
      </c>
      <c r="J3547">
        <f t="shared" si="60"/>
        <v>105000</v>
      </c>
      <c r="K3547" t="e">
        <f>VLOOKUP(B3547,'REGISTRO ABONOS'!$B$8:$BC$10041,54,0)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hidden="1" x14ac:dyDescent="0.2">
      <c r="B3548" s="31">
        <v>3539</v>
      </c>
      <c r="J3548">
        <f t="shared" si="60"/>
        <v>105000</v>
      </c>
      <c r="K3548" t="e">
        <f>VLOOKUP(B3548,'REGISTRO ABONOS'!$B$8:$BC$10041,54,0)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hidden="1" x14ac:dyDescent="0.2">
      <c r="B3549" s="31">
        <v>3540</v>
      </c>
      <c r="J3549">
        <f t="shared" si="60"/>
        <v>105000</v>
      </c>
      <c r="K3549" t="e">
        <f>VLOOKUP(B3549,'REGISTRO ABONOS'!$B$8:$BC$10041,54,0)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hidden="1" x14ac:dyDescent="0.2">
      <c r="B3550" s="31">
        <v>3541</v>
      </c>
      <c r="J3550">
        <f t="shared" si="60"/>
        <v>105000</v>
      </c>
      <c r="K3550" t="e">
        <f>VLOOKUP(B3550,'REGISTRO ABONOS'!$B$8:$BC$10041,54,0)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hidden="1" x14ac:dyDescent="0.2">
      <c r="B3551" s="31">
        <v>3542</v>
      </c>
      <c r="J3551">
        <f t="shared" si="60"/>
        <v>105000</v>
      </c>
      <c r="K3551" t="e">
        <f>VLOOKUP(B3551,'REGISTRO ABONOS'!$B$8:$BC$10041,54,0)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hidden="1" x14ac:dyDescent="0.2">
      <c r="B3552" s="31">
        <v>3543</v>
      </c>
      <c r="J3552">
        <f t="shared" si="60"/>
        <v>105000</v>
      </c>
      <c r="K3552" t="e">
        <f>VLOOKUP(B3552,'REGISTRO ABONOS'!$B$8:$BC$10041,54,0)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hidden="1" x14ac:dyDescent="0.2">
      <c r="B3553" s="31">
        <v>3544</v>
      </c>
      <c r="J3553">
        <f t="shared" si="60"/>
        <v>105000</v>
      </c>
      <c r="K3553" t="e">
        <f>VLOOKUP(B3553,'REGISTRO ABONOS'!$B$8:$BC$10041,54,0)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hidden="1" x14ac:dyDescent="0.2">
      <c r="B3554" s="31">
        <v>3545</v>
      </c>
      <c r="J3554">
        <f t="shared" si="60"/>
        <v>105000</v>
      </c>
      <c r="K3554" t="e">
        <f>VLOOKUP(B3554,'REGISTRO ABONOS'!$B$8:$BC$10041,54,0)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hidden="1" x14ac:dyDescent="0.2">
      <c r="B3555" s="31">
        <v>3546</v>
      </c>
      <c r="J3555">
        <f t="shared" si="60"/>
        <v>105000</v>
      </c>
      <c r="K3555" t="e">
        <f>VLOOKUP(B3555,'REGISTRO ABONOS'!$B$8:$BC$10041,54,0)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hidden="1" x14ac:dyDescent="0.2">
      <c r="B3556" s="31">
        <v>3547</v>
      </c>
      <c r="J3556">
        <f t="shared" si="60"/>
        <v>105000</v>
      </c>
      <c r="K3556" t="e">
        <f>VLOOKUP(B3556,'REGISTRO ABONOS'!$B$8:$BC$10041,54,0)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hidden="1" x14ac:dyDescent="0.2">
      <c r="B3557" s="31">
        <v>3548</v>
      </c>
      <c r="J3557">
        <f t="shared" si="60"/>
        <v>105000</v>
      </c>
      <c r="K3557" t="e">
        <f>VLOOKUP(B3557,'REGISTRO ABONOS'!$B$8:$BC$10041,54,0)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hidden="1" x14ac:dyDescent="0.2">
      <c r="B3558" s="31">
        <v>3549</v>
      </c>
      <c r="J3558">
        <f t="shared" si="60"/>
        <v>105000</v>
      </c>
      <c r="K3558" t="e">
        <f>VLOOKUP(B3558,'REGISTRO ABONOS'!$B$8:$BC$10041,54,0)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hidden="1" x14ac:dyDescent="0.2">
      <c r="B3559" s="31">
        <v>3550</v>
      </c>
      <c r="J3559">
        <f t="shared" si="60"/>
        <v>105000</v>
      </c>
      <c r="K3559" t="e">
        <f>VLOOKUP(B3559,'REGISTRO ABONOS'!$B$8:$BC$10041,54,0)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hidden="1" x14ac:dyDescent="0.2">
      <c r="B3560" s="31">
        <v>3551</v>
      </c>
      <c r="J3560">
        <f t="shared" si="60"/>
        <v>105000</v>
      </c>
      <c r="K3560" t="e">
        <f>VLOOKUP(B3560,'REGISTRO ABONOS'!$B$8:$BC$10041,54,0)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hidden="1" x14ac:dyDescent="0.2">
      <c r="B3561" s="31">
        <v>3552</v>
      </c>
      <c r="J3561">
        <f t="shared" si="60"/>
        <v>105000</v>
      </c>
      <c r="K3561" t="e">
        <f>VLOOKUP(B3561,'REGISTRO ABONOS'!$B$8:$BC$10041,54,0)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hidden="1" x14ac:dyDescent="0.2">
      <c r="B3562" s="31">
        <v>3553</v>
      </c>
      <c r="J3562">
        <f t="shared" si="60"/>
        <v>105000</v>
      </c>
      <c r="K3562" t="e">
        <f>VLOOKUP(B3562,'REGISTRO ABONOS'!$B$8:$BC$10041,54,0)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hidden="1" x14ac:dyDescent="0.2">
      <c r="B3563" s="31">
        <v>3554</v>
      </c>
      <c r="J3563">
        <f t="shared" si="60"/>
        <v>105000</v>
      </c>
      <c r="K3563" t="e">
        <f>VLOOKUP(B3563,'REGISTRO ABONOS'!$B$8:$BC$10041,54,0)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hidden="1" x14ac:dyDescent="0.2">
      <c r="B3564" s="31">
        <v>3555</v>
      </c>
      <c r="J3564">
        <f t="shared" si="60"/>
        <v>105000</v>
      </c>
      <c r="K3564" t="e">
        <f>VLOOKUP(B3564,'REGISTRO ABONOS'!$B$8:$BC$10041,54,0)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hidden="1" x14ac:dyDescent="0.2">
      <c r="B3565" s="31">
        <v>3556</v>
      </c>
      <c r="J3565">
        <f t="shared" si="60"/>
        <v>105000</v>
      </c>
      <c r="K3565" t="e">
        <f>VLOOKUP(B3565,'REGISTRO ABONOS'!$B$8:$BC$10041,54,0)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hidden="1" x14ac:dyDescent="0.2">
      <c r="B3566" s="31">
        <v>3557</v>
      </c>
      <c r="J3566">
        <f t="shared" si="60"/>
        <v>105000</v>
      </c>
      <c r="K3566" t="e">
        <f>VLOOKUP(B3566,'REGISTRO ABONOS'!$B$8:$BC$10041,54,0)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hidden="1" x14ac:dyDescent="0.2">
      <c r="B3567" s="31">
        <v>3558</v>
      </c>
      <c r="J3567">
        <f t="shared" si="60"/>
        <v>105000</v>
      </c>
      <c r="K3567" t="e">
        <f>VLOOKUP(B3567,'REGISTRO ABONOS'!$B$8:$BC$10041,54,0)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hidden="1" x14ac:dyDescent="0.2">
      <c r="B3568" s="31">
        <v>3559</v>
      </c>
      <c r="J3568">
        <f t="shared" si="60"/>
        <v>105000</v>
      </c>
      <c r="K3568" t="e">
        <f>VLOOKUP(B3568,'REGISTRO ABONOS'!$B$8:$BC$10041,54,0)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hidden="1" x14ac:dyDescent="0.2">
      <c r="B3569" s="31">
        <v>3560</v>
      </c>
      <c r="J3569">
        <f t="shared" si="60"/>
        <v>105000</v>
      </c>
      <c r="K3569" t="e">
        <f>VLOOKUP(B3569,'REGISTRO ABONOS'!$B$8:$BC$10041,54,0)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hidden="1" x14ac:dyDescent="0.2">
      <c r="B3570" s="31">
        <v>3561</v>
      </c>
      <c r="J3570">
        <f t="shared" si="60"/>
        <v>105000</v>
      </c>
      <c r="K3570" t="e">
        <f>VLOOKUP(B3570,'REGISTRO ABONOS'!$B$8:$BC$10041,54,0)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hidden="1" x14ac:dyDescent="0.2">
      <c r="B3571" s="31">
        <v>3562</v>
      </c>
      <c r="J3571">
        <f t="shared" si="60"/>
        <v>105000</v>
      </c>
      <c r="K3571" t="e">
        <f>VLOOKUP(B3571,'REGISTRO ABONOS'!$B$8:$BC$10041,54,0)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hidden="1" x14ac:dyDescent="0.2">
      <c r="B3572" s="31">
        <v>3563</v>
      </c>
      <c r="J3572">
        <f t="shared" si="60"/>
        <v>105000</v>
      </c>
      <c r="K3572" t="e">
        <f>VLOOKUP(B3572,'REGISTRO ABONOS'!$B$8:$BC$10041,54,0)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hidden="1" x14ac:dyDescent="0.2">
      <c r="B3573" s="31">
        <v>3564</v>
      </c>
      <c r="J3573">
        <f t="shared" si="60"/>
        <v>105000</v>
      </c>
      <c r="K3573" t="e">
        <f>VLOOKUP(B3573,'REGISTRO ABONOS'!$B$8:$BC$10041,54,0)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hidden="1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ABONOS'!$B$8:$BC$10041,54,0)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hidden="1" x14ac:dyDescent="0.2">
      <c r="B3575" s="31">
        <v>3566</v>
      </c>
      <c r="J3575">
        <f t="shared" si="61"/>
        <v>105000</v>
      </c>
      <c r="K3575" t="e">
        <f>VLOOKUP(B3575,'REGISTRO ABONOS'!$B$8:$BC$10041,54,0)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hidden="1" x14ac:dyDescent="0.2">
      <c r="B3576" s="31">
        <v>3567</v>
      </c>
      <c r="J3576">
        <f t="shared" si="61"/>
        <v>105000</v>
      </c>
      <c r="K3576" t="e">
        <f>VLOOKUP(B3576,'REGISTRO ABONOS'!$B$8:$BC$10041,54,0)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hidden="1" x14ac:dyDescent="0.2">
      <c r="B3577" s="31">
        <v>3568</v>
      </c>
      <c r="J3577">
        <f t="shared" si="61"/>
        <v>105000</v>
      </c>
      <c r="K3577" t="e">
        <f>VLOOKUP(B3577,'REGISTRO ABONOS'!$B$8:$BC$10041,54,0)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hidden="1" x14ac:dyDescent="0.2">
      <c r="B3578" s="31">
        <v>3569</v>
      </c>
      <c r="J3578">
        <f t="shared" si="61"/>
        <v>105000</v>
      </c>
      <c r="K3578" t="e">
        <f>VLOOKUP(B3578,'REGISTRO ABONOS'!$B$8:$BC$10041,54,0)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hidden="1" x14ac:dyDescent="0.2">
      <c r="B3579" s="31">
        <v>3570</v>
      </c>
      <c r="J3579">
        <f t="shared" si="61"/>
        <v>105000</v>
      </c>
      <c r="K3579" t="e">
        <f>VLOOKUP(B3579,'REGISTRO ABONOS'!$B$8:$BC$10041,54,0)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hidden="1" x14ac:dyDescent="0.2">
      <c r="B3580" s="31">
        <v>3571</v>
      </c>
      <c r="J3580">
        <f t="shared" si="61"/>
        <v>105000</v>
      </c>
      <c r="K3580" t="e">
        <f>VLOOKUP(B3580,'REGISTRO ABONOS'!$B$8:$BC$10041,54,0)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hidden="1" x14ac:dyDescent="0.2">
      <c r="B3581" s="31">
        <v>3572</v>
      </c>
      <c r="J3581">
        <f t="shared" si="61"/>
        <v>105000</v>
      </c>
      <c r="K3581" t="e">
        <f>VLOOKUP(B3581,'REGISTRO ABONOS'!$B$8:$BC$10041,54,0)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hidden="1" x14ac:dyDescent="0.2">
      <c r="B3582" s="31">
        <v>3573</v>
      </c>
      <c r="J3582">
        <f t="shared" si="61"/>
        <v>105000</v>
      </c>
      <c r="K3582" t="e">
        <f>VLOOKUP(B3582,'REGISTRO ABONOS'!$B$8:$BC$10041,54,0)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hidden="1" x14ac:dyDescent="0.2">
      <c r="B3583" s="31">
        <v>3574</v>
      </c>
      <c r="J3583">
        <f t="shared" si="61"/>
        <v>105000</v>
      </c>
      <c r="K3583" t="e">
        <f>VLOOKUP(B3583,'REGISTRO ABONOS'!$B$8:$BC$10041,54,0)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hidden="1" x14ac:dyDescent="0.2">
      <c r="B3584" s="31">
        <v>3575</v>
      </c>
      <c r="J3584">
        <f t="shared" si="61"/>
        <v>105000</v>
      </c>
      <c r="K3584" t="e">
        <f>VLOOKUP(B3584,'REGISTRO ABONOS'!$B$8:$BC$10041,54,0)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hidden="1" x14ac:dyDescent="0.2">
      <c r="B3585" s="31">
        <v>3576</v>
      </c>
      <c r="J3585">
        <f t="shared" si="61"/>
        <v>105000</v>
      </c>
      <c r="K3585" t="e">
        <f>VLOOKUP(B3585,'REGISTRO ABONOS'!$B$8:$BC$10041,54,0)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hidden="1" x14ac:dyDescent="0.2">
      <c r="B3586" s="31">
        <v>3577</v>
      </c>
      <c r="J3586">
        <f t="shared" si="61"/>
        <v>105000</v>
      </c>
      <c r="K3586" t="e">
        <f>VLOOKUP(B3586,'REGISTRO ABONOS'!$B$8:$BC$10041,54,0)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hidden="1" x14ac:dyDescent="0.2">
      <c r="B3587" s="31">
        <v>3578</v>
      </c>
      <c r="J3587">
        <f t="shared" si="61"/>
        <v>105000</v>
      </c>
      <c r="K3587" t="e">
        <f>VLOOKUP(B3587,'REGISTRO ABONOS'!$B$8:$BC$10041,54,0)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hidden="1" x14ac:dyDescent="0.2">
      <c r="B3588" s="31">
        <v>3579</v>
      </c>
      <c r="J3588">
        <f t="shared" si="61"/>
        <v>105000</v>
      </c>
      <c r="K3588" t="e">
        <f>VLOOKUP(B3588,'REGISTRO ABONOS'!$B$8:$BC$10041,54,0)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hidden="1" x14ac:dyDescent="0.2">
      <c r="B3589" s="31">
        <v>3580</v>
      </c>
      <c r="J3589">
        <f t="shared" si="61"/>
        <v>105000</v>
      </c>
      <c r="K3589" t="e">
        <f>VLOOKUP(B3589,'REGISTRO ABONOS'!$B$8:$BC$10041,54,0)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hidden="1" x14ac:dyDescent="0.2">
      <c r="B3590" s="31">
        <v>3581</v>
      </c>
      <c r="J3590">
        <f t="shared" si="61"/>
        <v>105000</v>
      </c>
      <c r="K3590" t="e">
        <f>VLOOKUP(B3590,'REGISTRO ABONOS'!$B$8:$BC$10041,54,0)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hidden="1" x14ac:dyDescent="0.2">
      <c r="B3591" s="31">
        <v>3582</v>
      </c>
      <c r="J3591">
        <f t="shared" si="61"/>
        <v>105000</v>
      </c>
      <c r="K3591" t="e">
        <f>VLOOKUP(B3591,'REGISTRO ABONOS'!$B$8:$BC$10041,54,0)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hidden="1" x14ac:dyDescent="0.2">
      <c r="B3592" s="31">
        <v>3583</v>
      </c>
      <c r="J3592">
        <f t="shared" si="61"/>
        <v>105000</v>
      </c>
      <c r="K3592" t="e">
        <f>VLOOKUP(B3592,'REGISTRO ABONOS'!$B$8:$BC$10041,54,0)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hidden="1" x14ac:dyDescent="0.2">
      <c r="B3593" s="31">
        <v>3584</v>
      </c>
      <c r="J3593">
        <f t="shared" si="61"/>
        <v>105000</v>
      </c>
      <c r="K3593" t="e">
        <f>VLOOKUP(B3593,'REGISTRO ABONOS'!$B$8:$BC$10041,54,0)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hidden="1" x14ac:dyDescent="0.2">
      <c r="B3594" s="31">
        <v>3585</v>
      </c>
      <c r="J3594">
        <f t="shared" si="61"/>
        <v>105000</v>
      </c>
      <c r="K3594" t="e">
        <f>VLOOKUP(B3594,'REGISTRO ABONOS'!$B$8:$BC$10041,54,0)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hidden="1" x14ac:dyDescent="0.2">
      <c r="B3595" s="31">
        <v>3586</v>
      </c>
      <c r="J3595">
        <f t="shared" si="61"/>
        <v>105000</v>
      </c>
      <c r="K3595" t="e">
        <f>VLOOKUP(B3595,'REGISTRO ABONOS'!$B$8:$BC$10041,54,0)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hidden="1" x14ac:dyDescent="0.2">
      <c r="B3596" s="31">
        <v>3587</v>
      </c>
      <c r="J3596">
        <f t="shared" si="61"/>
        <v>105000</v>
      </c>
      <c r="K3596" t="e">
        <f>VLOOKUP(B3596,'REGISTRO ABONOS'!$B$8:$BC$10041,54,0)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hidden="1" x14ac:dyDescent="0.2">
      <c r="B3597" s="31">
        <v>3588</v>
      </c>
      <c r="J3597">
        <f t="shared" si="61"/>
        <v>105000</v>
      </c>
      <c r="K3597" t="e">
        <f>VLOOKUP(B3597,'REGISTRO ABONOS'!$B$8:$BC$10041,54,0)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hidden="1" x14ac:dyDescent="0.2">
      <c r="B3598" s="31">
        <v>3589</v>
      </c>
      <c r="J3598">
        <f t="shared" si="61"/>
        <v>105000</v>
      </c>
      <c r="K3598" t="e">
        <f>VLOOKUP(B3598,'REGISTRO ABONOS'!$B$8:$BC$10041,54,0)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hidden="1" x14ac:dyDescent="0.2">
      <c r="B3599" s="31">
        <v>3590</v>
      </c>
      <c r="J3599">
        <f t="shared" si="61"/>
        <v>105000</v>
      </c>
      <c r="K3599" t="e">
        <f>VLOOKUP(B3599,'REGISTRO ABONOS'!$B$8:$BC$10041,54,0)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hidden="1" x14ac:dyDescent="0.2">
      <c r="B3600" s="31">
        <v>3591</v>
      </c>
      <c r="J3600">
        <f t="shared" si="61"/>
        <v>105000</v>
      </c>
      <c r="K3600" t="e">
        <f>VLOOKUP(B3600,'REGISTRO ABONOS'!$B$8:$BC$10041,54,0)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hidden="1" x14ac:dyDescent="0.2">
      <c r="B3601" s="31">
        <v>3592</v>
      </c>
      <c r="J3601">
        <f t="shared" si="61"/>
        <v>105000</v>
      </c>
      <c r="K3601" t="e">
        <f>VLOOKUP(B3601,'REGISTRO ABONOS'!$B$8:$BC$10041,54,0)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hidden="1" x14ac:dyDescent="0.2">
      <c r="B3602" s="31">
        <v>3593</v>
      </c>
      <c r="J3602">
        <f t="shared" si="61"/>
        <v>105000</v>
      </c>
      <c r="K3602" t="e">
        <f>VLOOKUP(B3602,'REGISTRO ABONOS'!$B$8:$BC$10041,54,0)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hidden="1" x14ac:dyDescent="0.2">
      <c r="B3603" s="31">
        <v>3594</v>
      </c>
      <c r="J3603">
        <f t="shared" si="61"/>
        <v>105000</v>
      </c>
      <c r="K3603" t="e">
        <f>VLOOKUP(B3603,'REGISTRO ABONOS'!$B$8:$BC$10041,54,0)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hidden="1" x14ac:dyDescent="0.2">
      <c r="B3604" s="31">
        <v>3595</v>
      </c>
      <c r="J3604">
        <f t="shared" si="61"/>
        <v>105000</v>
      </c>
      <c r="K3604" t="e">
        <f>VLOOKUP(B3604,'REGISTRO ABONOS'!$B$8:$BC$10041,54,0)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hidden="1" x14ac:dyDescent="0.2">
      <c r="B3605" s="31">
        <v>3596</v>
      </c>
      <c r="J3605">
        <f t="shared" si="61"/>
        <v>105000</v>
      </c>
      <c r="K3605" t="e">
        <f>VLOOKUP(B3605,'REGISTRO ABONOS'!$B$8:$BC$10041,54,0)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hidden="1" x14ac:dyDescent="0.2">
      <c r="B3606" s="31">
        <v>3597</v>
      </c>
      <c r="J3606">
        <f t="shared" si="61"/>
        <v>105000</v>
      </c>
      <c r="K3606" t="e">
        <f>VLOOKUP(B3606,'REGISTRO ABONOS'!$B$8:$BC$10041,54,0)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hidden="1" x14ac:dyDescent="0.2">
      <c r="B3607" s="31">
        <v>3598</v>
      </c>
      <c r="J3607">
        <f t="shared" si="61"/>
        <v>105000</v>
      </c>
      <c r="K3607" t="e">
        <f>VLOOKUP(B3607,'REGISTRO ABONOS'!$B$8:$BC$10041,54,0)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hidden="1" x14ac:dyDescent="0.2">
      <c r="B3608" s="31">
        <v>3599</v>
      </c>
      <c r="J3608">
        <f t="shared" si="61"/>
        <v>105000</v>
      </c>
      <c r="K3608" t="e">
        <f>VLOOKUP(B3608,'REGISTRO ABONOS'!$B$8:$BC$10041,54,0)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hidden="1" x14ac:dyDescent="0.2">
      <c r="B3609" s="31">
        <v>3600</v>
      </c>
      <c r="J3609">
        <f t="shared" si="61"/>
        <v>105000</v>
      </c>
      <c r="K3609" t="e">
        <f>VLOOKUP(B3609,'REGISTRO ABONOS'!$B$8:$BC$10041,54,0)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hidden="1" x14ac:dyDescent="0.2">
      <c r="B3610" s="31">
        <v>3601</v>
      </c>
      <c r="J3610">
        <f t="shared" si="61"/>
        <v>105000</v>
      </c>
      <c r="K3610" t="e">
        <f>VLOOKUP(B3610,'REGISTRO ABONOS'!$B$8:$BC$10041,54,0)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hidden="1" x14ac:dyDescent="0.2">
      <c r="B3611" s="31">
        <v>3602</v>
      </c>
      <c r="J3611">
        <f t="shared" si="61"/>
        <v>105000</v>
      </c>
      <c r="K3611" t="e">
        <f>VLOOKUP(B3611,'REGISTRO ABONOS'!$B$8:$BC$10041,54,0)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hidden="1" x14ac:dyDescent="0.2">
      <c r="B3612" s="31">
        <v>3603</v>
      </c>
      <c r="J3612">
        <f t="shared" si="61"/>
        <v>105000</v>
      </c>
      <c r="K3612" t="e">
        <f>VLOOKUP(B3612,'REGISTRO ABONOS'!$B$8:$BC$10041,54,0)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hidden="1" x14ac:dyDescent="0.2">
      <c r="B3613" s="31">
        <v>3604</v>
      </c>
      <c r="J3613">
        <f t="shared" si="61"/>
        <v>105000</v>
      </c>
      <c r="K3613" t="e">
        <f>VLOOKUP(B3613,'REGISTRO ABONOS'!$B$8:$BC$10041,54,0)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hidden="1" x14ac:dyDescent="0.2">
      <c r="B3614" s="31">
        <v>3605</v>
      </c>
      <c r="J3614">
        <f t="shared" si="61"/>
        <v>105000</v>
      </c>
      <c r="K3614" t="e">
        <f>VLOOKUP(B3614,'REGISTRO ABONOS'!$B$8:$BC$10041,54,0)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hidden="1" x14ac:dyDescent="0.2">
      <c r="B3615" s="31">
        <v>3606</v>
      </c>
      <c r="J3615">
        <f t="shared" si="61"/>
        <v>105000</v>
      </c>
      <c r="K3615" t="e">
        <f>VLOOKUP(B3615,'REGISTRO ABONOS'!$B$8:$BC$10041,54,0)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hidden="1" x14ac:dyDescent="0.2">
      <c r="B3616" s="31">
        <v>3607</v>
      </c>
      <c r="J3616">
        <f t="shared" si="61"/>
        <v>105000</v>
      </c>
      <c r="K3616" t="e">
        <f>VLOOKUP(B3616,'REGISTRO ABONOS'!$B$8:$BC$10041,54,0)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hidden="1" x14ac:dyDescent="0.2">
      <c r="B3617" s="31">
        <v>3608</v>
      </c>
      <c r="J3617">
        <f t="shared" si="61"/>
        <v>105000</v>
      </c>
      <c r="K3617" t="e">
        <f>VLOOKUP(B3617,'REGISTRO ABONOS'!$B$8:$BC$10041,54,0)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hidden="1" x14ac:dyDescent="0.2">
      <c r="B3618" s="31">
        <v>3609</v>
      </c>
      <c r="J3618">
        <f t="shared" si="61"/>
        <v>105000</v>
      </c>
      <c r="K3618" t="e">
        <f>VLOOKUP(B3618,'REGISTRO ABONOS'!$B$8:$BC$10041,54,0)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hidden="1" x14ac:dyDescent="0.2">
      <c r="B3619" s="31">
        <v>3610</v>
      </c>
      <c r="J3619">
        <f t="shared" si="61"/>
        <v>105000</v>
      </c>
      <c r="K3619" t="e">
        <f>VLOOKUP(B3619,'REGISTRO ABONOS'!$B$8:$BC$10041,54,0)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hidden="1" x14ac:dyDescent="0.2">
      <c r="B3620" s="31">
        <v>3611</v>
      </c>
      <c r="J3620">
        <f t="shared" si="61"/>
        <v>105000</v>
      </c>
      <c r="K3620" t="e">
        <f>VLOOKUP(B3620,'REGISTRO ABONOS'!$B$8:$BC$10041,54,0)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1"/>
        <v>105000</v>
      </c>
      <c r="K3621">
        <f>VLOOKUP(B3621,'REGISTRO ABONOS'!$B$8:$BC$10041,54,0)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hidden="1" x14ac:dyDescent="0.2">
      <c r="B3622" s="31">
        <v>3613</v>
      </c>
      <c r="J3622">
        <f t="shared" si="61"/>
        <v>105000</v>
      </c>
      <c r="K3622" t="e">
        <f>VLOOKUP(B3622,'REGISTRO ABONOS'!$B$8:$BC$10041,54,0)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hidden="1" x14ac:dyDescent="0.2">
      <c r="B3623" s="31">
        <v>3614</v>
      </c>
      <c r="J3623">
        <f t="shared" si="61"/>
        <v>105000</v>
      </c>
      <c r="K3623" t="e">
        <f>VLOOKUP(B3623,'REGISTRO ABONOS'!$B$8:$BC$10041,54,0)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hidden="1" x14ac:dyDescent="0.2">
      <c r="B3624" s="31">
        <v>3615</v>
      </c>
      <c r="J3624">
        <f t="shared" si="61"/>
        <v>105000</v>
      </c>
      <c r="K3624" t="e">
        <f>VLOOKUP(B3624,'REGISTRO ABONOS'!$B$8:$BC$10041,54,0)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hidden="1" x14ac:dyDescent="0.2">
      <c r="B3625" s="31">
        <v>3616</v>
      </c>
      <c r="J3625">
        <f t="shared" si="61"/>
        <v>105000</v>
      </c>
      <c r="K3625" t="e">
        <f>VLOOKUP(B3625,'REGISTRO ABONOS'!$B$8:$BC$10041,54,0)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hidden="1" x14ac:dyDescent="0.2">
      <c r="B3626" s="31">
        <v>3617</v>
      </c>
      <c r="J3626">
        <f t="shared" si="61"/>
        <v>105000</v>
      </c>
      <c r="K3626" t="e">
        <f>VLOOKUP(B3626,'REGISTRO ABONOS'!$B$8:$BC$10041,54,0)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hidden="1" x14ac:dyDescent="0.2">
      <c r="B3627" s="31">
        <v>3618</v>
      </c>
      <c r="J3627">
        <f t="shared" si="61"/>
        <v>105000</v>
      </c>
      <c r="K3627" t="e">
        <f>VLOOKUP(B3627,'REGISTRO ABONOS'!$B$8:$BC$10041,54,0)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hidden="1" x14ac:dyDescent="0.2">
      <c r="B3628" s="31">
        <v>3619</v>
      </c>
      <c r="J3628">
        <f t="shared" si="61"/>
        <v>105000</v>
      </c>
      <c r="K3628" t="e">
        <f>VLOOKUP(B3628,'REGISTRO ABONOS'!$B$8:$BC$10041,54,0)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hidden="1" x14ac:dyDescent="0.2">
      <c r="B3629" s="31">
        <v>3620</v>
      </c>
      <c r="J3629">
        <f t="shared" si="61"/>
        <v>105000</v>
      </c>
      <c r="K3629" t="e">
        <f>VLOOKUP(B3629,'REGISTRO ABONOS'!$B$8:$BC$10041,54,0)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hidden="1" x14ac:dyDescent="0.2">
      <c r="B3630" s="31">
        <v>3621</v>
      </c>
      <c r="J3630">
        <f t="shared" si="61"/>
        <v>105000</v>
      </c>
      <c r="K3630" t="e">
        <f>VLOOKUP(B3630,'REGISTRO ABONOS'!$B$8:$BC$10041,54,0)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hidden="1" x14ac:dyDescent="0.2">
      <c r="B3631" s="31">
        <v>3622</v>
      </c>
      <c r="J3631">
        <f t="shared" si="61"/>
        <v>105000</v>
      </c>
      <c r="K3631" t="e">
        <f>VLOOKUP(B3631,'REGISTRO ABONOS'!$B$8:$BC$10041,54,0)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hidden="1" x14ac:dyDescent="0.2">
      <c r="B3632" s="31">
        <v>3623</v>
      </c>
      <c r="J3632">
        <f t="shared" si="61"/>
        <v>105000</v>
      </c>
      <c r="K3632" t="e">
        <f>VLOOKUP(B3632,'REGISTRO ABONOS'!$B$8:$BC$10041,54,0)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hidden="1" x14ac:dyDescent="0.2">
      <c r="B3633" s="31">
        <v>3624</v>
      </c>
      <c r="J3633">
        <f t="shared" si="61"/>
        <v>105000</v>
      </c>
      <c r="K3633" t="e">
        <f>VLOOKUP(B3633,'REGISTRO ABONOS'!$B$8:$BC$10041,54,0)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hidden="1" x14ac:dyDescent="0.2">
      <c r="B3634" s="31">
        <v>3625</v>
      </c>
      <c r="J3634">
        <f t="shared" si="61"/>
        <v>105000</v>
      </c>
      <c r="K3634" t="e">
        <f>VLOOKUP(B3634,'REGISTRO ABONOS'!$B$8:$BC$10041,54,0)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hidden="1" x14ac:dyDescent="0.2">
      <c r="B3635" s="31">
        <v>3626</v>
      </c>
      <c r="J3635">
        <f t="shared" si="61"/>
        <v>105000</v>
      </c>
      <c r="K3635" t="e">
        <f>VLOOKUP(B3635,'REGISTRO ABONOS'!$B$8:$BC$10041,54,0)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hidden="1" x14ac:dyDescent="0.2">
      <c r="B3636" s="31">
        <v>3627</v>
      </c>
      <c r="J3636">
        <f t="shared" si="61"/>
        <v>105000</v>
      </c>
      <c r="K3636" t="e">
        <f>VLOOKUP(B3636,'REGISTRO ABONOS'!$B$8:$BC$10041,54,0)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hidden="1" x14ac:dyDescent="0.2">
      <c r="B3637" s="31">
        <v>3628</v>
      </c>
      <c r="J3637">
        <f t="shared" si="61"/>
        <v>105000</v>
      </c>
      <c r="K3637" t="e">
        <f>VLOOKUP(B3637,'REGISTRO ABONOS'!$B$8:$BC$10041,54,0)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hidden="1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ABONOS'!$B$8:$BC$10041,54,0)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hidden="1" x14ac:dyDescent="0.2">
      <c r="B3639" s="31">
        <v>3630</v>
      </c>
      <c r="J3639">
        <f t="shared" si="62"/>
        <v>105000</v>
      </c>
      <c r="K3639" t="e">
        <f>VLOOKUP(B3639,'REGISTRO ABONOS'!$B$8:$BC$10041,54,0)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hidden="1" x14ac:dyDescent="0.2">
      <c r="B3640" s="31">
        <v>3631</v>
      </c>
      <c r="J3640">
        <f t="shared" si="62"/>
        <v>105000</v>
      </c>
      <c r="K3640" t="e">
        <f>VLOOKUP(B3640,'REGISTRO ABONOS'!$B$8:$BC$10041,54,0)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hidden="1" x14ac:dyDescent="0.2">
      <c r="B3641" s="31">
        <v>3632</v>
      </c>
      <c r="J3641">
        <f t="shared" si="62"/>
        <v>105000</v>
      </c>
      <c r="K3641" t="e">
        <f>VLOOKUP(B3641,'REGISTRO ABONOS'!$B$8:$BC$10041,54,0)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hidden="1" x14ac:dyDescent="0.2">
      <c r="B3642" s="31">
        <v>3633</v>
      </c>
      <c r="J3642">
        <f t="shared" si="62"/>
        <v>105000</v>
      </c>
      <c r="K3642" t="e">
        <f>VLOOKUP(B3642,'REGISTRO ABONOS'!$B$8:$BC$10041,54,0)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hidden="1" x14ac:dyDescent="0.2">
      <c r="B3643" s="31">
        <v>3634</v>
      </c>
      <c r="J3643">
        <f t="shared" si="62"/>
        <v>105000</v>
      </c>
      <c r="K3643" t="e">
        <f>VLOOKUP(B3643,'REGISTRO ABONOS'!$B$8:$BC$10041,54,0)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hidden="1" x14ac:dyDescent="0.2">
      <c r="B3644" s="31">
        <v>3635</v>
      </c>
      <c r="J3644">
        <f t="shared" si="62"/>
        <v>105000</v>
      </c>
      <c r="K3644" t="e">
        <f>VLOOKUP(B3644,'REGISTRO ABONOS'!$B$8:$BC$10041,54,0)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hidden="1" x14ac:dyDescent="0.2">
      <c r="B3645" s="31">
        <v>3636</v>
      </c>
      <c r="J3645">
        <f t="shared" si="62"/>
        <v>105000</v>
      </c>
      <c r="K3645" t="e">
        <f>VLOOKUP(B3645,'REGISTRO ABONOS'!$B$8:$BC$10041,54,0)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hidden="1" x14ac:dyDescent="0.2">
      <c r="B3646" s="31">
        <v>3637</v>
      </c>
      <c r="J3646">
        <f t="shared" si="62"/>
        <v>105000</v>
      </c>
      <c r="K3646" t="e">
        <f>VLOOKUP(B3646,'REGISTRO ABONOS'!$B$8:$BC$10041,54,0)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hidden="1" x14ac:dyDescent="0.2">
      <c r="B3647" s="31">
        <v>3638</v>
      </c>
      <c r="J3647">
        <f t="shared" si="62"/>
        <v>105000</v>
      </c>
      <c r="K3647" t="e">
        <f>VLOOKUP(B3647,'REGISTRO ABONOS'!$B$8:$BC$10041,54,0)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hidden="1" x14ac:dyDescent="0.2">
      <c r="B3648" s="31">
        <v>3639</v>
      </c>
      <c r="J3648">
        <f t="shared" si="62"/>
        <v>105000</v>
      </c>
      <c r="K3648" t="e">
        <f>VLOOKUP(B3648,'REGISTRO ABONOS'!$B$8:$BC$10041,54,0)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hidden="1" x14ac:dyDescent="0.2">
      <c r="B3649" s="31">
        <v>3640</v>
      </c>
      <c r="J3649">
        <f t="shared" si="62"/>
        <v>105000</v>
      </c>
      <c r="K3649" t="e">
        <f>VLOOKUP(B3649,'REGISTRO ABONOS'!$B$8:$BC$10041,54,0)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hidden="1" x14ac:dyDescent="0.2">
      <c r="B3650" s="31">
        <v>3641</v>
      </c>
      <c r="J3650">
        <f t="shared" si="62"/>
        <v>105000</v>
      </c>
      <c r="K3650" t="e">
        <f>VLOOKUP(B3650,'REGISTRO ABONOS'!$B$8:$BC$10041,54,0)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hidden="1" x14ac:dyDescent="0.2">
      <c r="B3651" s="31">
        <v>3642</v>
      </c>
      <c r="J3651">
        <f t="shared" si="62"/>
        <v>105000</v>
      </c>
      <c r="K3651" t="e">
        <f>VLOOKUP(B3651,'REGISTRO ABONOS'!$B$8:$BC$10041,54,0)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hidden="1" x14ac:dyDescent="0.2">
      <c r="B3652" s="31">
        <v>3643</v>
      </c>
      <c r="J3652">
        <f t="shared" si="62"/>
        <v>105000</v>
      </c>
      <c r="K3652" t="e">
        <f>VLOOKUP(B3652,'REGISTRO ABONOS'!$B$8:$BC$10041,54,0)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hidden="1" x14ac:dyDescent="0.2">
      <c r="B3653" s="31">
        <v>3644</v>
      </c>
      <c r="J3653">
        <f t="shared" si="62"/>
        <v>105000</v>
      </c>
      <c r="K3653" t="e">
        <f>VLOOKUP(B3653,'REGISTRO ABONOS'!$B$8:$BC$10041,54,0)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hidden="1" x14ac:dyDescent="0.2">
      <c r="B3654" s="31">
        <v>3645</v>
      </c>
      <c r="J3654">
        <f t="shared" si="62"/>
        <v>105000</v>
      </c>
      <c r="K3654" t="e">
        <f>VLOOKUP(B3654,'REGISTRO ABONOS'!$B$8:$BC$10041,54,0)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hidden="1" x14ac:dyDescent="0.2">
      <c r="B3655" s="31">
        <v>3646</v>
      </c>
      <c r="J3655">
        <f t="shared" si="62"/>
        <v>105000</v>
      </c>
      <c r="K3655" t="e">
        <f>VLOOKUP(B3655,'REGISTRO ABONOS'!$B$8:$BC$10041,54,0)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hidden="1" x14ac:dyDescent="0.2">
      <c r="B3656" s="31">
        <v>3647</v>
      </c>
      <c r="J3656">
        <f t="shared" si="62"/>
        <v>105000</v>
      </c>
      <c r="K3656" t="e">
        <f>VLOOKUP(B3656,'REGISTRO ABONOS'!$B$8:$BC$10041,54,0)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hidden="1" x14ac:dyDescent="0.2">
      <c r="B3657" s="31">
        <v>3648</v>
      </c>
      <c r="J3657">
        <f t="shared" si="62"/>
        <v>105000</v>
      </c>
      <c r="K3657" t="e">
        <f>VLOOKUP(B3657,'REGISTRO ABONOS'!$B$8:$BC$10041,54,0)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hidden="1" x14ac:dyDescent="0.2">
      <c r="B3658" s="31">
        <v>3649</v>
      </c>
      <c r="J3658">
        <f t="shared" si="62"/>
        <v>105000</v>
      </c>
      <c r="K3658" t="e">
        <f>VLOOKUP(B3658,'REGISTRO ABONOS'!$B$8:$BC$10041,54,0)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hidden="1" x14ac:dyDescent="0.2">
      <c r="B3659" s="31">
        <v>3650</v>
      </c>
      <c r="J3659">
        <f t="shared" si="62"/>
        <v>105000</v>
      </c>
      <c r="K3659" t="e">
        <f>VLOOKUP(B3659,'REGISTRO ABONOS'!$B$8:$BC$10041,54,0)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hidden="1" x14ac:dyDescent="0.2">
      <c r="B3660" s="31">
        <v>3651</v>
      </c>
      <c r="J3660">
        <f t="shared" si="62"/>
        <v>105000</v>
      </c>
      <c r="K3660" t="e">
        <f>VLOOKUP(B3660,'REGISTRO ABONOS'!$B$8:$BC$10041,54,0)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hidden="1" x14ac:dyDescent="0.2">
      <c r="B3661" s="31">
        <v>3652</v>
      </c>
      <c r="J3661">
        <f t="shared" si="62"/>
        <v>105000</v>
      </c>
      <c r="K3661" t="e">
        <f>VLOOKUP(B3661,'REGISTRO ABONOS'!$B$8:$BC$10041,54,0)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hidden="1" x14ac:dyDescent="0.2">
      <c r="B3662" s="31">
        <v>3653</v>
      </c>
      <c r="J3662">
        <f t="shared" si="62"/>
        <v>105000</v>
      </c>
      <c r="K3662" t="e">
        <f>VLOOKUP(B3662,'REGISTRO ABONOS'!$B$8:$BC$10041,54,0)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hidden="1" x14ac:dyDescent="0.2">
      <c r="B3663" s="31">
        <v>3654</v>
      </c>
      <c r="J3663">
        <f t="shared" si="62"/>
        <v>105000</v>
      </c>
      <c r="K3663" t="e">
        <f>VLOOKUP(B3663,'REGISTRO ABONOS'!$B$8:$BC$10041,54,0)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hidden="1" x14ac:dyDescent="0.2">
      <c r="B3664" s="31">
        <v>3655</v>
      </c>
      <c r="J3664">
        <f t="shared" si="62"/>
        <v>105000</v>
      </c>
      <c r="K3664" t="e">
        <f>VLOOKUP(B3664,'REGISTRO ABONOS'!$B$8:$BC$10041,54,0)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hidden="1" x14ac:dyDescent="0.2">
      <c r="B3665" s="31">
        <v>3656</v>
      </c>
      <c r="J3665">
        <f t="shared" si="62"/>
        <v>105000</v>
      </c>
      <c r="K3665" t="e">
        <f>VLOOKUP(B3665,'REGISTRO ABONOS'!$B$8:$BC$10041,54,0)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hidden="1" x14ac:dyDescent="0.2">
      <c r="B3666" s="31">
        <v>3657</v>
      </c>
      <c r="J3666">
        <f t="shared" si="62"/>
        <v>105000</v>
      </c>
      <c r="K3666" t="e">
        <f>VLOOKUP(B3666,'REGISTRO ABONOS'!$B$8:$BC$10041,54,0)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hidden="1" x14ac:dyDescent="0.2">
      <c r="B3667" s="31">
        <v>3658</v>
      </c>
      <c r="J3667">
        <f t="shared" si="62"/>
        <v>105000</v>
      </c>
      <c r="K3667" t="e">
        <f>VLOOKUP(B3667,'REGISTRO ABONOS'!$B$8:$BC$10041,54,0)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hidden="1" x14ac:dyDescent="0.2">
      <c r="B3668" s="31">
        <v>3659</v>
      </c>
      <c r="J3668">
        <f t="shared" si="62"/>
        <v>105000</v>
      </c>
      <c r="K3668" t="e">
        <f>VLOOKUP(B3668,'REGISTRO ABONOS'!$B$8:$BC$10041,54,0)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hidden="1" x14ac:dyDescent="0.2">
      <c r="B3669" s="31">
        <v>3660</v>
      </c>
      <c r="J3669">
        <f t="shared" si="62"/>
        <v>105000</v>
      </c>
      <c r="K3669" t="e">
        <f>VLOOKUP(B3669,'REGISTRO ABONOS'!$B$8:$BC$10041,54,0)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hidden="1" x14ac:dyDescent="0.2">
      <c r="B3670" s="31">
        <v>3661</v>
      </c>
      <c r="J3670">
        <f t="shared" si="62"/>
        <v>105000</v>
      </c>
      <c r="K3670" t="e">
        <f>VLOOKUP(B3670,'REGISTRO ABONOS'!$B$8:$BC$10041,54,0)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hidden="1" x14ac:dyDescent="0.2">
      <c r="B3671" s="31">
        <v>3662</v>
      </c>
      <c r="J3671">
        <f t="shared" si="62"/>
        <v>105000</v>
      </c>
      <c r="K3671" t="e">
        <f>VLOOKUP(B3671,'REGISTRO ABONOS'!$B$8:$BC$10041,54,0)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hidden="1" x14ac:dyDescent="0.2">
      <c r="B3672" s="31">
        <v>3663</v>
      </c>
      <c r="J3672">
        <f t="shared" si="62"/>
        <v>105000</v>
      </c>
      <c r="K3672" t="e">
        <f>VLOOKUP(B3672,'REGISTRO ABONOS'!$B$8:$BC$10041,54,0)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hidden="1" x14ac:dyDescent="0.2">
      <c r="B3673" s="31">
        <v>3664</v>
      </c>
      <c r="J3673">
        <f t="shared" si="62"/>
        <v>105000</v>
      </c>
      <c r="K3673" t="e">
        <f>VLOOKUP(B3673,'REGISTRO ABONOS'!$B$8:$BC$10041,54,0)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hidden="1" x14ac:dyDescent="0.2">
      <c r="B3674" s="31">
        <v>3665</v>
      </c>
      <c r="J3674">
        <f t="shared" si="62"/>
        <v>105000</v>
      </c>
      <c r="K3674" t="e">
        <f>VLOOKUP(B3674,'REGISTRO ABONOS'!$B$8:$BC$10041,54,0)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hidden="1" x14ac:dyDescent="0.2">
      <c r="B3675" s="31">
        <v>3666</v>
      </c>
      <c r="J3675">
        <f t="shared" si="62"/>
        <v>105000</v>
      </c>
      <c r="K3675" t="e">
        <f>VLOOKUP(B3675,'REGISTRO ABONOS'!$B$8:$BC$10041,54,0)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hidden="1" x14ac:dyDescent="0.2">
      <c r="B3676" s="31">
        <v>3667</v>
      </c>
      <c r="J3676">
        <f t="shared" si="62"/>
        <v>105000</v>
      </c>
      <c r="K3676" t="e">
        <f>VLOOKUP(B3676,'REGISTRO ABONOS'!$B$8:$BC$10041,54,0)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hidden="1" x14ac:dyDescent="0.2">
      <c r="B3677" s="31">
        <v>3668</v>
      </c>
      <c r="J3677">
        <f t="shared" si="62"/>
        <v>105000</v>
      </c>
      <c r="K3677" t="e">
        <f>VLOOKUP(B3677,'REGISTRO ABONOS'!$B$8:$BC$10041,54,0)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hidden="1" x14ac:dyDescent="0.2">
      <c r="B3678" s="31">
        <v>3669</v>
      </c>
      <c r="J3678">
        <f t="shared" si="62"/>
        <v>105000</v>
      </c>
      <c r="K3678" t="e">
        <f>VLOOKUP(B3678,'REGISTRO ABONOS'!$B$8:$BC$10041,54,0)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hidden="1" x14ac:dyDescent="0.2">
      <c r="B3679" s="31">
        <v>3670</v>
      </c>
      <c r="J3679">
        <f t="shared" si="62"/>
        <v>105000</v>
      </c>
      <c r="K3679" t="e">
        <f>VLOOKUP(B3679,'REGISTRO ABONOS'!$B$8:$BC$10041,54,0)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hidden="1" x14ac:dyDescent="0.2">
      <c r="B3680" s="31">
        <v>3671</v>
      </c>
      <c r="J3680">
        <f t="shared" si="62"/>
        <v>105000</v>
      </c>
      <c r="K3680" t="e">
        <f>VLOOKUP(B3680,'REGISTRO ABONOS'!$B$8:$BC$10041,54,0)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hidden="1" x14ac:dyDescent="0.2">
      <c r="B3681" s="31">
        <v>3672</v>
      </c>
      <c r="J3681">
        <f t="shared" si="62"/>
        <v>105000</v>
      </c>
      <c r="K3681" t="e">
        <f>VLOOKUP(B3681,'REGISTRO ABONOS'!$B$8:$BC$10041,54,0)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hidden="1" x14ac:dyDescent="0.2">
      <c r="B3682" s="31">
        <v>3673</v>
      </c>
      <c r="J3682">
        <f t="shared" si="62"/>
        <v>105000</v>
      </c>
      <c r="K3682" t="e">
        <f>VLOOKUP(B3682,'REGISTRO ABONOS'!$B$8:$BC$10041,54,0)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hidden="1" x14ac:dyDescent="0.2">
      <c r="B3683" s="31">
        <v>3674</v>
      </c>
      <c r="J3683">
        <f t="shared" si="62"/>
        <v>105000</v>
      </c>
      <c r="K3683" t="e">
        <f>VLOOKUP(B3683,'REGISTRO ABONOS'!$B$8:$BC$10041,54,0)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hidden="1" x14ac:dyDescent="0.2">
      <c r="B3684" s="31">
        <v>3675</v>
      </c>
      <c r="J3684">
        <f t="shared" si="62"/>
        <v>105000</v>
      </c>
      <c r="K3684" t="e">
        <f>VLOOKUP(B3684,'REGISTRO ABONOS'!$B$8:$BC$10041,54,0)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hidden="1" x14ac:dyDescent="0.2">
      <c r="B3685" s="31">
        <v>3676</v>
      </c>
      <c r="J3685">
        <f t="shared" si="62"/>
        <v>105000</v>
      </c>
      <c r="K3685" t="e">
        <f>VLOOKUP(B3685,'REGISTRO ABONOS'!$B$8:$BC$10041,54,0)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hidden="1" x14ac:dyDescent="0.2">
      <c r="B3686" s="31">
        <v>3677</v>
      </c>
      <c r="J3686">
        <f t="shared" si="62"/>
        <v>105000</v>
      </c>
      <c r="K3686" t="e">
        <f>VLOOKUP(B3686,'REGISTRO ABONOS'!$B$8:$BC$10041,54,0)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hidden="1" x14ac:dyDescent="0.2">
      <c r="B3687" s="31">
        <v>3678</v>
      </c>
      <c r="J3687">
        <f t="shared" si="62"/>
        <v>105000</v>
      </c>
      <c r="K3687" t="e">
        <f>VLOOKUP(B3687,'REGISTRO ABONOS'!$B$8:$BC$10041,54,0)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hidden="1" x14ac:dyDescent="0.2">
      <c r="B3688" s="31">
        <v>3679</v>
      </c>
      <c r="J3688">
        <f t="shared" si="62"/>
        <v>105000</v>
      </c>
      <c r="K3688" t="e">
        <f>VLOOKUP(B3688,'REGISTRO ABONOS'!$B$8:$BC$10041,54,0)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hidden="1" x14ac:dyDescent="0.2">
      <c r="B3689" s="31">
        <v>3680</v>
      </c>
      <c r="J3689">
        <f t="shared" si="62"/>
        <v>105000</v>
      </c>
      <c r="K3689" t="e">
        <f>VLOOKUP(B3689,'REGISTRO ABONOS'!$B$8:$BC$10041,54,0)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hidden="1" x14ac:dyDescent="0.2">
      <c r="B3690" s="31">
        <v>3681</v>
      </c>
      <c r="J3690">
        <f t="shared" si="62"/>
        <v>105000</v>
      </c>
      <c r="K3690" t="e">
        <f>VLOOKUP(B3690,'REGISTRO ABONOS'!$B$8:$BC$10041,54,0)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hidden="1" x14ac:dyDescent="0.2">
      <c r="B3691" s="31">
        <v>3682</v>
      </c>
      <c r="J3691">
        <f t="shared" si="62"/>
        <v>105000</v>
      </c>
      <c r="K3691" t="e">
        <f>VLOOKUP(B3691,'REGISTRO ABONOS'!$B$8:$BC$10041,54,0)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hidden="1" x14ac:dyDescent="0.2">
      <c r="B3692" s="31">
        <v>3683</v>
      </c>
      <c r="J3692">
        <f t="shared" si="62"/>
        <v>105000</v>
      </c>
      <c r="K3692" t="e">
        <f>VLOOKUP(B3692,'REGISTRO ABONOS'!$B$8:$BC$10041,54,0)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hidden="1" x14ac:dyDescent="0.2">
      <c r="B3693" s="31">
        <v>3684</v>
      </c>
      <c r="J3693">
        <f t="shared" si="62"/>
        <v>105000</v>
      </c>
      <c r="K3693" t="e">
        <f>VLOOKUP(B3693,'REGISTRO ABONOS'!$B$8:$BC$10041,54,0)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hidden="1" x14ac:dyDescent="0.2">
      <c r="B3694" s="31">
        <v>3685</v>
      </c>
      <c r="J3694">
        <f t="shared" si="62"/>
        <v>105000</v>
      </c>
      <c r="K3694" t="e">
        <f>VLOOKUP(B3694,'REGISTRO ABONOS'!$B$8:$BC$10041,54,0)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hidden="1" x14ac:dyDescent="0.2">
      <c r="B3695" s="31">
        <v>3686</v>
      </c>
      <c r="J3695">
        <f t="shared" si="62"/>
        <v>105000</v>
      </c>
      <c r="K3695" t="e">
        <f>VLOOKUP(B3695,'REGISTRO ABONOS'!$B$8:$BC$10041,54,0)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hidden="1" x14ac:dyDescent="0.2">
      <c r="B3696" s="31">
        <v>3687</v>
      </c>
      <c r="J3696">
        <f t="shared" si="62"/>
        <v>105000</v>
      </c>
      <c r="K3696" t="e">
        <f>VLOOKUP(B3696,'REGISTRO ABONOS'!$B$8:$BC$10041,54,0)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hidden="1" x14ac:dyDescent="0.2">
      <c r="B3697" s="31">
        <v>3688</v>
      </c>
      <c r="J3697">
        <f t="shared" si="62"/>
        <v>105000</v>
      </c>
      <c r="K3697" t="e">
        <f>VLOOKUP(B3697,'REGISTRO ABONOS'!$B$8:$BC$10041,54,0)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hidden="1" x14ac:dyDescent="0.2">
      <c r="B3698" s="31">
        <v>3689</v>
      </c>
      <c r="J3698">
        <f t="shared" si="62"/>
        <v>105000</v>
      </c>
      <c r="K3698" t="e">
        <f>VLOOKUP(B3698,'REGISTRO ABONOS'!$B$8:$BC$10041,54,0)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hidden="1" x14ac:dyDescent="0.2">
      <c r="B3699" s="31">
        <v>3690</v>
      </c>
      <c r="J3699">
        <f t="shared" si="62"/>
        <v>105000</v>
      </c>
      <c r="K3699" t="e">
        <f>VLOOKUP(B3699,'REGISTRO ABONOS'!$B$8:$BC$10041,54,0)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hidden="1" x14ac:dyDescent="0.2">
      <c r="B3700" s="31">
        <v>3691</v>
      </c>
      <c r="J3700">
        <f t="shared" si="62"/>
        <v>105000</v>
      </c>
      <c r="K3700" t="e">
        <f>VLOOKUP(B3700,'REGISTRO ABONOS'!$B$8:$BC$10041,54,0)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hidden="1" x14ac:dyDescent="0.2">
      <c r="B3701" s="31">
        <v>3692</v>
      </c>
      <c r="J3701">
        <f t="shared" si="62"/>
        <v>105000</v>
      </c>
      <c r="K3701" t="e">
        <f>VLOOKUP(B3701,'REGISTRO ABONOS'!$B$8:$BC$10041,54,0)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hidden="1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ABONOS'!$B$8:$BC$10041,54,0)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hidden="1" x14ac:dyDescent="0.2">
      <c r="B3703" s="31">
        <v>3694</v>
      </c>
      <c r="J3703">
        <f t="shared" si="63"/>
        <v>105000</v>
      </c>
      <c r="K3703" t="e">
        <f>VLOOKUP(B3703,'REGISTRO ABONOS'!$B$8:$BC$10041,54,0)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hidden="1" x14ac:dyDescent="0.2">
      <c r="B3704" s="31">
        <v>3695</v>
      </c>
      <c r="J3704">
        <f t="shared" si="63"/>
        <v>105000</v>
      </c>
      <c r="K3704" t="e">
        <f>VLOOKUP(B3704,'REGISTRO ABONOS'!$B$8:$BC$10041,54,0)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hidden="1" x14ac:dyDescent="0.2">
      <c r="B3705" s="31">
        <v>3696</v>
      </c>
      <c r="J3705">
        <f t="shared" si="63"/>
        <v>105000</v>
      </c>
      <c r="K3705" t="e">
        <f>VLOOKUP(B3705,'REGISTRO ABONOS'!$B$8:$BC$10041,54,0)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hidden="1" x14ac:dyDescent="0.2">
      <c r="B3706" s="31">
        <v>3697</v>
      </c>
      <c r="J3706">
        <f t="shared" si="63"/>
        <v>105000</v>
      </c>
      <c r="K3706" t="e">
        <f>VLOOKUP(B3706,'REGISTRO ABONOS'!$B$8:$BC$10041,54,0)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hidden="1" x14ac:dyDescent="0.2">
      <c r="B3707" s="31">
        <v>3698</v>
      </c>
      <c r="J3707">
        <f t="shared" si="63"/>
        <v>105000</v>
      </c>
      <c r="K3707" t="e">
        <f>VLOOKUP(B3707,'REGISTRO ABONOS'!$B$8:$BC$10041,54,0)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hidden="1" x14ac:dyDescent="0.2">
      <c r="B3708" s="31">
        <v>3699</v>
      </c>
      <c r="J3708">
        <f t="shared" si="63"/>
        <v>105000</v>
      </c>
      <c r="K3708" t="e">
        <f>VLOOKUP(B3708,'REGISTRO ABONOS'!$B$8:$BC$10041,54,0)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hidden="1" x14ac:dyDescent="0.2">
      <c r="B3709" s="31">
        <v>3700</v>
      </c>
      <c r="J3709">
        <f t="shared" si="63"/>
        <v>105000</v>
      </c>
      <c r="K3709" t="e">
        <f>VLOOKUP(B3709,'REGISTRO ABONOS'!$B$8:$BC$10041,54,0)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hidden="1" x14ac:dyDescent="0.2">
      <c r="B3710" s="31">
        <v>3701</v>
      </c>
      <c r="J3710">
        <f t="shared" si="63"/>
        <v>105000</v>
      </c>
      <c r="K3710" t="e">
        <f>VLOOKUP(B3710,'REGISTRO ABONOS'!$B$8:$BC$10041,54,0)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hidden="1" x14ac:dyDescent="0.2">
      <c r="B3711" s="31">
        <v>3702</v>
      </c>
      <c r="J3711">
        <f t="shared" si="63"/>
        <v>105000</v>
      </c>
      <c r="K3711" t="e">
        <f>VLOOKUP(B3711,'REGISTRO ABONOS'!$B$8:$BC$10041,54,0)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hidden="1" x14ac:dyDescent="0.2">
      <c r="B3712" s="31">
        <v>3703</v>
      </c>
      <c r="J3712">
        <f t="shared" si="63"/>
        <v>105000</v>
      </c>
      <c r="K3712" t="e">
        <f>VLOOKUP(B3712,'REGISTRO ABONOS'!$B$8:$BC$10041,54,0)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hidden="1" x14ac:dyDescent="0.2">
      <c r="B3713" s="31">
        <v>3704</v>
      </c>
      <c r="J3713">
        <f t="shared" si="63"/>
        <v>105000</v>
      </c>
      <c r="K3713" t="e">
        <f>VLOOKUP(B3713,'REGISTRO ABONOS'!$B$8:$BC$10041,54,0)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hidden="1" x14ac:dyDescent="0.2">
      <c r="B3714" s="31">
        <v>3705</v>
      </c>
      <c r="J3714">
        <f t="shared" si="63"/>
        <v>105000</v>
      </c>
      <c r="K3714" t="e">
        <f>VLOOKUP(B3714,'REGISTRO ABONOS'!$B$8:$BC$10041,54,0)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hidden="1" x14ac:dyDescent="0.2">
      <c r="B3715" s="31">
        <v>3706</v>
      </c>
      <c r="J3715">
        <f t="shared" si="63"/>
        <v>105000</v>
      </c>
      <c r="K3715" t="e">
        <f>VLOOKUP(B3715,'REGISTRO ABONOS'!$B$8:$BC$10041,54,0)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hidden="1" x14ac:dyDescent="0.2">
      <c r="B3716" s="31">
        <v>3707</v>
      </c>
      <c r="J3716">
        <f t="shared" si="63"/>
        <v>105000</v>
      </c>
      <c r="K3716" t="e">
        <f>VLOOKUP(B3716,'REGISTRO ABONOS'!$B$8:$BC$10041,54,0)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hidden="1" x14ac:dyDescent="0.2">
      <c r="B3717" s="31">
        <v>3708</v>
      </c>
      <c r="J3717">
        <f t="shared" si="63"/>
        <v>105000</v>
      </c>
      <c r="K3717" t="e">
        <f>VLOOKUP(B3717,'REGISTRO ABONOS'!$B$8:$BC$10041,54,0)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hidden="1" x14ac:dyDescent="0.2">
      <c r="B3718" s="31">
        <v>3709</v>
      </c>
      <c r="J3718">
        <f t="shared" si="63"/>
        <v>105000</v>
      </c>
      <c r="K3718" t="e">
        <f>VLOOKUP(B3718,'REGISTRO ABONOS'!$B$8:$BC$10041,54,0)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hidden="1" x14ac:dyDescent="0.2">
      <c r="B3719" s="31">
        <v>3710</v>
      </c>
      <c r="J3719">
        <f t="shared" si="63"/>
        <v>105000</v>
      </c>
      <c r="K3719" t="e">
        <f>VLOOKUP(B3719,'REGISTRO ABONOS'!$B$8:$BC$10041,54,0)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hidden="1" x14ac:dyDescent="0.2">
      <c r="B3720" s="31">
        <v>3711</v>
      </c>
      <c r="J3720">
        <f t="shared" si="63"/>
        <v>105000</v>
      </c>
      <c r="K3720" t="e">
        <f>VLOOKUP(B3720,'REGISTRO ABONOS'!$B$8:$BC$10041,54,0)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hidden="1" x14ac:dyDescent="0.2">
      <c r="B3721" s="31">
        <v>3712</v>
      </c>
      <c r="J3721">
        <f t="shared" si="63"/>
        <v>105000</v>
      </c>
      <c r="K3721" t="e">
        <f>VLOOKUP(B3721,'REGISTRO ABONOS'!$B$8:$BC$10041,54,0)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hidden="1" x14ac:dyDescent="0.2">
      <c r="B3722" s="31">
        <v>3713</v>
      </c>
      <c r="J3722">
        <f t="shared" si="63"/>
        <v>105000</v>
      </c>
      <c r="K3722" t="e">
        <f>VLOOKUP(B3722,'REGISTRO ABONOS'!$B$8:$BC$10041,54,0)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hidden="1" x14ac:dyDescent="0.2">
      <c r="B3723" s="31">
        <v>3714</v>
      </c>
      <c r="J3723">
        <f t="shared" si="63"/>
        <v>105000</v>
      </c>
      <c r="K3723" t="e">
        <f>VLOOKUP(B3723,'REGISTRO ABONOS'!$B$8:$BC$10041,54,0)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hidden="1" x14ac:dyDescent="0.2">
      <c r="B3724" s="31">
        <v>3715</v>
      </c>
      <c r="J3724">
        <f t="shared" si="63"/>
        <v>105000</v>
      </c>
      <c r="K3724" t="e">
        <f>VLOOKUP(B3724,'REGISTRO ABONOS'!$B$8:$BC$10041,54,0)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hidden="1" x14ac:dyDescent="0.2">
      <c r="B3725" s="31">
        <v>3716</v>
      </c>
      <c r="J3725">
        <f t="shared" si="63"/>
        <v>105000</v>
      </c>
      <c r="K3725" t="e">
        <f>VLOOKUP(B3725,'REGISTRO ABONOS'!$B$8:$BC$10041,54,0)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hidden="1" x14ac:dyDescent="0.2">
      <c r="B3726" s="31">
        <v>3717</v>
      </c>
      <c r="J3726">
        <f t="shared" si="63"/>
        <v>105000</v>
      </c>
      <c r="K3726" t="e">
        <f>VLOOKUP(B3726,'REGISTRO ABONOS'!$B$8:$BC$10041,54,0)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hidden="1" x14ac:dyDescent="0.2">
      <c r="B3727" s="31">
        <v>3718</v>
      </c>
      <c r="J3727">
        <f t="shared" si="63"/>
        <v>105000</v>
      </c>
      <c r="K3727" t="e">
        <f>VLOOKUP(B3727,'REGISTRO ABONOS'!$B$8:$BC$10041,54,0)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hidden="1" x14ac:dyDescent="0.2">
      <c r="B3728" s="31">
        <v>3719</v>
      </c>
      <c r="J3728">
        <f t="shared" si="63"/>
        <v>105000</v>
      </c>
      <c r="K3728" t="e">
        <f>VLOOKUP(B3728,'REGISTRO ABONOS'!$B$8:$BC$10041,54,0)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hidden="1" x14ac:dyDescent="0.2">
      <c r="B3729" s="31">
        <v>3720</v>
      </c>
      <c r="J3729">
        <f t="shared" si="63"/>
        <v>105000</v>
      </c>
      <c r="K3729" t="e">
        <f>VLOOKUP(B3729,'REGISTRO ABONOS'!$B$8:$BC$10041,54,0)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hidden="1" x14ac:dyDescent="0.2">
      <c r="B3730" s="31">
        <v>3721</v>
      </c>
      <c r="J3730">
        <f t="shared" si="63"/>
        <v>105000</v>
      </c>
      <c r="K3730" t="e">
        <f>VLOOKUP(B3730,'REGISTRO ABONOS'!$B$8:$BC$10041,54,0)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hidden="1" x14ac:dyDescent="0.2">
      <c r="B3731" s="31">
        <v>3722</v>
      </c>
      <c r="J3731">
        <f t="shared" si="63"/>
        <v>105000</v>
      </c>
      <c r="K3731" t="e">
        <f>VLOOKUP(B3731,'REGISTRO ABONOS'!$B$8:$BC$10041,54,0)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hidden="1" x14ac:dyDescent="0.2">
      <c r="B3732" s="31">
        <v>3723</v>
      </c>
      <c r="J3732">
        <f t="shared" si="63"/>
        <v>105000</v>
      </c>
      <c r="K3732" t="e">
        <f>VLOOKUP(B3732,'REGISTRO ABONOS'!$B$8:$BC$10041,54,0)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hidden="1" x14ac:dyDescent="0.2">
      <c r="B3733" s="31">
        <v>3724</v>
      </c>
      <c r="J3733">
        <f t="shared" si="63"/>
        <v>105000</v>
      </c>
      <c r="K3733" t="e">
        <f>VLOOKUP(B3733,'REGISTRO ABONOS'!$B$8:$BC$10041,54,0)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hidden="1" x14ac:dyDescent="0.2">
      <c r="B3734" s="31">
        <v>3725</v>
      </c>
      <c r="J3734">
        <f t="shared" si="63"/>
        <v>105000</v>
      </c>
      <c r="K3734" t="e">
        <f>VLOOKUP(B3734,'REGISTRO ABONOS'!$B$8:$BC$10041,54,0)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hidden="1" x14ac:dyDescent="0.2">
      <c r="B3735" s="31">
        <v>3726</v>
      </c>
      <c r="J3735">
        <f t="shared" si="63"/>
        <v>105000</v>
      </c>
      <c r="K3735" t="e">
        <f>VLOOKUP(B3735,'REGISTRO ABONOS'!$B$8:$BC$10041,54,0)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hidden="1" x14ac:dyDescent="0.2">
      <c r="B3736" s="31">
        <v>3727</v>
      </c>
      <c r="J3736">
        <f t="shared" si="63"/>
        <v>105000</v>
      </c>
      <c r="K3736" t="e">
        <f>VLOOKUP(B3736,'REGISTRO ABONOS'!$B$8:$BC$10041,54,0)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hidden="1" x14ac:dyDescent="0.2">
      <c r="B3737" s="31">
        <v>3728</v>
      </c>
      <c r="J3737">
        <f t="shared" si="63"/>
        <v>105000</v>
      </c>
      <c r="K3737" t="e">
        <f>VLOOKUP(B3737,'REGISTRO ABONOS'!$B$8:$BC$10041,54,0)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hidden="1" x14ac:dyDescent="0.2">
      <c r="B3738" s="31">
        <v>3729</v>
      </c>
      <c r="J3738">
        <f t="shared" si="63"/>
        <v>105000</v>
      </c>
      <c r="K3738" t="e">
        <f>VLOOKUP(B3738,'REGISTRO ABONOS'!$B$8:$BC$10041,54,0)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hidden="1" x14ac:dyDescent="0.2">
      <c r="B3739" s="31">
        <v>3730</v>
      </c>
      <c r="J3739">
        <f t="shared" si="63"/>
        <v>105000</v>
      </c>
      <c r="K3739" t="e">
        <f>VLOOKUP(B3739,'REGISTRO ABONOS'!$B$8:$BC$10041,54,0)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hidden="1" x14ac:dyDescent="0.2">
      <c r="B3740" s="31">
        <v>3731</v>
      </c>
      <c r="J3740">
        <f t="shared" si="63"/>
        <v>105000</v>
      </c>
      <c r="K3740" t="e">
        <f>VLOOKUP(B3740,'REGISTRO ABONOS'!$B$8:$BC$10041,54,0)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hidden="1" x14ac:dyDescent="0.2">
      <c r="B3741" s="31">
        <v>3732</v>
      </c>
      <c r="J3741">
        <f t="shared" si="63"/>
        <v>105000</v>
      </c>
      <c r="K3741" t="e">
        <f>VLOOKUP(B3741,'REGISTRO ABONOS'!$B$8:$BC$10041,54,0)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hidden="1" x14ac:dyDescent="0.2">
      <c r="B3742" s="31">
        <v>3733</v>
      </c>
      <c r="J3742">
        <f t="shared" si="63"/>
        <v>105000</v>
      </c>
      <c r="K3742" t="e">
        <f>VLOOKUP(B3742,'REGISTRO ABONOS'!$B$8:$BC$10041,54,0)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hidden="1" x14ac:dyDescent="0.2">
      <c r="B3743" s="31">
        <v>3734</v>
      </c>
      <c r="J3743">
        <f t="shared" si="63"/>
        <v>105000</v>
      </c>
      <c r="K3743" t="e">
        <f>VLOOKUP(B3743,'REGISTRO ABONOS'!$B$8:$BC$10041,54,0)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hidden="1" x14ac:dyDescent="0.2">
      <c r="B3744" s="31">
        <v>3735</v>
      </c>
      <c r="J3744">
        <f t="shared" si="63"/>
        <v>105000</v>
      </c>
      <c r="K3744" t="e">
        <f>VLOOKUP(B3744,'REGISTRO ABONOS'!$B$8:$BC$10041,54,0)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hidden="1" x14ac:dyDescent="0.2">
      <c r="B3745" s="31">
        <v>3736</v>
      </c>
      <c r="J3745">
        <f t="shared" si="63"/>
        <v>105000</v>
      </c>
      <c r="K3745" t="e">
        <f>VLOOKUP(B3745,'REGISTRO ABONOS'!$B$8:$BC$10041,54,0)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hidden="1" x14ac:dyDescent="0.2">
      <c r="B3746" s="31">
        <v>3737</v>
      </c>
      <c r="J3746">
        <f t="shared" si="63"/>
        <v>105000</v>
      </c>
      <c r="K3746" t="e">
        <f>VLOOKUP(B3746,'REGISTRO ABONOS'!$B$8:$BC$10041,54,0)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hidden="1" x14ac:dyDescent="0.2">
      <c r="B3747" s="31">
        <v>3738</v>
      </c>
      <c r="J3747">
        <f t="shared" si="63"/>
        <v>105000</v>
      </c>
      <c r="K3747" t="e">
        <f>VLOOKUP(B3747,'REGISTRO ABONOS'!$B$8:$BC$10041,54,0)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hidden="1" x14ac:dyDescent="0.2">
      <c r="B3748" s="31">
        <v>3739</v>
      </c>
      <c r="J3748">
        <f t="shared" si="63"/>
        <v>105000</v>
      </c>
      <c r="K3748" t="e">
        <f>VLOOKUP(B3748,'REGISTRO ABONOS'!$B$8:$BC$10041,54,0)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hidden="1" x14ac:dyDescent="0.2">
      <c r="B3749" s="31">
        <v>3740</v>
      </c>
      <c r="J3749">
        <f t="shared" si="63"/>
        <v>105000</v>
      </c>
      <c r="K3749" t="e">
        <f>VLOOKUP(B3749,'REGISTRO ABONOS'!$B$8:$BC$10041,54,0)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hidden="1" x14ac:dyDescent="0.2">
      <c r="B3750" s="31">
        <v>3741</v>
      </c>
      <c r="J3750">
        <f t="shared" si="63"/>
        <v>105000</v>
      </c>
      <c r="K3750" t="e">
        <f>VLOOKUP(B3750,'REGISTRO ABONOS'!$B$8:$BC$10041,54,0)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hidden="1" x14ac:dyDescent="0.2">
      <c r="B3751" s="31">
        <v>3742</v>
      </c>
      <c r="J3751">
        <f t="shared" si="63"/>
        <v>105000</v>
      </c>
      <c r="K3751" t="e">
        <f>VLOOKUP(B3751,'REGISTRO ABONOS'!$B$8:$BC$10041,54,0)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hidden="1" x14ac:dyDescent="0.2">
      <c r="B3752" s="31">
        <v>3743</v>
      </c>
      <c r="J3752">
        <f t="shared" si="63"/>
        <v>105000</v>
      </c>
      <c r="K3752" t="e">
        <f>VLOOKUP(B3752,'REGISTRO ABONOS'!$B$8:$BC$10041,54,0)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hidden="1" x14ac:dyDescent="0.2">
      <c r="B3753" s="31">
        <v>3744</v>
      </c>
      <c r="J3753">
        <f t="shared" si="63"/>
        <v>105000</v>
      </c>
      <c r="K3753" t="e">
        <f>VLOOKUP(B3753,'REGISTRO ABONOS'!$B$8:$BC$10041,54,0)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hidden="1" x14ac:dyDescent="0.2">
      <c r="B3754" s="31">
        <v>3745</v>
      </c>
      <c r="J3754">
        <f t="shared" si="63"/>
        <v>105000</v>
      </c>
      <c r="K3754" t="e">
        <f>VLOOKUP(B3754,'REGISTRO ABONOS'!$B$8:$BC$10041,54,0)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hidden="1" x14ac:dyDescent="0.2">
      <c r="B3755" s="31">
        <v>3746</v>
      </c>
      <c r="J3755">
        <f t="shared" si="63"/>
        <v>105000</v>
      </c>
      <c r="K3755" t="e">
        <f>VLOOKUP(B3755,'REGISTRO ABONOS'!$B$8:$BC$10041,54,0)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hidden="1" x14ac:dyDescent="0.2">
      <c r="B3756" s="31">
        <v>3747</v>
      </c>
      <c r="J3756">
        <f t="shared" si="63"/>
        <v>105000</v>
      </c>
      <c r="K3756" t="e">
        <f>VLOOKUP(B3756,'REGISTRO ABONOS'!$B$8:$BC$10041,54,0)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hidden="1" x14ac:dyDescent="0.2">
      <c r="B3757" s="31">
        <v>3748</v>
      </c>
      <c r="J3757">
        <f t="shared" si="63"/>
        <v>105000</v>
      </c>
      <c r="K3757" t="e">
        <f>VLOOKUP(B3757,'REGISTRO ABONOS'!$B$8:$BC$10041,54,0)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hidden="1" x14ac:dyDescent="0.2">
      <c r="B3758" s="31">
        <v>3749</v>
      </c>
      <c r="J3758">
        <f t="shared" si="63"/>
        <v>105000</v>
      </c>
      <c r="K3758" t="e">
        <f>VLOOKUP(B3758,'REGISTRO ABONOS'!$B$8:$BC$10041,54,0)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hidden="1" x14ac:dyDescent="0.2">
      <c r="B3759" s="31">
        <v>3750</v>
      </c>
      <c r="J3759">
        <f t="shared" si="63"/>
        <v>105000</v>
      </c>
      <c r="K3759" t="e">
        <f>VLOOKUP(B3759,'REGISTRO ABONOS'!$B$8:$BC$10041,54,0)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hidden="1" x14ac:dyDescent="0.2">
      <c r="B3760" s="31">
        <v>3751</v>
      </c>
      <c r="J3760">
        <f t="shared" si="63"/>
        <v>105000</v>
      </c>
      <c r="K3760" t="e">
        <f>VLOOKUP(B3760,'REGISTRO ABONOS'!$B$8:$BC$10041,54,0)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hidden="1" x14ac:dyDescent="0.2">
      <c r="B3761" s="31">
        <v>3752</v>
      </c>
      <c r="J3761">
        <f t="shared" si="63"/>
        <v>105000</v>
      </c>
      <c r="K3761" t="e">
        <f>VLOOKUP(B3761,'REGISTRO ABONOS'!$B$8:$BC$10041,54,0)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hidden="1" x14ac:dyDescent="0.2">
      <c r="B3762" s="31">
        <v>3753</v>
      </c>
      <c r="J3762">
        <f t="shared" si="63"/>
        <v>105000</v>
      </c>
      <c r="K3762" t="e">
        <f>VLOOKUP(B3762,'REGISTRO ABONOS'!$B$8:$BC$10041,54,0)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hidden="1" x14ac:dyDescent="0.2">
      <c r="B3763" s="31">
        <v>3754</v>
      </c>
      <c r="J3763">
        <f t="shared" si="63"/>
        <v>105000</v>
      </c>
      <c r="K3763" t="e">
        <f>VLOOKUP(B3763,'REGISTRO ABONOS'!$B$8:$BC$10041,54,0)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hidden="1" x14ac:dyDescent="0.2">
      <c r="B3764" s="31">
        <v>3755</v>
      </c>
      <c r="J3764">
        <f t="shared" si="63"/>
        <v>105000</v>
      </c>
      <c r="K3764" t="e">
        <f>VLOOKUP(B3764,'REGISTRO ABONOS'!$B$8:$BC$10041,54,0)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hidden="1" x14ac:dyDescent="0.2">
      <c r="B3765" s="31">
        <v>3756</v>
      </c>
      <c r="J3765">
        <f t="shared" si="63"/>
        <v>105000</v>
      </c>
      <c r="K3765" t="e">
        <f>VLOOKUP(B3765,'REGISTRO ABONOS'!$B$8:$BC$10041,54,0)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hidden="1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ABONOS'!$B$8:$BC$10041,54,0)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hidden="1" x14ac:dyDescent="0.2">
      <c r="B3767" s="31">
        <v>3758</v>
      </c>
      <c r="J3767">
        <f t="shared" si="64"/>
        <v>105000</v>
      </c>
      <c r="K3767" t="e">
        <f>VLOOKUP(B3767,'REGISTRO ABONOS'!$B$8:$BC$10041,54,0)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hidden="1" x14ac:dyDescent="0.2">
      <c r="B3768" s="31">
        <v>3759</v>
      </c>
      <c r="J3768">
        <f t="shared" si="64"/>
        <v>105000</v>
      </c>
      <c r="K3768" t="e">
        <f>VLOOKUP(B3768,'REGISTRO ABONOS'!$B$8:$BC$10041,54,0)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hidden="1" x14ac:dyDescent="0.2">
      <c r="B3769" s="31">
        <v>3760</v>
      </c>
      <c r="J3769">
        <f t="shared" si="64"/>
        <v>105000</v>
      </c>
      <c r="K3769" t="e">
        <f>VLOOKUP(B3769,'REGISTRO ABONOS'!$B$8:$BC$10041,54,0)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hidden="1" x14ac:dyDescent="0.2">
      <c r="B3770" s="31">
        <v>3761</v>
      </c>
      <c r="J3770">
        <f t="shared" si="64"/>
        <v>105000</v>
      </c>
      <c r="K3770" t="e">
        <f>VLOOKUP(B3770,'REGISTRO ABONOS'!$B$8:$BC$10041,54,0)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hidden="1" x14ac:dyDescent="0.2">
      <c r="B3771" s="31">
        <v>3762</v>
      </c>
      <c r="J3771">
        <f t="shared" si="64"/>
        <v>105000</v>
      </c>
      <c r="K3771" t="e">
        <f>VLOOKUP(B3771,'REGISTRO ABONOS'!$B$8:$BC$10041,54,0)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hidden="1" x14ac:dyDescent="0.2">
      <c r="B3772" s="31">
        <v>3763</v>
      </c>
      <c r="J3772">
        <f t="shared" si="64"/>
        <v>105000</v>
      </c>
      <c r="K3772" t="e">
        <f>VLOOKUP(B3772,'REGISTRO ABONOS'!$B$8:$BC$10041,54,0)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hidden="1" x14ac:dyDescent="0.2">
      <c r="B3773" s="31">
        <v>3764</v>
      </c>
      <c r="J3773">
        <f t="shared" si="64"/>
        <v>105000</v>
      </c>
      <c r="K3773" t="e">
        <f>VLOOKUP(B3773,'REGISTRO ABONOS'!$B$8:$BC$10041,54,0)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hidden="1" x14ac:dyDescent="0.2">
      <c r="B3774" s="31">
        <v>3765</v>
      </c>
      <c r="J3774">
        <f t="shared" si="64"/>
        <v>105000</v>
      </c>
      <c r="K3774" t="e">
        <f>VLOOKUP(B3774,'REGISTRO ABONOS'!$B$8:$BC$10041,54,0)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hidden="1" x14ac:dyDescent="0.2">
      <c r="B3775" s="31">
        <v>3766</v>
      </c>
      <c r="J3775">
        <f t="shared" si="64"/>
        <v>105000</v>
      </c>
      <c r="K3775" t="e">
        <f>VLOOKUP(B3775,'REGISTRO ABONOS'!$B$8:$BC$10041,54,0)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hidden="1" x14ac:dyDescent="0.2">
      <c r="B3776" s="31">
        <v>3767</v>
      </c>
      <c r="J3776">
        <f t="shared" si="64"/>
        <v>105000</v>
      </c>
      <c r="K3776" t="e">
        <f>VLOOKUP(B3776,'REGISTRO ABONOS'!$B$8:$BC$10041,54,0)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hidden="1" x14ac:dyDescent="0.2">
      <c r="B3777" s="31">
        <v>3768</v>
      </c>
      <c r="J3777">
        <f t="shared" si="64"/>
        <v>105000</v>
      </c>
      <c r="K3777" t="e">
        <f>VLOOKUP(B3777,'REGISTRO ABONOS'!$B$8:$BC$10041,54,0)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hidden="1" x14ac:dyDescent="0.2">
      <c r="B3778" s="31">
        <v>3769</v>
      </c>
      <c r="J3778">
        <f t="shared" si="64"/>
        <v>105000</v>
      </c>
      <c r="K3778" t="e">
        <f>VLOOKUP(B3778,'REGISTRO ABONOS'!$B$8:$BC$10041,54,0)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hidden="1" x14ac:dyDescent="0.2">
      <c r="B3779" s="31">
        <v>3770</v>
      </c>
      <c r="J3779">
        <f t="shared" si="64"/>
        <v>105000</v>
      </c>
      <c r="K3779" t="e">
        <f>VLOOKUP(B3779,'REGISTRO ABONOS'!$B$8:$BC$10041,54,0)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hidden="1" x14ac:dyDescent="0.2">
      <c r="B3780" s="31">
        <v>3771</v>
      </c>
      <c r="J3780">
        <f t="shared" si="64"/>
        <v>105000</v>
      </c>
      <c r="K3780" t="e">
        <f>VLOOKUP(B3780,'REGISTRO ABONOS'!$B$8:$BC$10041,54,0)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hidden="1" x14ac:dyDescent="0.2">
      <c r="B3781" s="31">
        <v>3772</v>
      </c>
      <c r="J3781">
        <f t="shared" si="64"/>
        <v>105000</v>
      </c>
      <c r="K3781" t="e">
        <f>VLOOKUP(B3781,'REGISTRO ABONOS'!$B$8:$BC$10041,54,0)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hidden="1" x14ac:dyDescent="0.2">
      <c r="B3782" s="31">
        <v>3773</v>
      </c>
      <c r="J3782">
        <f t="shared" si="64"/>
        <v>105000</v>
      </c>
      <c r="K3782" t="e">
        <f>VLOOKUP(B3782,'REGISTRO ABONOS'!$B$8:$BC$10041,54,0)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hidden="1" x14ac:dyDescent="0.2">
      <c r="B3783" s="31">
        <v>3774</v>
      </c>
      <c r="J3783">
        <f t="shared" si="64"/>
        <v>105000</v>
      </c>
      <c r="K3783" t="e">
        <f>VLOOKUP(B3783,'REGISTRO ABONOS'!$B$8:$BC$10041,54,0)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hidden="1" x14ac:dyDescent="0.2">
      <c r="B3784" s="31">
        <v>3775</v>
      </c>
      <c r="J3784">
        <f t="shared" si="64"/>
        <v>105000</v>
      </c>
      <c r="K3784" t="e">
        <f>VLOOKUP(B3784,'REGISTRO ABONOS'!$B$8:$BC$10041,54,0)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hidden="1" x14ac:dyDescent="0.2">
      <c r="B3785" s="31">
        <v>3776</v>
      </c>
      <c r="J3785">
        <f t="shared" si="64"/>
        <v>105000</v>
      </c>
      <c r="K3785" t="e">
        <f>VLOOKUP(B3785,'REGISTRO ABONOS'!$B$8:$BC$10041,54,0)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hidden="1" x14ac:dyDescent="0.2">
      <c r="B3786" s="31">
        <v>3777</v>
      </c>
      <c r="J3786">
        <f t="shared" si="64"/>
        <v>105000</v>
      </c>
      <c r="K3786" t="e">
        <f>VLOOKUP(B3786,'REGISTRO ABONOS'!$B$8:$BC$10041,54,0)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hidden="1" x14ac:dyDescent="0.2">
      <c r="B3787" s="31">
        <v>3778</v>
      </c>
      <c r="J3787">
        <f t="shared" si="64"/>
        <v>105000</v>
      </c>
      <c r="K3787" t="e">
        <f>VLOOKUP(B3787,'REGISTRO ABONOS'!$B$8:$BC$10041,54,0)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hidden="1" x14ac:dyDescent="0.2">
      <c r="B3788" s="31">
        <v>3779</v>
      </c>
      <c r="J3788">
        <f t="shared" si="64"/>
        <v>105000</v>
      </c>
      <c r="K3788" t="e">
        <f>VLOOKUP(B3788,'REGISTRO ABONOS'!$B$8:$BC$10041,54,0)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hidden="1" x14ac:dyDescent="0.2">
      <c r="B3789" s="31">
        <v>3780</v>
      </c>
      <c r="J3789">
        <f t="shared" si="64"/>
        <v>105000</v>
      </c>
      <c r="K3789" t="e">
        <f>VLOOKUP(B3789,'REGISTRO ABONOS'!$B$8:$BC$10041,54,0)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hidden="1" x14ac:dyDescent="0.2">
      <c r="B3790" s="31">
        <v>3781</v>
      </c>
      <c r="J3790">
        <f t="shared" si="64"/>
        <v>105000</v>
      </c>
      <c r="K3790" t="e">
        <f>VLOOKUP(B3790,'REGISTRO ABONOS'!$B$8:$BC$10041,54,0)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hidden="1" x14ac:dyDescent="0.2">
      <c r="B3791" s="31">
        <v>3782</v>
      </c>
      <c r="J3791">
        <f t="shared" si="64"/>
        <v>105000</v>
      </c>
      <c r="K3791" t="e">
        <f>VLOOKUP(B3791,'REGISTRO ABONOS'!$B$8:$BC$10041,54,0)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hidden="1" x14ac:dyDescent="0.2">
      <c r="B3792" s="31">
        <v>3783</v>
      </c>
      <c r="J3792">
        <f t="shared" si="64"/>
        <v>105000</v>
      </c>
      <c r="K3792" t="e">
        <f>VLOOKUP(B3792,'REGISTRO ABONOS'!$B$8:$BC$10041,54,0)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hidden="1" x14ac:dyDescent="0.2">
      <c r="B3793" s="31">
        <v>3784</v>
      </c>
      <c r="J3793">
        <f t="shared" si="64"/>
        <v>105000</v>
      </c>
      <c r="K3793" t="e">
        <f>VLOOKUP(B3793,'REGISTRO ABONOS'!$B$8:$BC$10041,54,0)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hidden="1" x14ac:dyDescent="0.2">
      <c r="B3794" s="31">
        <v>3785</v>
      </c>
      <c r="J3794">
        <f t="shared" si="64"/>
        <v>105000</v>
      </c>
      <c r="K3794" t="e">
        <f>VLOOKUP(B3794,'REGISTRO ABONOS'!$B$8:$BC$10041,54,0)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hidden="1" x14ac:dyDescent="0.2">
      <c r="B3795" s="31">
        <v>3786</v>
      </c>
      <c r="J3795">
        <f t="shared" si="64"/>
        <v>105000</v>
      </c>
      <c r="K3795" t="e">
        <f>VLOOKUP(B3795,'REGISTRO ABONOS'!$B$8:$BC$10041,54,0)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hidden="1" x14ac:dyDescent="0.2">
      <c r="B3796" s="31">
        <v>3787</v>
      </c>
      <c r="J3796">
        <f t="shared" si="64"/>
        <v>105000</v>
      </c>
      <c r="K3796" t="e">
        <f>VLOOKUP(B3796,'REGISTRO ABONOS'!$B$8:$BC$10041,54,0)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hidden="1" x14ac:dyDescent="0.2">
      <c r="B3797" s="31">
        <v>3788</v>
      </c>
      <c r="J3797">
        <f t="shared" si="64"/>
        <v>105000</v>
      </c>
      <c r="K3797" t="e">
        <f>VLOOKUP(B3797,'REGISTRO ABONOS'!$B$8:$BC$10041,54,0)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hidden="1" x14ac:dyDescent="0.2">
      <c r="B3798" s="31">
        <v>3789</v>
      </c>
      <c r="J3798">
        <f t="shared" si="64"/>
        <v>105000</v>
      </c>
      <c r="K3798" t="e">
        <f>VLOOKUP(B3798,'REGISTRO ABONOS'!$B$8:$BC$10041,54,0)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hidden="1" x14ac:dyDescent="0.2">
      <c r="B3799" s="31">
        <v>3790</v>
      </c>
      <c r="J3799">
        <f t="shared" si="64"/>
        <v>105000</v>
      </c>
      <c r="K3799" t="e">
        <f>VLOOKUP(B3799,'REGISTRO ABONOS'!$B$8:$BC$10041,54,0)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hidden="1" x14ac:dyDescent="0.2">
      <c r="B3800" s="31">
        <v>3791</v>
      </c>
      <c r="J3800">
        <f t="shared" si="64"/>
        <v>105000</v>
      </c>
      <c r="K3800" t="e">
        <f>VLOOKUP(B3800,'REGISTRO ABONOS'!$B$8:$BC$10041,54,0)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hidden="1" x14ac:dyDescent="0.2">
      <c r="B3801" s="31">
        <v>3792</v>
      </c>
      <c r="J3801">
        <f t="shared" si="64"/>
        <v>105000</v>
      </c>
      <c r="K3801" t="e">
        <f>VLOOKUP(B3801,'REGISTRO ABONOS'!$B$8:$BC$10041,54,0)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hidden="1" x14ac:dyDescent="0.2">
      <c r="B3802" s="31">
        <v>3793</v>
      </c>
      <c r="J3802">
        <f t="shared" si="64"/>
        <v>105000</v>
      </c>
      <c r="K3802" t="e">
        <f>VLOOKUP(B3802,'REGISTRO ABONOS'!$B$8:$BC$10041,54,0)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hidden="1" x14ac:dyDescent="0.2">
      <c r="B3803" s="31">
        <v>3794</v>
      </c>
      <c r="J3803">
        <f t="shared" si="64"/>
        <v>105000</v>
      </c>
      <c r="K3803" t="e">
        <f>VLOOKUP(B3803,'REGISTRO ABONOS'!$B$8:$BC$10041,54,0)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hidden="1" x14ac:dyDescent="0.2">
      <c r="B3804" s="31">
        <v>3795</v>
      </c>
      <c r="J3804">
        <f t="shared" si="64"/>
        <v>105000</v>
      </c>
      <c r="K3804" t="e">
        <f>VLOOKUP(B3804,'REGISTRO ABONOS'!$B$8:$BC$10041,54,0)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hidden="1" x14ac:dyDescent="0.2">
      <c r="B3805" s="31">
        <v>3796</v>
      </c>
      <c r="J3805">
        <f t="shared" si="64"/>
        <v>105000</v>
      </c>
      <c r="K3805" t="e">
        <f>VLOOKUP(B3805,'REGISTRO ABONOS'!$B$8:$BC$10041,54,0)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hidden="1" x14ac:dyDescent="0.2">
      <c r="B3806" s="31">
        <v>3797</v>
      </c>
      <c r="J3806">
        <f t="shared" si="64"/>
        <v>105000</v>
      </c>
      <c r="K3806" t="e">
        <f>VLOOKUP(B3806,'REGISTRO ABONOS'!$B$8:$BC$10041,54,0)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hidden="1" x14ac:dyDescent="0.2">
      <c r="B3807" s="31">
        <v>3798</v>
      </c>
      <c r="J3807">
        <f t="shared" si="64"/>
        <v>105000</v>
      </c>
      <c r="K3807" t="e">
        <f>VLOOKUP(B3807,'REGISTRO ABONOS'!$B$8:$BC$10041,54,0)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hidden="1" x14ac:dyDescent="0.2">
      <c r="B3808" s="31">
        <v>3799</v>
      </c>
      <c r="J3808">
        <f t="shared" si="64"/>
        <v>105000</v>
      </c>
      <c r="K3808" t="e">
        <f>VLOOKUP(B3808,'REGISTRO ABONOS'!$B$8:$BC$10041,54,0)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hidden="1" x14ac:dyDescent="0.2">
      <c r="B3809" s="31">
        <v>3800</v>
      </c>
      <c r="J3809">
        <f t="shared" si="64"/>
        <v>105000</v>
      </c>
      <c r="K3809" t="e">
        <f>VLOOKUP(B3809,'REGISTRO ABONOS'!$B$8:$BC$10041,54,0)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hidden="1" x14ac:dyDescent="0.2">
      <c r="B3810" s="31">
        <v>3801</v>
      </c>
      <c r="J3810">
        <f t="shared" si="64"/>
        <v>105000</v>
      </c>
      <c r="K3810" t="e">
        <f>VLOOKUP(B3810,'REGISTRO ABONOS'!$B$8:$BC$10041,54,0)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hidden="1" x14ac:dyDescent="0.2">
      <c r="B3811" s="31">
        <v>3802</v>
      </c>
      <c r="J3811">
        <f t="shared" si="64"/>
        <v>105000</v>
      </c>
      <c r="K3811" t="e">
        <f>VLOOKUP(B3811,'REGISTRO ABONOS'!$B$8:$BC$10041,54,0)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hidden="1" x14ac:dyDescent="0.2">
      <c r="B3812" s="31">
        <v>3803</v>
      </c>
      <c r="J3812">
        <f t="shared" si="64"/>
        <v>105000</v>
      </c>
      <c r="K3812" t="e">
        <f>VLOOKUP(B3812,'REGISTRO ABONOS'!$B$8:$BC$10041,54,0)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hidden="1" x14ac:dyDescent="0.2">
      <c r="B3813" s="31">
        <v>3804</v>
      </c>
      <c r="J3813">
        <f t="shared" si="64"/>
        <v>105000</v>
      </c>
      <c r="K3813" t="e">
        <f>VLOOKUP(B3813,'REGISTRO ABONOS'!$B$8:$BC$10041,54,0)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hidden="1" x14ac:dyDescent="0.2">
      <c r="B3814" s="31">
        <v>3805</v>
      </c>
      <c r="J3814">
        <f t="shared" si="64"/>
        <v>105000</v>
      </c>
      <c r="K3814" t="e">
        <f>VLOOKUP(B3814,'REGISTRO ABONOS'!$B$8:$BC$10041,54,0)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hidden="1" x14ac:dyDescent="0.2">
      <c r="B3815" s="31">
        <v>3806</v>
      </c>
      <c r="C3815" s="10">
        <v>43576</v>
      </c>
      <c r="D3815" t="s">
        <v>496</v>
      </c>
      <c r="H3815" t="s">
        <v>496</v>
      </c>
      <c r="I3815" t="s">
        <v>99</v>
      </c>
      <c r="J3815">
        <f t="shared" si="64"/>
        <v>105000</v>
      </c>
      <c r="K3815" t="e">
        <f>VLOOKUP(B3815,'REGISTRO ABONOS'!$B$8:$BC$10041,54,0)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hidden="1" x14ac:dyDescent="0.2">
      <c r="B3816" s="31">
        <v>3807</v>
      </c>
      <c r="J3816">
        <f t="shared" si="64"/>
        <v>105000</v>
      </c>
      <c r="K3816" t="e">
        <f>VLOOKUP(B3816,'REGISTRO ABONOS'!$B$8:$BC$10041,54,0)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hidden="1" x14ac:dyDescent="0.2">
      <c r="B3817" s="31">
        <v>3808</v>
      </c>
      <c r="J3817">
        <f t="shared" si="64"/>
        <v>105000</v>
      </c>
      <c r="K3817" t="e">
        <f>VLOOKUP(B3817,'REGISTRO ABONOS'!$B$8:$BC$10041,54,0)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hidden="1" x14ac:dyDescent="0.2">
      <c r="B3818" s="31">
        <v>3809</v>
      </c>
      <c r="J3818">
        <f t="shared" si="64"/>
        <v>105000</v>
      </c>
      <c r="K3818" t="e">
        <f>VLOOKUP(B3818,'REGISTRO ABONOS'!$B$8:$BC$10041,54,0)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hidden="1" x14ac:dyDescent="0.2">
      <c r="B3819" s="31">
        <v>3810</v>
      </c>
      <c r="J3819">
        <f t="shared" si="64"/>
        <v>105000</v>
      </c>
      <c r="K3819" t="e">
        <f>VLOOKUP(B3819,'REGISTRO ABONOS'!$B$8:$BC$10041,54,0)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hidden="1" x14ac:dyDescent="0.2">
      <c r="B3820" s="31">
        <v>3811</v>
      </c>
      <c r="J3820">
        <f t="shared" si="64"/>
        <v>105000</v>
      </c>
      <c r="K3820" t="e">
        <f>VLOOKUP(B3820,'REGISTRO ABONOS'!$B$8:$BC$10041,54,0)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hidden="1" x14ac:dyDescent="0.2">
      <c r="B3821" s="31">
        <v>3812</v>
      </c>
      <c r="J3821">
        <f t="shared" si="64"/>
        <v>105000</v>
      </c>
      <c r="K3821" t="e">
        <f>VLOOKUP(B3821,'REGISTRO ABONOS'!$B$8:$BC$10041,54,0)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hidden="1" x14ac:dyDescent="0.2">
      <c r="B3822" s="31">
        <v>3813</v>
      </c>
      <c r="J3822">
        <f t="shared" si="64"/>
        <v>105000</v>
      </c>
      <c r="K3822" t="e">
        <f>VLOOKUP(B3822,'REGISTRO ABONOS'!$B$8:$BC$10041,54,0)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hidden="1" x14ac:dyDescent="0.2">
      <c r="B3823" s="31">
        <v>3814</v>
      </c>
      <c r="J3823">
        <f t="shared" si="64"/>
        <v>105000</v>
      </c>
      <c r="K3823" t="e">
        <f>VLOOKUP(B3823,'REGISTRO ABONOS'!$B$8:$BC$10041,54,0)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hidden="1" x14ac:dyDescent="0.2">
      <c r="B3824" s="31">
        <v>3815</v>
      </c>
      <c r="J3824">
        <f t="shared" si="64"/>
        <v>105000</v>
      </c>
      <c r="K3824" t="e">
        <f>VLOOKUP(B3824,'REGISTRO ABONOS'!$B$8:$BC$10041,54,0)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hidden="1" x14ac:dyDescent="0.2">
      <c r="B3825" s="31">
        <v>3816</v>
      </c>
      <c r="J3825">
        <f t="shared" si="64"/>
        <v>105000</v>
      </c>
      <c r="K3825" t="e">
        <f>VLOOKUP(B3825,'REGISTRO ABONOS'!$B$8:$BC$10041,54,0)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hidden="1" x14ac:dyDescent="0.2">
      <c r="B3826" s="31">
        <v>3817</v>
      </c>
      <c r="J3826">
        <f t="shared" si="64"/>
        <v>105000</v>
      </c>
      <c r="K3826" t="e">
        <f>VLOOKUP(B3826,'REGISTRO ABONOS'!$B$8:$BC$10041,54,0)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hidden="1" x14ac:dyDescent="0.2">
      <c r="B3827" s="31">
        <v>3818</v>
      </c>
      <c r="J3827">
        <f t="shared" si="64"/>
        <v>105000</v>
      </c>
      <c r="K3827" t="e">
        <f>VLOOKUP(B3827,'REGISTRO ABONOS'!$B$8:$BC$10041,54,0)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hidden="1" x14ac:dyDescent="0.2">
      <c r="B3828" s="31">
        <v>3819</v>
      </c>
      <c r="J3828">
        <f t="shared" si="64"/>
        <v>105000</v>
      </c>
      <c r="K3828" t="e">
        <f>VLOOKUP(B3828,'REGISTRO ABONOS'!$B$8:$BC$10041,54,0)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hidden="1" x14ac:dyDescent="0.2">
      <c r="B3829" s="31">
        <v>3820</v>
      </c>
      <c r="J3829">
        <f t="shared" si="64"/>
        <v>105000</v>
      </c>
      <c r="K3829" t="e">
        <f>VLOOKUP(B3829,'REGISTRO ABONOS'!$B$8:$BC$10041,54,0)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hidden="1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ABONOS'!$B$8:$BC$10041,54,0)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hidden="1" x14ac:dyDescent="0.2">
      <c r="B3831" s="31">
        <v>3822</v>
      </c>
      <c r="J3831">
        <f t="shared" si="65"/>
        <v>105000</v>
      </c>
      <c r="K3831" t="e">
        <f>VLOOKUP(B3831,'REGISTRO ABONOS'!$B$8:$BC$10041,54,0)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hidden="1" x14ac:dyDescent="0.2">
      <c r="B3832" s="31">
        <v>3823</v>
      </c>
      <c r="J3832">
        <f t="shared" si="65"/>
        <v>105000</v>
      </c>
      <c r="K3832" t="e">
        <f>VLOOKUP(B3832,'REGISTRO ABONOS'!$B$8:$BC$10041,54,0)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hidden="1" x14ac:dyDescent="0.2">
      <c r="B3833" s="31">
        <v>3824</v>
      </c>
      <c r="J3833">
        <f t="shared" si="65"/>
        <v>105000</v>
      </c>
      <c r="K3833" t="e">
        <f>VLOOKUP(B3833,'REGISTRO ABONOS'!$B$8:$BC$10041,54,0)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hidden="1" x14ac:dyDescent="0.2">
      <c r="B3834" s="31">
        <v>3825</v>
      </c>
      <c r="J3834">
        <f t="shared" si="65"/>
        <v>105000</v>
      </c>
      <c r="K3834" t="e">
        <f>VLOOKUP(B3834,'REGISTRO ABONOS'!$B$8:$BC$10041,54,0)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hidden="1" x14ac:dyDescent="0.2">
      <c r="B3835" s="31">
        <v>3826</v>
      </c>
      <c r="J3835">
        <f t="shared" si="65"/>
        <v>105000</v>
      </c>
      <c r="K3835" t="e">
        <f>VLOOKUP(B3835,'REGISTRO ABONOS'!$B$8:$BC$10041,54,0)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hidden="1" x14ac:dyDescent="0.2">
      <c r="B3836" s="31">
        <v>3827</v>
      </c>
      <c r="J3836">
        <f t="shared" si="65"/>
        <v>105000</v>
      </c>
      <c r="K3836" t="e">
        <f>VLOOKUP(B3836,'REGISTRO ABONOS'!$B$8:$BC$10041,54,0)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hidden="1" x14ac:dyDescent="0.2">
      <c r="B3837" s="31">
        <v>3828</v>
      </c>
      <c r="J3837">
        <f t="shared" si="65"/>
        <v>105000</v>
      </c>
      <c r="K3837" t="e">
        <f>VLOOKUP(B3837,'REGISTRO ABONOS'!$B$8:$BC$10041,54,0)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hidden="1" x14ac:dyDescent="0.2">
      <c r="B3838" s="31">
        <v>3829</v>
      </c>
      <c r="J3838">
        <f t="shared" si="65"/>
        <v>105000</v>
      </c>
      <c r="K3838" t="e">
        <f>VLOOKUP(B3838,'REGISTRO ABONOS'!$B$8:$BC$10041,54,0)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hidden="1" x14ac:dyDescent="0.2">
      <c r="B3839" s="31">
        <v>3830</v>
      </c>
      <c r="J3839">
        <f t="shared" si="65"/>
        <v>105000</v>
      </c>
      <c r="K3839" t="e">
        <f>VLOOKUP(B3839,'REGISTRO ABONOS'!$B$8:$BC$10041,54,0)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hidden="1" x14ac:dyDescent="0.2">
      <c r="B3840" s="31">
        <v>3831</v>
      </c>
      <c r="J3840">
        <f t="shared" si="65"/>
        <v>105000</v>
      </c>
      <c r="K3840" t="e">
        <f>VLOOKUP(B3840,'REGISTRO ABONOS'!$B$8:$BC$10041,54,0)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hidden="1" x14ac:dyDescent="0.2">
      <c r="B3841" s="31">
        <v>3832</v>
      </c>
      <c r="J3841">
        <f t="shared" si="65"/>
        <v>105000</v>
      </c>
      <c r="K3841" t="e">
        <f>VLOOKUP(B3841,'REGISTRO ABONOS'!$B$8:$BC$10041,54,0)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hidden="1" x14ac:dyDescent="0.2">
      <c r="B3842" s="31">
        <v>3833</v>
      </c>
      <c r="J3842">
        <f t="shared" si="65"/>
        <v>105000</v>
      </c>
      <c r="K3842" t="e">
        <f>VLOOKUP(B3842,'REGISTRO ABONOS'!$B$8:$BC$10041,54,0)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hidden="1" x14ac:dyDescent="0.2">
      <c r="B3843" s="31">
        <v>3834</v>
      </c>
      <c r="J3843">
        <f t="shared" si="65"/>
        <v>105000</v>
      </c>
      <c r="K3843" t="e">
        <f>VLOOKUP(B3843,'REGISTRO ABONOS'!$B$8:$BC$10041,54,0)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hidden="1" x14ac:dyDescent="0.2">
      <c r="B3844" s="31">
        <v>3835</v>
      </c>
      <c r="J3844">
        <f t="shared" si="65"/>
        <v>105000</v>
      </c>
      <c r="K3844" t="e">
        <f>VLOOKUP(B3844,'REGISTRO ABONOS'!$B$8:$BC$10041,54,0)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hidden="1" x14ac:dyDescent="0.2">
      <c r="B3845" s="31">
        <v>3836</v>
      </c>
      <c r="J3845">
        <f t="shared" si="65"/>
        <v>105000</v>
      </c>
      <c r="K3845" t="e">
        <f>VLOOKUP(B3845,'REGISTRO ABONOS'!$B$8:$BC$10041,54,0)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hidden="1" x14ac:dyDescent="0.2">
      <c r="B3846" s="31">
        <v>3837</v>
      </c>
      <c r="J3846">
        <f t="shared" si="65"/>
        <v>105000</v>
      </c>
      <c r="K3846" t="e">
        <f>VLOOKUP(B3846,'REGISTRO ABONOS'!$B$8:$BC$10041,54,0)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hidden="1" x14ac:dyDescent="0.2">
      <c r="B3847" s="31">
        <v>3838</v>
      </c>
      <c r="J3847">
        <f t="shared" si="65"/>
        <v>105000</v>
      </c>
      <c r="K3847" t="e">
        <f>VLOOKUP(B3847,'REGISTRO ABONOS'!$B$8:$BC$10041,54,0)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hidden="1" x14ac:dyDescent="0.2">
      <c r="B3848" s="31">
        <v>3839</v>
      </c>
      <c r="J3848">
        <f t="shared" si="65"/>
        <v>105000</v>
      </c>
      <c r="K3848" t="e">
        <f>VLOOKUP(B3848,'REGISTRO ABONOS'!$B$8:$BC$10041,54,0)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hidden="1" x14ac:dyDescent="0.2">
      <c r="B3849" s="31">
        <v>3840</v>
      </c>
      <c r="J3849">
        <f t="shared" si="65"/>
        <v>105000</v>
      </c>
      <c r="K3849" t="e">
        <f>VLOOKUP(B3849,'REGISTRO ABONOS'!$B$8:$BC$10041,54,0)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hidden="1" x14ac:dyDescent="0.2">
      <c r="B3850" s="31">
        <v>3841</v>
      </c>
      <c r="J3850">
        <f t="shared" si="65"/>
        <v>105000</v>
      </c>
      <c r="K3850" t="e">
        <f>VLOOKUP(B3850,'REGISTRO ABONOS'!$B$8:$BC$10041,54,0)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hidden="1" x14ac:dyDescent="0.2">
      <c r="B3851" s="31">
        <v>3842</v>
      </c>
      <c r="J3851">
        <f t="shared" si="65"/>
        <v>105000</v>
      </c>
      <c r="K3851" t="e">
        <f>VLOOKUP(B3851,'REGISTRO ABONOS'!$B$8:$BC$10041,54,0)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hidden="1" x14ac:dyDescent="0.2">
      <c r="B3852" s="31">
        <v>3843</v>
      </c>
      <c r="J3852">
        <f t="shared" si="65"/>
        <v>105000</v>
      </c>
      <c r="K3852" t="e">
        <f>VLOOKUP(B3852,'REGISTRO ABONOS'!$B$8:$BC$10041,54,0)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hidden="1" x14ac:dyDescent="0.2">
      <c r="B3853" s="31">
        <v>3844</v>
      </c>
      <c r="J3853">
        <f t="shared" si="65"/>
        <v>105000</v>
      </c>
      <c r="K3853" t="e">
        <f>VLOOKUP(B3853,'REGISTRO ABONOS'!$B$8:$BC$10041,54,0)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hidden="1" x14ac:dyDescent="0.2">
      <c r="B3854" s="31">
        <v>3845</v>
      </c>
      <c r="J3854">
        <f t="shared" si="65"/>
        <v>105000</v>
      </c>
      <c r="K3854" t="e">
        <f>VLOOKUP(B3854,'REGISTRO ABONOS'!$B$8:$BC$10041,54,0)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hidden="1" x14ac:dyDescent="0.2">
      <c r="B3855" s="31">
        <v>3846</v>
      </c>
      <c r="J3855">
        <f t="shared" si="65"/>
        <v>105000</v>
      </c>
      <c r="K3855" t="e">
        <f>VLOOKUP(B3855,'REGISTRO ABONOS'!$B$8:$BC$10041,54,0)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hidden="1" x14ac:dyDescent="0.2">
      <c r="B3856" s="31">
        <v>3847</v>
      </c>
      <c r="J3856">
        <f t="shared" si="65"/>
        <v>105000</v>
      </c>
      <c r="K3856" t="e">
        <f>VLOOKUP(B3856,'REGISTRO ABONOS'!$B$8:$BC$10041,54,0)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hidden="1" x14ac:dyDescent="0.2">
      <c r="B3857" s="31">
        <v>3848</v>
      </c>
      <c r="J3857">
        <f t="shared" si="65"/>
        <v>105000</v>
      </c>
      <c r="K3857" t="e">
        <f>VLOOKUP(B3857,'REGISTRO ABONOS'!$B$8:$BC$10041,54,0)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hidden="1" x14ac:dyDescent="0.2">
      <c r="B3858" s="31">
        <v>3849</v>
      </c>
      <c r="J3858">
        <f t="shared" si="65"/>
        <v>105000</v>
      </c>
      <c r="K3858" t="e">
        <f>VLOOKUP(B3858,'REGISTRO ABONOS'!$B$8:$BC$10041,54,0)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hidden="1" x14ac:dyDescent="0.2">
      <c r="B3859" s="31">
        <v>3850</v>
      </c>
      <c r="J3859">
        <f t="shared" si="65"/>
        <v>105000</v>
      </c>
      <c r="K3859" t="e">
        <f>VLOOKUP(B3859,'REGISTRO ABONOS'!$B$8:$BC$10041,54,0)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hidden="1" x14ac:dyDescent="0.2">
      <c r="B3860" s="31">
        <v>3851</v>
      </c>
      <c r="J3860">
        <f t="shared" si="65"/>
        <v>105000</v>
      </c>
      <c r="K3860" t="e">
        <f>VLOOKUP(B3860,'REGISTRO ABONOS'!$B$8:$BC$10041,54,0)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hidden="1" x14ac:dyDescent="0.2">
      <c r="B3861" s="31">
        <v>3852</v>
      </c>
      <c r="J3861">
        <f t="shared" si="65"/>
        <v>105000</v>
      </c>
      <c r="K3861" t="e">
        <f>VLOOKUP(B3861,'REGISTRO ABONOS'!$B$8:$BC$10041,54,0)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hidden="1" x14ac:dyDescent="0.2">
      <c r="B3862" s="31">
        <v>3853</v>
      </c>
      <c r="J3862">
        <f t="shared" si="65"/>
        <v>105000</v>
      </c>
      <c r="K3862" t="e">
        <f>VLOOKUP(B3862,'REGISTRO ABONOS'!$B$8:$BC$10041,54,0)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hidden="1" x14ac:dyDescent="0.2">
      <c r="B3863" s="31">
        <v>3854</v>
      </c>
      <c r="J3863">
        <f t="shared" si="65"/>
        <v>105000</v>
      </c>
      <c r="K3863" t="e">
        <f>VLOOKUP(B3863,'REGISTRO ABONOS'!$B$8:$BC$10041,54,0)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hidden="1" x14ac:dyDescent="0.2">
      <c r="B3864" s="31">
        <v>3855</v>
      </c>
      <c r="J3864">
        <f t="shared" si="65"/>
        <v>105000</v>
      </c>
      <c r="K3864" t="e">
        <f>VLOOKUP(B3864,'REGISTRO ABONOS'!$B$8:$BC$10041,54,0)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hidden="1" x14ac:dyDescent="0.2">
      <c r="B3865" s="31">
        <v>3856</v>
      </c>
      <c r="J3865">
        <f t="shared" si="65"/>
        <v>105000</v>
      </c>
      <c r="K3865" t="e">
        <f>VLOOKUP(B3865,'REGISTRO ABONOS'!$B$8:$BC$10041,54,0)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hidden="1" x14ac:dyDescent="0.2">
      <c r="B3866" s="31">
        <v>3857</v>
      </c>
      <c r="J3866">
        <f t="shared" si="65"/>
        <v>105000</v>
      </c>
      <c r="K3866" t="e">
        <f>VLOOKUP(B3866,'REGISTRO ABONOS'!$B$8:$BC$10041,54,0)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hidden="1" x14ac:dyDescent="0.2">
      <c r="B3867" s="31">
        <v>3858</v>
      </c>
      <c r="J3867">
        <f t="shared" si="65"/>
        <v>105000</v>
      </c>
      <c r="K3867" t="e">
        <f>VLOOKUP(B3867,'REGISTRO ABONOS'!$B$8:$BC$10041,54,0)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hidden="1" x14ac:dyDescent="0.2">
      <c r="B3868" s="31">
        <v>3859</v>
      </c>
      <c r="J3868">
        <f t="shared" si="65"/>
        <v>105000</v>
      </c>
      <c r="K3868" t="e">
        <f>VLOOKUP(B3868,'REGISTRO ABONOS'!$B$8:$BC$10041,54,0)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hidden="1" x14ac:dyDescent="0.2">
      <c r="B3869" s="31">
        <v>3860</v>
      </c>
      <c r="J3869">
        <f t="shared" si="65"/>
        <v>105000</v>
      </c>
      <c r="K3869" t="e">
        <f>VLOOKUP(B3869,'REGISTRO ABONOS'!$B$8:$BC$10041,54,0)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hidden="1" x14ac:dyDescent="0.2">
      <c r="B3870" s="31">
        <v>3861</v>
      </c>
      <c r="J3870">
        <f t="shared" si="65"/>
        <v>105000</v>
      </c>
      <c r="K3870" t="e">
        <f>VLOOKUP(B3870,'REGISTRO ABONOS'!$B$8:$BC$10041,54,0)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hidden="1" x14ac:dyDescent="0.2">
      <c r="B3871" s="31">
        <v>3862</v>
      </c>
      <c r="J3871">
        <f t="shared" si="65"/>
        <v>105000</v>
      </c>
      <c r="K3871" t="e">
        <f>VLOOKUP(B3871,'REGISTRO ABONOS'!$B$8:$BC$10041,54,0)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hidden="1" x14ac:dyDescent="0.2">
      <c r="B3872" s="31">
        <v>3863</v>
      </c>
      <c r="J3872">
        <f t="shared" si="65"/>
        <v>105000</v>
      </c>
      <c r="K3872" t="e">
        <f>VLOOKUP(B3872,'REGISTRO ABONOS'!$B$8:$BC$10041,54,0)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hidden="1" x14ac:dyDescent="0.2">
      <c r="B3873" s="31">
        <v>3864</v>
      </c>
      <c r="J3873">
        <f t="shared" si="65"/>
        <v>105000</v>
      </c>
      <c r="K3873" t="e">
        <f>VLOOKUP(B3873,'REGISTRO ABONOS'!$B$8:$BC$10041,54,0)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hidden="1" x14ac:dyDescent="0.2">
      <c r="B3874" s="31">
        <v>3865</v>
      </c>
      <c r="J3874">
        <f t="shared" si="65"/>
        <v>105000</v>
      </c>
      <c r="K3874" t="e">
        <f>VLOOKUP(B3874,'REGISTRO ABONOS'!$B$8:$BC$10041,54,0)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hidden="1" x14ac:dyDescent="0.2">
      <c r="B3875" s="31">
        <v>3866</v>
      </c>
      <c r="J3875">
        <f t="shared" si="65"/>
        <v>105000</v>
      </c>
      <c r="K3875" t="e">
        <f>VLOOKUP(B3875,'REGISTRO ABONOS'!$B$8:$BC$10041,54,0)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hidden="1" x14ac:dyDescent="0.2">
      <c r="B3876" s="31">
        <v>3867</v>
      </c>
      <c r="J3876">
        <f t="shared" si="65"/>
        <v>105000</v>
      </c>
      <c r="K3876" t="e">
        <f>VLOOKUP(B3876,'REGISTRO ABONOS'!$B$8:$BC$10041,54,0)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hidden="1" x14ac:dyDescent="0.2">
      <c r="B3877" s="31">
        <v>3868</v>
      </c>
      <c r="J3877">
        <f t="shared" si="65"/>
        <v>105000</v>
      </c>
      <c r="K3877" t="e">
        <f>VLOOKUP(B3877,'REGISTRO ABONOS'!$B$8:$BC$10041,54,0)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hidden="1" x14ac:dyDescent="0.2">
      <c r="B3878" s="31">
        <v>3869</v>
      </c>
      <c r="J3878">
        <f t="shared" si="65"/>
        <v>105000</v>
      </c>
      <c r="K3878" t="e">
        <f>VLOOKUP(B3878,'REGISTRO ABONOS'!$B$8:$BC$10041,54,0)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hidden="1" x14ac:dyDescent="0.2">
      <c r="B3879" s="31">
        <v>3870</v>
      </c>
      <c r="J3879">
        <f t="shared" si="65"/>
        <v>105000</v>
      </c>
      <c r="K3879" t="e">
        <f>VLOOKUP(B3879,'REGISTRO ABONOS'!$B$8:$BC$10041,54,0)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hidden="1" x14ac:dyDescent="0.2">
      <c r="B3880" s="31">
        <v>3871</v>
      </c>
      <c r="J3880">
        <f t="shared" si="65"/>
        <v>105000</v>
      </c>
      <c r="K3880" t="e">
        <f>VLOOKUP(B3880,'REGISTRO ABONOS'!$B$8:$BC$10041,54,0)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hidden="1" x14ac:dyDescent="0.2">
      <c r="B3881" s="31">
        <v>3872</v>
      </c>
      <c r="J3881">
        <f t="shared" si="65"/>
        <v>105000</v>
      </c>
      <c r="K3881" t="e">
        <f>VLOOKUP(B3881,'REGISTRO ABONOS'!$B$8:$BC$10041,54,0)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hidden="1" x14ac:dyDescent="0.2">
      <c r="B3882" s="31">
        <v>3873</v>
      </c>
      <c r="J3882">
        <f t="shared" si="65"/>
        <v>105000</v>
      </c>
      <c r="K3882" t="e">
        <f>VLOOKUP(B3882,'REGISTRO ABONOS'!$B$8:$BC$10041,54,0)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hidden="1" x14ac:dyDescent="0.2">
      <c r="B3883" s="31">
        <v>3874</v>
      </c>
      <c r="J3883">
        <f t="shared" si="65"/>
        <v>105000</v>
      </c>
      <c r="K3883" t="e">
        <f>VLOOKUP(B3883,'REGISTRO ABONOS'!$B$8:$BC$10041,54,0)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hidden="1" x14ac:dyDescent="0.2">
      <c r="B3884" s="31">
        <v>3875</v>
      </c>
      <c r="J3884">
        <f t="shared" si="65"/>
        <v>105000</v>
      </c>
      <c r="K3884" t="e">
        <f>VLOOKUP(B3884,'REGISTRO ABONOS'!$B$8:$BC$10041,54,0)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hidden="1" x14ac:dyDescent="0.2">
      <c r="B3885" s="31">
        <v>3876</v>
      </c>
      <c r="J3885">
        <f t="shared" si="65"/>
        <v>105000</v>
      </c>
      <c r="K3885" t="e">
        <f>VLOOKUP(B3885,'REGISTRO ABONOS'!$B$8:$BC$10041,54,0)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hidden="1" x14ac:dyDescent="0.2">
      <c r="B3886" s="31">
        <v>3877</v>
      </c>
      <c r="J3886">
        <f t="shared" si="65"/>
        <v>105000</v>
      </c>
      <c r="K3886" t="e">
        <f>VLOOKUP(B3886,'REGISTRO ABONOS'!$B$8:$BC$10041,54,0)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hidden="1" x14ac:dyDescent="0.2">
      <c r="B3887" s="31">
        <v>3878</v>
      </c>
      <c r="J3887">
        <f t="shared" si="65"/>
        <v>105000</v>
      </c>
      <c r="K3887" t="e">
        <f>VLOOKUP(B3887,'REGISTRO ABONOS'!$B$8:$BC$10041,54,0)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hidden="1" x14ac:dyDescent="0.2">
      <c r="B3888" s="31">
        <v>3879</v>
      </c>
      <c r="J3888">
        <f t="shared" si="65"/>
        <v>105000</v>
      </c>
      <c r="K3888" t="e">
        <f>VLOOKUP(B3888,'REGISTRO ABONOS'!$B$8:$BC$10041,54,0)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hidden="1" x14ac:dyDescent="0.2">
      <c r="B3889" s="31">
        <v>3880</v>
      </c>
      <c r="J3889">
        <f t="shared" si="65"/>
        <v>105000</v>
      </c>
      <c r="K3889" t="e">
        <f>VLOOKUP(B3889,'REGISTRO ABONOS'!$B$8:$BC$10041,54,0)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hidden="1" x14ac:dyDescent="0.2">
      <c r="B3890" s="31">
        <v>3881</v>
      </c>
      <c r="J3890">
        <f t="shared" si="65"/>
        <v>105000</v>
      </c>
      <c r="K3890" t="e">
        <f>VLOOKUP(B3890,'REGISTRO ABONOS'!$B$8:$BC$10041,54,0)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hidden="1" x14ac:dyDescent="0.2">
      <c r="B3891" s="31">
        <v>3882</v>
      </c>
      <c r="J3891">
        <f t="shared" si="65"/>
        <v>105000</v>
      </c>
      <c r="K3891" t="e">
        <f>VLOOKUP(B3891,'REGISTRO ABONOS'!$B$8:$BC$10041,54,0)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hidden="1" x14ac:dyDescent="0.2">
      <c r="B3892" s="31">
        <v>3883</v>
      </c>
      <c r="J3892">
        <f t="shared" si="65"/>
        <v>105000</v>
      </c>
      <c r="K3892" t="e">
        <f>VLOOKUP(B3892,'REGISTRO ABONOS'!$B$8:$BC$10041,54,0)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hidden="1" x14ac:dyDescent="0.2">
      <c r="B3893" s="31">
        <v>3884</v>
      </c>
      <c r="J3893">
        <f t="shared" si="65"/>
        <v>105000</v>
      </c>
      <c r="K3893" t="e">
        <f>VLOOKUP(B3893,'REGISTRO ABONOS'!$B$8:$BC$10041,54,0)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hidden="1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ABONOS'!$B$8:$BC$10041,54,0)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hidden="1" x14ac:dyDescent="0.2">
      <c r="B3895" s="31">
        <v>3886</v>
      </c>
      <c r="J3895">
        <f t="shared" si="66"/>
        <v>105000</v>
      </c>
      <c r="K3895" t="e">
        <f>VLOOKUP(B3895,'REGISTRO ABONOS'!$B$8:$BC$10041,54,0)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hidden="1" x14ac:dyDescent="0.2">
      <c r="B3896" s="31">
        <v>3887</v>
      </c>
      <c r="J3896">
        <f t="shared" si="66"/>
        <v>105000</v>
      </c>
      <c r="K3896" t="e">
        <f>VLOOKUP(B3896,'REGISTRO ABONOS'!$B$8:$BC$10041,54,0)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hidden="1" x14ac:dyDescent="0.2">
      <c r="B3897" s="31">
        <v>3888</v>
      </c>
      <c r="J3897">
        <f t="shared" si="66"/>
        <v>105000</v>
      </c>
      <c r="K3897" t="e">
        <f>VLOOKUP(B3897,'REGISTRO ABONOS'!$B$8:$BC$10041,54,0)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hidden="1" x14ac:dyDescent="0.2">
      <c r="B3898" s="31">
        <v>3889</v>
      </c>
      <c r="J3898">
        <f t="shared" si="66"/>
        <v>105000</v>
      </c>
      <c r="K3898" t="e">
        <f>VLOOKUP(B3898,'REGISTRO ABONOS'!$B$8:$BC$10041,54,0)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hidden="1" x14ac:dyDescent="0.2">
      <c r="B3899" s="31">
        <v>3890</v>
      </c>
      <c r="J3899">
        <f t="shared" si="66"/>
        <v>105000</v>
      </c>
      <c r="K3899" t="e">
        <f>VLOOKUP(B3899,'REGISTRO ABONOS'!$B$8:$BC$10041,54,0)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hidden="1" x14ac:dyDescent="0.2">
      <c r="B3900" s="31">
        <v>3891</v>
      </c>
      <c r="J3900">
        <f t="shared" si="66"/>
        <v>105000</v>
      </c>
      <c r="K3900" t="e">
        <f>VLOOKUP(B3900,'REGISTRO ABONOS'!$B$8:$BC$10041,54,0)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hidden="1" x14ac:dyDescent="0.2">
      <c r="B3901" s="31">
        <v>3892</v>
      </c>
      <c r="J3901">
        <f t="shared" si="66"/>
        <v>105000</v>
      </c>
      <c r="K3901" t="e">
        <f>VLOOKUP(B3901,'REGISTRO ABONOS'!$B$8:$BC$10041,54,0)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hidden="1" x14ac:dyDescent="0.2">
      <c r="B3902" s="31">
        <v>3893</v>
      </c>
      <c r="J3902">
        <f t="shared" si="66"/>
        <v>105000</v>
      </c>
      <c r="K3902" t="e">
        <f>VLOOKUP(B3902,'REGISTRO ABONOS'!$B$8:$BC$10041,54,0)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hidden="1" x14ac:dyDescent="0.2">
      <c r="B3903" s="31">
        <v>3894</v>
      </c>
      <c r="J3903">
        <f t="shared" si="66"/>
        <v>105000</v>
      </c>
      <c r="K3903" t="e">
        <f>VLOOKUP(B3903,'REGISTRO ABONOS'!$B$8:$BC$10041,54,0)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hidden="1" x14ac:dyDescent="0.2">
      <c r="B3904" s="31">
        <v>3895</v>
      </c>
      <c r="J3904">
        <f t="shared" si="66"/>
        <v>105000</v>
      </c>
      <c r="K3904" t="e">
        <f>VLOOKUP(B3904,'REGISTRO ABONOS'!$B$8:$BC$10041,54,0)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hidden="1" x14ac:dyDescent="0.2">
      <c r="B3905" s="31">
        <v>3896</v>
      </c>
      <c r="J3905">
        <f t="shared" si="66"/>
        <v>105000</v>
      </c>
      <c r="K3905" t="e">
        <f>VLOOKUP(B3905,'REGISTRO ABONOS'!$B$8:$BC$10041,54,0)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hidden="1" x14ac:dyDescent="0.2">
      <c r="B3906" s="31">
        <v>3897</v>
      </c>
      <c r="J3906">
        <f t="shared" si="66"/>
        <v>105000</v>
      </c>
      <c r="K3906" t="e">
        <f>VLOOKUP(B3906,'REGISTRO ABONOS'!$B$8:$BC$10041,54,0)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hidden="1" x14ac:dyDescent="0.2">
      <c r="B3907" s="31">
        <v>3898</v>
      </c>
      <c r="J3907">
        <f t="shared" si="66"/>
        <v>105000</v>
      </c>
      <c r="K3907" t="e">
        <f>VLOOKUP(B3907,'REGISTRO ABONOS'!$B$8:$BC$10041,54,0)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hidden="1" x14ac:dyDescent="0.2">
      <c r="B3908" s="31">
        <v>3899</v>
      </c>
      <c r="J3908">
        <f t="shared" si="66"/>
        <v>105000</v>
      </c>
      <c r="K3908" t="e">
        <f>VLOOKUP(B3908,'REGISTRO ABONOS'!$B$8:$BC$10041,54,0)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hidden="1" x14ac:dyDescent="0.2">
      <c r="B3909" s="31">
        <v>3900</v>
      </c>
      <c r="J3909">
        <f t="shared" si="66"/>
        <v>105000</v>
      </c>
      <c r="K3909" t="e">
        <f>VLOOKUP(B3909,'REGISTRO ABONOS'!$B$8:$BC$10041,54,0)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hidden="1" x14ac:dyDescent="0.2">
      <c r="B3910" s="31">
        <v>3901</v>
      </c>
      <c r="J3910">
        <f t="shared" si="66"/>
        <v>105000</v>
      </c>
      <c r="K3910" t="e">
        <f>VLOOKUP(B3910,'REGISTRO ABONOS'!$B$8:$BC$10041,54,0)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hidden="1" x14ac:dyDescent="0.2">
      <c r="B3911" s="31">
        <v>3902</v>
      </c>
      <c r="J3911">
        <f t="shared" si="66"/>
        <v>105000</v>
      </c>
      <c r="K3911" t="e">
        <f>VLOOKUP(B3911,'REGISTRO ABONOS'!$B$8:$BC$10041,54,0)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hidden="1" x14ac:dyDescent="0.2">
      <c r="B3912" s="31">
        <v>3903</v>
      </c>
      <c r="J3912">
        <f t="shared" si="66"/>
        <v>105000</v>
      </c>
      <c r="K3912" t="e">
        <f>VLOOKUP(B3912,'REGISTRO ABONOS'!$B$8:$BC$10041,54,0)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hidden="1" x14ac:dyDescent="0.2">
      <c r="B3913" s="31">
        <v>3904</v>
      </c>
      <c r="J3913">
        <f t="shared" si="66"/>
        <v>105000</v>
      </c>
      <c r="K3913" t="e">
        <f>VLOOKUP(B3913,'REGISTRO ABONOS'!$B$8:$BC$10041,54,0)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hidden="1" x14ac:dyDescent="0.2">
      <c r="B3914" s="31">
        <v>3905</v>
      </c>
      <c r="J3914">
        <f t="shared" si="66"/>
        <v>105000</v>
      </c>
      <c r="K3914" t="e">
        <f>VLOOKUP(B3914,'REGISTRO ABONOS'!$B$8:$BC$10041,54,0)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hidden="1" x14ac:dyDescent="0.2">
      <c r="B3915" s="31">
        <v>3906</v>
      </c>
      <c r="J3915">
        <f t="shared" si="66"/>
        <v>105000</v>
      </c>
      <c r="K3915" t="e">
        <f>VLOOKUP(B3915,'REGISTRO ABONOS'!$B$8:$BC$10041,54,0)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hidden="1" x14ac:dyDescent="0.2">
      <c r="B3916" s="31">
        <v>3907</v>
      </c>
      <c r="J3916">
        <f t="shared" si="66"/>
        <v>105000</v>
      </c>
      <c r="K3916" t="e">
        <f>VLOOKUP(B3916,'REGISTRO ABONOS'!$B$8:$BC$10041,54,0)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hidden="1" x14ac:dyDescent="0.2">
      <c r="B3917" s="31">
        <v>3908</v>
      </c>
      <c r="J3917">
        <f t="shared" si="66"/>
        <v>105000</v>
      </c>
      <c r="K3917" t="e">
        <f>VLOOKUP(B3917,'REGISTRO ABONOS'!$B$8:$BC$10041,54,0)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hidden="1" x14ac:dyDescent="0.2">
      <c r="B3918" s="31">
        <v>3909</v>
      </c>
      <c r="J3918">
        <f t="shared" si="66"/>
        <v>105000</v>
      </c>
      <c r="K3918" t="e">
        <f>VLOOKUP(B3918,'REGISTRO ABONOS'!$B$8:$BC$10041,54,0)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hidden="1" x14ac:dyDescent="0.2">
      <c r="B3919" s="31">
        <v>3910</v>
      </c>
      <c r="J3919">
        <f t="shared" si="66"/>
        <v>105000</v>
      </c>
      <c r="K3919" t="e">
        <f>VLOOKUP(B3919,'REGISTRO ABONOS'!$B$8:$BC$10041,54,0)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hidden="1" x14ac:dyDescent="0.2">
      <c r="B3920" s="31">
        <v>3911</v>
      </c>
      <c r="J3920">
        <f t="shared" si="66"/>
        <v>105000</v>
      </c>
      <c r="K3920" t="e">
        <f>VLOOKUP(B3920,'REGISTRO ABONOS'!$B$8:$BC$10041,54,0)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hidden="1" x14ac:dyDescent="0.2">
      <c r="B3921" s="31">
        <v>3912</v>
      </c>
      <c r="J3921">
        <f t="shared" si="66"/>
        <v>105000</v>
      </c>
      <c r="K3921" t="e">
        <f>VLOOKUP(B3921,'REGISTRO ABONOS'!$B$8:$BC$10041,54,0)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hidden="1" x14ac:dyDescent="0.2">
      <c r="B3922" s="31">
        <v>3913</v>
      </c>
      <c r="J3922">
        <f t="shared" si="66"/>
        <v>105000</v>
      </c>
      <c r="K3922" t="e">
        <f>VLOOKUP(B3922,'REGISTRO ABONOS'!$B$8:$BC$10041,54,0)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hidden="1" x14ac:dyDescent="0.2">
      <c r="B3923" s="31">
        <v>3914</v>
      </c>
      <c r="J3923">
        <f t="shared" si="66"/>
        <v>105000</v>
      </c>
      <c r="K3923" t="e">
        <f>VLOOKUP(B3923,'REGISTRO ABONOS'!$B$8:$BC$10041,54,0)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hidden="1" x14ac:dyDescent="0.2">
      <c r="B3924" s="31">
        <v>3915</v>
      </c>
      <c r="J3924">
        <f t="shared" si="66"/>
        <v>105000</v>
      </c>
      <c r="K3924" t="e">
        <f>VLOOKUP(B3924,'REGISTRO ABONOS'!$B$8:$BC$10041,54,0)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hidden="1" x14ac:dyDescent="0.2">
      <c r="B3925" s="31">
        <v>3916</v>
      </c>
      <c r="J3925">
        <f t="shared" si="66"/>
        <v>105000</v>
      </c>
      <c r="K3925" t="e">
        <f>VLOOKUP(B3925,'REGISTRO ABONOS'!$B$8:$BC$10041,54,0)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hidden="1" x14ac:dyDescent="0.2">
      <c r="B3926" s="31">
        <v>3917</v>
      </c>
      <c r="J3926">
        <f t="shared" si="66"/>
        <v>105000</v>
      </c>
      <c r="K3926" t="e">
        <f>VLOOKUP(B3926,'REGISTRO ABONOS'!$B$8:$BC$10041,54,0)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hidden="1" x14ac:dyDescent="0.2">
      <c r="B3927" s="31">
        <v>3918</v>
      </c>
      <c r="J3927">
        <f t="shared" si="66"/>
        <v>105000</v>
      </c>
      <c r="K3927" t="e">
        <f>VLOOKUP(B3927,'REGISTRO ABONOS'!$B$8:$BC$10041,54,0)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hidden="1" x14ac:dyDescent="0.2">
      <c r="B3928" s="31">
        <v>3919</v>
      </c>
      <c r="J3928">
        <f t="shared" si="66"/>
        <v>105000</v>
      </c>
      <c r="K3928" t="e">
        <f>VLOOKUP(B3928,'REGISTRO ABONOS'!$B$8:$BC$10041,54,0)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hidden="1" x14ac:dyDescent="0.2">
      <c r="B3929" s="31">
        <v>3920</v>
      </c>
      <c r="J3929">
        <f t="shared" si="66"/>
        <v>105000</v>
      </c>
      <c r="K3929" t="e">
        <f>VLOOKUP(B3929,'REGISTRO ABONOS'!$B$8:$BC$10041,54,0)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6"/>
        <v>105000</v>
      </c>
      <c r="K3930" t="e">
        <f>VLOOKUP(B3930,'REGISTRO ABONOS'!$B$8:$BC$10041,54,0)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hidden="1" x14ac:dyDescent="0.2">
      <c r="B3931" s="31">
        <v>3922</v>
      </c>
      <c r="J3931">
        <f t="shared" si="66"/>
        <v>105000</v>
      </c>
      <c r="K3931" t="e">
        <f>VLOOKUP(B3931,'REGISTRO ABONOS'!$B$8:$BC$10041,54,0)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hidden="1" x14ac:dyDescent="0.2">
      <c r="B3932" s="31">
        <v>3923</v>
      </c>
      <c r="J3932">
        <f t="shared" si="66"/>
        <v>105000</v>
      </c>
      <c r="K3932" t="e">
        <f>VLOOKUP(B3932,'REGISTRO ABONOS'!$B$8:$BC$10041,54,0)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hidden="1" x14ac:dyDescent="0.2">
      <c r="B3933" s="31">
        <v>3924</v>
      </c>
      <c r="J3933">
        <f t="shared" si="66"/>
        <v>105000</v>
      </c>
      <c r="K3933" t="e">
        <f>VLOOKUP(B3933,'REGISTRO ABONOS'!$B$8:$BC$10041,54,0)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hidden="1" x14ac:dyDescent="0.2">
      <c r="B3934" s="31">
        <v>3925</v>
      </c>
      <c r="J3934">
        <f t="shared" si="66"/>
        <v>105000</v>
      </c>
      <c r="K3934" t="e">
        <f>VLOOKUP(B3934,'REGISTRO ABONOS'!$B$8:$BC$10041,54,0)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hidden="1" x14ac:dyDescent="0.2">
      <c r="B3935" s="31">
        <v>3926</v>
      </c>
      <c r="J3935">
        <f t="shared" si="66"/>
        <v>105000</v>
      </c>
      <c r="K3935" t="e">
        <f>VLOOKUP(B3935,'REGISTRO ABONOS'!$B$8:$BC$10041,54,0)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hidden="1" x14ac:dyDescent="0.2">
      <c r="B3936" s="31">
        <v>3927</v>
      </c>
      <c r="J3936">
        <f t="shared" si="66"/>
        <v>105000</v>
      </c>
      <c r="K3936" t="e">
        <f>VLOOKUP(B3936,'REGISTRO ABONOS'!$B$8:$BC$10041,54,0)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hidden="1" x14ac:dyDescent="0.2">
      <c r="B3937" s="31">
        <v>3928</v>
      </c>
      <c r="J3937">
        <f t="shared" si="66"/>
        <v>105000</v>
      </c>
      <c r="K3937" t="e">
        <f>VLOOKUP(B3937,'REGISTRO ABONOS'!$B$8:$BC$10041,54,0)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hidden="1" x14ac:dyDescent="0.2">
      <c r="B3938" s="31">
        <v>3929</v>
      </c>
      <c r="J3938">
        <f t="shared" si="66"/>
        <v>105000</v>
      </c>
      <c r="K3938" t="e">
        <f>VLOOKUP(B3938,'REGISTRO ABONOS'!$B$8:$BC$10041,54,0)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hidden="1" x14ac:dyDescent="0.2">
      <c r="B3939" s="31">
        <v>3930</v>
      </c>
      <c r="J3939">
        <f t="shared" si="66"/>
        <v>105000</v>
      </c>
      <c r="K3939" t="e">
        <f>VLOOKUP(B3939,'REGISTRO ABONOS'!$B$8:$BC$10041,54,0)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hidden="1" x14ac:dyDescent="0.2">
      <c r="B3940" s="31">
        <v>3931</v>
      </c>
      <c r="J3940">
        <f t="shared" si="66"/>
        <v>105000</v>
      </c>
      <c r="K3940" t="e">
        <f>VLOOKUP(B3940,'REGISTRO ABONOS'!$B$8:$BC$10041,54,0)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hidden="1" x14ac:dyDescent="0.2">
      <c r="B3941" s="31">
        <v>3932</v>
      </c>
      <c r="J3941">
        <f t="shared" si="66"/>
        <v>105000</v>
      </c>
      <c r="K3941" t="e">
        <f>VLOOKUP(B3941,'REGISTRO ABONOS'!$B$8:$BC$10041,54,0)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hidden="1" x14ac:dyDescent="0.2">
      <c r="B3942" s="31">
        <v>3933</v>
      </c>
      <c r="J3942">
        <f t="shared" si="66"/>
        <v>105000</v>
      </c>
      <c r="K3942" t="e">
        <f>VLOOKUP(B3942,'REGISTRO ABONOS'!$B$8:$BC$10041,54,0)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hidden="1" x14ac:dyDescent="0.2">
      <c r="B3943" s="31">
        <v>3934</v>
      </c>
      <c r="J3943">
        <f t="shared" si="66"/>
        <v>105000</v>
      </c>
      <c r="K3943" t="e">
        <f>VLOOKUP(B3943,'REGISTRO ABONOS'!$B$8:$BC$10041,54,0)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hidden="1" x14ac:dyDescent="0.2">
      <c r="B3944" s="31">
        <v>3935</v>
      </c>
      <c r="J3944">
        <f t="shared" si="66"/>
        <v>105000</v>
      </c>
      <c r="K3944" t="e">
        <f>VLOOKUP(B3944,'REGISTRO ABONOS'!$B$8:$BC$10041,54,0)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hidden="1" x14ac:dyDescent="0.2">
      <c r="B3945" s="31">
        <v>3936</v>
      </c>
      <c r="J3945">
        <f t="shared" si="66"/>
        <v>105000</v>
      </c>
      <c r="K3945" t="e">
        <f>VLOOKUP(B3945,'REGISTRO ABONOS'!$B$8:$BC$10041,54,0)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hidden="1" x14ac:dyDescent="0.2">
      <c r="B3946" s="31">
        <v>3937</v>
      </c>
      <c r="J3946">
        <f t="shared" si="66"/>
        <v>105000</v>
      </c>
      <c r="K3946" t="e">
        <f>VLOOKUP(B3946,'REGISTRO ABONOS'!$B$8:$BC$10041,54,0)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hidden="1" x14ac:dyDescent="0.2">
      <c r="B3947" s="31">
        <v>3938</v>
      </c>
      <c r="J3947">
        <f t="shared" si="66"/>
        <v>105000</v>
      </c>
      <c r="K3947" t="e">
        <f>VLOOKUP(B3947,'REGISTRO ABONOS'!$B$8:$BC$10041,54,0)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hidden="1" x14ac:dyDescent="0.2">
      <c r="B3948" s="31">
        <v>3939</v>
      </c>
      <c r="J3948">
        <f t="shared" si="66"/>
        <v>105000</v>
      </c>
      <c r="K3948" t="e">
        <f>VLOOKUP(B3948,'REGISTRO ABONOS'!$B$8:$BC$10041,54,0)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hidden="1" x14ac:dyDescent="0.2">
      <c r="B3949" s="31">
        <v>3940</v>
      </c>
      <c r="J3949">
        <f t="shared" si="66"/>
        <v>105000</v>
      </c>
      <c r="K3949" t="e">
        <f>VLOOKUP(B3949,'REGISTRO ABONOS'!$B$8:$BC$10041,54,0)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hidden="1" x14ac:dyDescent="0.2">
      <c r="B3950" s="31">
        <v>3941</v>
      </c>
      <c r="J3950">
        <f t="shared" si="66"/>
        <v>105000</v>
      </c>
      <c r="K3950" t="e">
        <f>VLOOKUP(B3950,'REGISTRO ABONOS'!$B$8:$BC$10041,54,0)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hidden="1" x14ac:dyDescent="0.2">
      <c r="B3951" s="31">
        <v>3942</v>
      </c>
      <c r="J3951">
        <f t="shared" si="66"/>
        <v>105000</v>
      </c>
      <c r="K3951" t="e">
        <f>VLOOKUP(B3951,'REGISTRO ABONOS'!$B$8:$BC$10041,54,0)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hidden="1" x14ac:dyDescent="0.2">
      <c r="B3952" s="31">
        <v>3943</v>
      </c>
      <c r="J3952">
        <f t="shared" si="66"/>
        <v>105000</v>
      </c>
      <c r="K3952" t="e">
        <f>VLOOKUP(B3952,'REGISTRO ABONOS'!$B$8:$BC$10041,54,0)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hidden="1" x14ac:dyDescent="0.2">
      <c r="B3953" s="31">
        <v>3944</v>
      </c>
      <c r="J3953">
        <f t="shared" si="66"/>
        <v>105000</v>
      </c>
      <c r="K3953" t="e">
        <f>VLOOKUP(B3953,'REGISTRO ABONOS'!$B$8:$BC$10041,54,0)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hidden="1" x14ac:dyDescent="0.2">
      <c r="B3954" s="31">
        <v>3945</v>
      </c>
      <c r="J3954">
        <f t="shared" si="66"/>
        <v>105000</v>
      </c>
      <c r="K3954" t="e">
        <f>VLOOKUP(B3954,'REGISTRO ABONOS'!$B$8:$BC$10041,54,0)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hidden="1" x14ac:dyDescent="0.2">
      <c r="B3955" s="31">
        <v>3946</v>
      </c>
      <c r="J3955">
        <f t="shared" si="66"/>
        <v>105000</v>
      </c>
      <c r="K3955" t="e">
        <f>VLOOKUP(B3955,'REGISTRO ABONOS'!$B$8:$BC$10041,54,0)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hidden="1" x14ac:dyDescent="0.2">
      <c r="B3956" s="31">
        <v>3947</v>
      </c>
      <c r="J3956">
        <f t="shared" si="66"/>
        <v>105000</v>
      </c>
      <c r="K3956" t="e">
        <f>VLOOKUP(B3956,'REGISTRO ABONOS'!$B$8:$BC$10041,54,0)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hidden="1" x14ac:dyDescent="0.2">
      <c r="B3957" s="31">
        <v>3948</v>
      </c>
      <c r="J3957">
        <f t="shared" si="66"/>
        <v>105000</v>
      </c>
      <c r="K3957" t="e">
        <f>VLOOKUP(B3957,'REGISTRO ABONOS'!$B$8:$BC$10041,54,0)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hidden="1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ABONOS'!$B$8:$BC$10041,54,0)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hidden="1" x14ac:dyDescent="0.2">
      <c r="B3959" s="31">
        <v>3950</v>
      </c>
      <c r="J3959">
        <f t="shared" si="67"/>
        <v>105000</v>
      </c>
      <c r="K3959" t="e">
        <f>VLOOKUP(B3959,'REGISTRO ABONOS'!$B$8:$BC$10041,54,0)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hidden="1" x14ac:dyDescent="0.2">
      <c r="B3960" s="31">
        <v>3951</v>
      </c>
      <c r="J3960">
        <f t="shared" si="67"/>
        <v>105000</v>
      </c>
      <c r="K3960" t="e">
        <f>VLOOKUP(B3960,'REGISTRO ABONOS'!$B$8:$BC$10041,54,0)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hidden="1" x14ac:dyDescent="0.2">
      <c r="B3961" s="31">
        <v>3952</v>
      </c>
      <c r="J3961">
        <f t="shared" si="67"/>
        <v>105000</v>
      </c>
      <c r="K3961" t="e">
        <f>VLOOKUP(B3961,'REGISTRO ABONOS'!$B$8:$BC$10041,54,0)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hidden="1" x14ac:dyDescent="0.2">
      <c r="B3962" s="31">
        <v>3953</v>
      </c>
      <c r="J3962">
        <f t="shared" si="67"/>
        <v>105000</v>
      </c>
      <c r="K3962" t="e">
        <f>VLOOKUP(B3962,'REGISTRO ABONOS'!$B$8:$BC$10041,54,0)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hidden="1" x14ac:dyDescent="0.2">
      <c r="B3963" s="31">
        <v>3954</v>
      </c>
      <c r="J3963">
        <f t="shared" si="67"/>
        <v>105000</v>
      </c>
      <c r="K3963" t="e">
        <f>VLOOKUP(B3963,'REGISTRO ABONOS'!$B$8:$BC$10041,54,0)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hidden="1" x14ac:dyDescent="0.2">
      <c r="B3964" s="31">
        <v>3955</v>
      </c>
      <c r="J3964">
        <f t="shared" si="67"/>
        <v>105000</v>
      </c>
      <c r="K3964" t="e">
        <f>VLOOKUP(B3964,'REGISTRO ABONOS'!$B$8:$BC$10041,54,0)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hidden="1" x14ac:dyDescent="0.2">
      <c r="B3965" s="31">
        <v>3956</v>
      </c>
      <c r="J3965">
        <f t="shared" si="67"/>
        <v>105000</v>
      </c>
      <c r="K3965" t="e">
        <f>VLOOKUP(B3965,'REGISTRO ABONOS'!$B$8:$BC$10041,54,0)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hidden="1" x14ac:dyDescent="0.2">
      <c r="B3966" s="31">
        <v>3957</v>
      </c>
      <c r="J3966">
        <f t="shared" si="67"/>
        <v>105000</v>
      </c>
      <c r="K3966" t="e">
        <f>VLOOKUP(B3966,'REGISTRO ABONOS'!$B$8:$BC$10041,54,0)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hidden="1" x14ac:dyDescent="0.2">
      <c r="B3967" s="31">
        <v>3958</v>
      </c>
      <c r="J3967">
        <f t="shared" si="67"/>
        <v>105000</v>
      </c>
      <c r="K3967" t="e">
        <f>VLOOKUP(B3967,'REGISTRO ABONOS'!$B$8:$BC$10041,54,0)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hidden="1" x14ac:dyDescent="0.2">
      <c r="B3968" s="31">
        <v>3959</v>
      </c>
      <c r="J3968">
        <f t="shared" si="67"/>
        <v>105000</v>
      </c>
      <c r="K3968" t="e">
        <f>VLOOKUP(B3968,'REGISTRO ABONOS'!$B$8:$BC$10041,54,0)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hidden="1" x14ac:dyDescent="0.2">
      <c r="B3969" s="31">
        <v>3960</v>
      </c>
      <c r="J3969">
        <f t="shared" si="67"/>
        <v>105000</v>
      </c>
      <c r="K3969" t="e">
        <f>VLOOKUP(B3969,'REGISTRO ABONOS'!$B$8:$BC$10041,54,0)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hidden="1" x14ac:dyDescent="0.2">
      <c r="B3970" s="31">
        <v>3961</v>
      </c>
      <c r="J3970">
        <f t="shared" si="67"/>
        <v>105000</v>
      </c>
      <c r="K3970" t="e">
        <f>VLOOKUP(B3970,'REGISTRO ABONOS'!$B$8:$BC$10041,54,0)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hidden="1" x14ac:dyDescent="0.2">
      <c r="B3971" s="31">
        <v>3962</v>
      </c>
      <c r="J3971">
        <f t="shared" si="67"/>
        <v>105000</v>
      </c>
      <c r="K3971" t="e">
        <f>VLOOKUP(B3971,'REGISTRO ABONOS'!$B$8:$BC$10041,54,0)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hidden="1" x14ac:dyDescent="0.2">
      <c r="B3972" s="31">
        <v>3963</v>
      </c>
      <c r="J3972">
        <f t="shared" si="67"/>
        <v>105000</v>
      </c>
      <c r="K3972" t="e">
        <f>VLOOKUP(B3972,'REGISTRO ABONOS'!$B$8:$BC$10041,54,0)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hidden="1" x14ac:dyDescent="0.2">
      <c r="B3973" s="31">
        <v>3964</v>
      </c>
      <c r="J3973">
        <f t="shared" si="67"/>
        <v>105000</v>
      </c>
      <c r="K3973" t="e">
        <f>VLOOKUP(B3973,'REGISTRO ABONOS'!$B$8:$BC$10041,54,0)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hidden="1" x14ac:dyDescent="0.2">
      <c r="B3974" s="31">
        <v>3965</v>
      </c>
      <c r="J3974">
        <f t="shared" si="67"/>
        <v>105000</v>
      </c>
      <c r="K3974" t="e">
        <f>VLOOKUP(B3974,'REGISTRO ABONOS'!$B$8:$BC$10041,54,0)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hidden="1" x14ac:dyDescent="0.2">
      <c r="B3975" s="31">
        <v>3966</v>
      </c>
      <c r="J3975">
        <f t="shared" si="67"/>
        <v>105000</v>
      </c>
      <c r="K3975" t="e">
        <f>VLOOKUP(B3975,'REGISTRO ABONOS'!$B$8:$BC$10041,54,0)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hidden="1" x14ac:dyDescent="0.2">
      <c r="B3976" s="31">
        <v>3967</v>
      </c>
      <c r="J3976">
        <f t="shared" si="67"/>
        <v>105000</v>
      </c>
      <c r="K3976" t="e">
        <f>VLOOKUP(B3976,'REGISTRO ABONOS'!$B$8:$BC$10041,54,0)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hidden="1" x14ac:dyDescent="0.2">
      <c r="B3977" s="31">
        <v>3968</v>
      </c>
      <c r="J3977">
        <f t="shared" si="67"/>
        <v>105000</v>
      </c>
      <c r="K3977" t="e">
        <f>VLOOKUP(B3977,'REGISTRO ABONOS'!$B$8:$BC$10041,54,0)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hidden="1" x14ac:dyDescent="0.2">
      <c r="B3978" s="31">
        <v>3969</v>
      </c>
      <c r="J3978">
        <f t="shared" si="67"/>
        <v>105000</v>
      </c>
      <c r="K3978" t="e">
        <f>VLOOKUP(B3978,'REGISTRO ABONOS'!$B$8:$BC$10041,54,0)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hidden="1" x14ac:dyDescent="0.2">
      <c r="B3979" s="31">
        <v>3970</v>
      </c>
      <c r="J3979">
        <f t="shared" si="67"/>
        <v>105000</v>
      </c>
      <c r="K3979" t="e">
        <f>VLOOKUP(B3979,'REGISTRO ABONOS'!$B$8:$BC$10041,54,0)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hidden="1" x14ac:dyDescent="0.2">
      <c r="B3980" s="31">
        <v>3971</v>
      </c>
      <c r="J3980">
        <f t="shared" si="67"/>
        <v>105000</v>
      </c>
      <c r="K3980" t="e">
        <f>VLOOKUP(B3980,'REGISTRO ABONOS'!$B$8:$BC$10041,54,0)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hidden="1" x14ac:dyDescent="0.2">
      <c r="B3981" s="31">
        <v>3972</v>
      </c>
      <c r="J3981">
        <f t="shared" si="67"/>
        <v>105000</v>
      </c>
      <c r="K3981" t="e">
        <f>VLOOKUP(B3981,'REGISTRO ABONOS'!$B$8:$BC$10041,54,0)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hidden="1" x14ac:dyDescent="0.2">
      <c r="B3982" s="31">
        <v>3973</v>
      </c>
      <c r="J3982">
        <f t="shared" si="67"/>
        <v>105000</v>
      </c>
      <c r="K3982" t="e">
        <f>VLOOKUP(B3982,'REGISTRO ABONOS'!$B$8:$BC$10041,54,0)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hidden="1" x14ac:dyDescent="0.2">
      <c r="B3983" s="31">
        <v>3974</v>
      </c>
      <c r="J3983">
        <f t="shared" si="67"/>
        <v>105000</v>
      </c>
      <c r="K3983" t="e">
        <f>VLOOKUP(B3983,'REGISTRO ABONOS'!$B$8:$BC$10041,54,0)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hidden="1" x14ac:dyDescent="0.2">
      <c r="B3984" s="31">
        <v>3975</v>
      </c>
      <c r="J3984">
        <f t="shared" si="67"/>
        <v>105000</v>
      </c>
      <c r="K3984" t="e">
        <f>VLOOKUP(B3984,'REGISTRO ABONOS'!$B$8:$BC$10041,54,0)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hidden="1" x14ac:dyDescent="0.2">
      <c r="B3985" s="31">
        <v>3976</v>
      </c>
      <c r="J3985">
        <f t="shared" si="67"/>
        <v>105000</v>
      </c>
      <c r="K3985" t="e">
        <f>VLOOKUP(B3985,'REGISTRO ABONOS'!$B$8:$BC$10041,54,0)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hidden="1" x14ac:dyDescent="0.2">
      <c r="B3986" s="31">
        <v>3977</v>
      </c>
      <c r="J3986">
        <f t="shared" si="67"/>
        <v>105000</v>
      </c>
      <c r="K3986" t="e">
        <f>VLOOKUP(B3986,'REGISTRO ABONOS'!$B$8:$BC$10041,54,0)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hidden="1" x14ac:dyDescent="0.2">
      <c r="B3987" s="31">
        <v>3978</v>
      </c>
      <c r="J3987">
        <f t="shared" si="67"/>
        <v>105000</v>
      </c>
      <c r="K3987" t="e">
        <f>VLOOKUP(B3987,'REGISTRO ABONOS'!$B$8:$BC$10041,54,0)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hidden="1" x14ac:dyDescent="0.2">
      <c r="B3988" s="31">
        <v>3979</v>
      </c>
      <c r="J3988">
        <f t="shared" si="67"/>
        <v>105000</v>
      </c>
      <c r="K3988" t="e">
        <f>VLOOKUP(B3988,'REGISTRO ABONOS'!$B$8:$BC$10041,54,0)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hidden="1" x14ac:dyDescent="0.2">
      <c r="B3989" s="31">
        <v>3980</v>
      </c>
      <c r="J3989">
        <f t="shared" si="67"/>
        <v>105000</v>
      </c>
      <c r="K3989" t="e">
        <f>VLOOKUP(B3989,'REGISTRO ABONOS'!$B$8:$BC$10041,54,0)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hidden="1" x14ac:dyDescent="0.2">
      <c r="B3990" s="31">
        <v>3981</v>
      </c>
      <c r="J3990">
        <f t="shared" si="67"/>
        <v>105000</v>
      </c>
      <c r="K3990" t="e">
        <f>VLOOKUP(B3990,'REGISTRO ABONOS'!$B$8:$BC$10041,54,0)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hidden="1" x14ac:dyDescent="0.2">
      <c r="B3991" s="31">
        <v>3982</v>
      </c>
      <c r="J3991">
        <f t="shared" si="67"/>
        <v>105000</v>
      </c>
      <c r="K3991" t="e">
        <f>VLOOKUP(B3991,'REGISTRO ABONOS'!$B$8:$BC$10041,54,0)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hidden="1" x14ac:dyDescent="0.2">
      <c r="B3992" s="31">
        <v>3983</v>
      </c>
      <c r="J3992">
        <f t="shared" si="67"/>
        <v>105000</v>
      </c>
      <c r="K3992" t="e">
        <f>VLOOKUP(B3992,'REGISTRO ABONOS'!$B$8:$BC$10041,54,0)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hidden="1" x14ac:dyDescent="0.2">
      <c r="B3993" s="31">
        <v>3984</v>
      </c>
      <c r="J3993">
        <f t="shared" si="67"/>
        <v>105000</v>
      </c>
      <c r="K3993" t="e">
        <f>VLOOKUP(B3993,'REGISTRO ABONOS'!$B$8:$BC$10041,54,0)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hidden="1" x14ac:dyDescent="0.2">
      <c r="B3994" s="31">
        <v>3985</v>
      </c>
      <c r="J3994">
        <f t="shared" si="67"/>
        <v>105000</v>
      </c>
      <c r="K3994" t="e">
        <f>VLOOKUP(B3994,'REGISTRO ABONOS'!$B$8:$BC$10041,54,0)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hidden="1" x14ac:dyDescent="0.2">
      <c r="B3995" s="31">
        <v>3986</v>
      </c>
      <c r="J3995">
        <f t="shared" si="67"/>
        <v>105000</v>
      </c>
      <c r="K3995" t="e">
        <f>VLOOKUP(B3995,'REGISTRO ABONOS'!$B$8:$BC$10041,54,0)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hidden="1" x14ac:dyDescent="0.2">
      <c r="B3996" s="31">
        <v>3987</v>
      </c>
      <c r="J3996">
        <f t="shared" si="67"/>
        <v>105000</v>
      </c>
      <c r="K3996" t="e">
        <f>VLOOKUP(B3996,'REGISTRO ABONOS'!$B$8:$BC$10041,54,0)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hidden="1" x14ac:dyDescent="0.2">
      <c r="B3997" s="31">
        <v>3988</v>
      </c>
      <c r="J3997">
        <f t="shared" si="67"/>
        <v>105000</v>
      </c>
      <c r="K3997" t="e">
        <f>VLOOKUP(B3997,'REGISTRO ABONOS'!$B$8:$BC$10041,54,0)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hidden="1" x14ac:dyDescent="0.2">
      <c r="B3998" s="31">
        <v>3989</v>
      </c>
      <c r="J3998">
        <f t="shared" si="67"/>
        <v>105000</v>
      </c>
      <c r="K3998" t="e">
        <f>VLOOKUP(B3998,'REGISTRO ABONOS'!$B$8:$BC$10041,54,0)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hidden="1" x14ac:dyDescent="0.2">
      <c r="B3999" s="31">
        <v>3990</v>
      </c>
      <c r="J3999">
        <f t="shared" si="67"/>
        <v>105000</v>
      </c>
      <c r="K3999" t="e">
        <f>VLOOKUP(B3999,'REGISTRO ABONOS'!$B$8:$BC$10041,54,0)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hidden="1" x14ac:dyDescent="0.2">
      <c r="B4000" s="31">
        <v>3991</v>
      </c>
      <c r="J4000">
        <f t="shared" si="67"/>
        <v>105000</v>
      </c>
      <c r="K4000" t="e">
        <f>VLOOKUP(B4000,'REGISTRO ABONOS'!$B$8:$BC$10041,54,0)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hidden="1" x14ac:dyDescent="0.2">
      <c r="B4001" s="31">
        <v>3992</v>
      </c>
      <c r="J4001">
        <f t="shared" si="67"/>
        <v>105000</v>
      </c>
      <c r="K4001" t="e">
        <f>VLOOKUP(B4001,'REGISTRO ABONOS'!$B$8:$BC$10041,54,0)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hidden="1" x14ac:dyDescent="0.2">
      <c r="B4002" s="31">
        <v>3993</v>
      </c>
      <c r="J4002">
        <f t="shared" si="67"/>
        <v>105000</v>
      </c>
      <c r="K4002" t="e">
        <f>VLOOKUP(B4002,'REGISTRO ABONOS'!$B$8:$BC$10041,54,0)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hidden="1" x14ac:dyDescent="0.2">
      <c r="B4003" s="31">
        <v>3994</v>
      </c>
      <c r="J4003">
        <f t="shared" si="67"/>
        <v>105000</v>
      </c>
      <c r="K4003" t="e">
        <f>VLOOKUP(B4003,'REGISTRO ABONOS'!$B$8:$BC$10041,54,0)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hidden="1" x14ac:dyDescent="0.2">
      <c r="B4004" s="31">
        <v>3995</v>
      </c>
      <c r="J4004">
        <f t="shared" si="67"/>
        <v>105000</v>
      </c>
      <c r="K4004" t="e">
        <f>VLOOKUP(B4004,'REGISTRO ABONOS'!$B$8:$BC$10041,54,0)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hidden="1" x14ac:dyDescent="0.2">
      <c r="B4005" s="31">
        <v>3996</v>
      </c>
      <c r="J4005">
        <f t="shared" si="67"/>
        <v>105000</v>
      </c>
      <c r="K4005" t="e">
        <f>VLOOKUP(B4005,'REGISTRO ABONOS'!$B$8:$BC$10041,54,0)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7"/>
        <v>105000</v>
      </c>
      <c r="K4006">
        <f>VLOOKUP(B4006,'REGISTRO ABONOS'!$B$8:$BC$10041,54,0)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hidden="1" x14ac:dyDescent="0.2">
      <c r="B4007" s="31">
        <v>3998</v>
      </c>
      <c r="J4007">
        <f t="shared" si="67"/>
        <v>105000</v>
      </c>
      <c r="K4007" t="e">
        <f>VLOOKUP(B4007,'REGISTRO ABONOS'!$B$8:$BC$10041,54,0)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hidden="1" x14ac:dyDescent="0.2">
      <c r="B4008" s="31">
        <v>3999</v>
      </c>
      <c r="J4008">
        <f t="shared" si="67"/>
        <v>105000</v>
      </c>
      <c r="K4008" t="e">
        <f>VLOOKUP(B4008,'REGISTRO ABONOS'!$B$8:$BC$10041,54,0)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hidden="1" x14ac:dyDescent="0.2">
      <c r="B4009" s="31">
        <v>4000</v>
      </c>
      <c r="J4009">
        <f t="shared" si="67"/>
        <v>105000</v>
      </c>
      <c r="K4009" t="e">
        <f>VLOOKUP(B4009,'REGISTRO ABONOS'!$B$8:$BC$10041,54,0)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hidden="1" x14ac:dyDescent="0.2">
      <c r="B4010" s="31">
        <v>4001</v>
      </c>
      <c r="J4010">
        <f t="shared" si="67"/>
        <v>105000</v>
      </c>
      <c r="K4010" t="e">
        <f>VLOOKUP(B4010,'REGISTRO ABONOS'!$B$8:$BC$10041,54,0)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hidden="1" x14ac:dyDescent="0.2">
      <c r="B4011" s="31">
        <v>4002</v>
      </c>
      <c r="J4011">
        <f t="shared" si="67"/>
        <v>105000</v>
      </c>
      <c r="K4011" t="e">
        <f>VLOOKUP(B4011,'REGISTRO ABONOS'!$B$8:$BC$10041,54,0)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hidden="1" x14ac:dyDescent="0.2">
      <c r="B4012" s="31">
        <v>4003</v>
      </c>
      <c r="J4012">
        <f t="shared" si="67"/>
        <v>105000</v>
      </c>
      <c r="K4012" t="e">
        <f>VLOOKUP(B4012,'REGISTRO ABONOS'!$B$8:$BC$10041,54,0)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hidden="1" x14ac:dyDescent="0.2">
      <c r="B4013" s="31">
        <v>4004</v>
      </c>
      <c r="J4013">
        <f t="shared" si="67"/>
        <v>105000</v>
      </c>
      <c r="K4013" t="e">
        <f>VLOOKUP(B4013,'REGISTRO ABONOS'!$B$8:$BC$10041,54,0)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hidden="1" x14ac:dyDescent="0.2">
      <c r="B4014" s="31">
        <v>4005</v>
      </c>
      <c r="J4014">
        <f t="shared" si="67"/>
        <v>105000</v>
      </c>
      <c r="K4014" t="e">
        <f>VLOOKUP(B4014,'REGISTRO ABONOS'!$B$8:$BC$10041,54,0)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hidden="1" x14ac:dyDescent="0.2">
      <c r="B4015" s="31">
        <v>4006</v>
      </c>
      <c r="J4015">
        <f t="shared" si="67"/>
        <v>105000</v>
      </c>
      <c r="K4015" t="e">
        <f>VLOOKUP(B4015,'REGISTRO ABONOS'!$B$8:$BC$10041,54,0)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hidden="1" x14ac:dyDescent="0.2">
      <c r="B4016" s="31">
        <v>4007</v>
      </c>
      <c r="J4016">
        <f t="shared" si="67"/>
        <v>105000</v>
      </c>
      <c r="K4016" t="e">
        <f>VLOOKUP(B4016,'REGISTRO ABONOS'!$B$8:$BC$10041,54,0)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hidden="1" x14ac:dyDescent="0.2">
      <c r="B4017" s="31">
        <v>4008</v>
      </c>
      <c r="J4017">
        <f t="shared" si="67"/>
        <v>105000</v>
      </c>
      <c r="K4017" t="e">
        <f>VLOOKUP(B4017,'REGISTRO ABONOS'!$B$8:$BC$10041,54,0)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hidden="1" x14ac:dyDescent="0.2">
      <c r="B4018" s="31">
        <v>4009</v>
      </c>
      <c r="J4018">
        <f t="shared" si="67"/>
        <v>105000</v>
      </c>
      <c r="K4018" t="e">
        <f>VLOOKUP(B4018,'REGISTRO ABONOS'!$B$8:$BC$10041,54,0)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hidden="1" x14ac:dyDescent="0.2">
      <c r="B4019" s="31">
        <v>4010</v>
      </c>
      <c r="J4019">
        <f t="shared" si="67"/>
        <v>105000</v>
      </c>
      <c r="K4019" t="e">
        <f>VLOOKUP(B4019,'REGISTRO ABONOS'!$B$8:$BC$10041,54,0)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hidden="1" x14ac:dyDescent="0.2">
      <c r="B4020" s="31">
        <v>4011</v>
      </c>
      <c r="J4020">
        <f t="shared" si="67"/>
        <v>105000</v>
      </c>
      <c r="K4020" t="e">
        <f>VLOOKUP(B4020,'REGISTRO ABONOS'!$B$8:$BC$10041,54,0)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hidden="1" x14ac:dyDescent="0.2">
      <c r="B4021" s="31">
        <v>4012</v>
      </c>
      <c r="J4021">
        <f t="shared" si="67"/>
        <v>105000</v>
      </c>
      <c r="K4021" t="e">
        <f>VLOOKUP(B4021,'REGISTRO ABONOS'!$B$8:$BC$10041,54,0)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hidden="1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ABONOS'!$B$8:$BC$10041,54,0)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hidden="1" x14ac:dyDescent="0.2">
      <c r="B4023" s="31">
        <v>4014</v>
      </c>
      <c r="J4023">
        <f t="shared" si="68"/>
        <v>105000</v>
      </c>
      <c r="K4023" t="e">
        <f>VLOOKUP(B4023,'REGISTRO ABONOS'!$B$8:$BC$10041,54,0)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hidden="1" x14ac:dyDescent="0.2">
      <c r="B4024" s="31">
        <v>4015</v>
      </c>
      <c r="J4024">
        <f t="shared" si="68"/>
        <v>105000</v>
      </c>
      <c r="K4024" t="e">
        <f>VLOOKUP(B4024,'REGISTRO ABONOS'!$B$8:$BC$10041,54,0)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hidden="1" x14ac:dyDescent="0.2">
      <c r="B4025" s="31">
        <v>4016</v>
      </c>
      <c r="J4025">
        <f t="shared" si="68"/>
        <v>105000</v>
      </c>
      <c r="K4025" t="e">
        <f>VLOOKUP(B4025,'REGISTRO ABONOS'!$B$8:$BC$10041,54,0)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hidden="1" x14ac:dyDescent="0.2">
      <c r="B4026" s="31">
        <v>4017</v>
      </c>
      <c r="J4026">
        <f t="shared" si="68"/>
        <v>105000</v>
      </c>
      <c r="K4026" t="e">
        <f>VLOOKUP(B4026,'REGISTRO ABONOS'!$B$8:$BC$10041,54,0)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hidden="1" x14ac:dyDescent="0.2">
      <c r="B4027" s="31">
        <v>4018</v>
      </c>
      <c r="J4027">
        <f t="shared" si="68"/>
        <v>105000</v>
      </c>
      <c r="K4027" t="e">
        <f>VLOOKUP(B4027,'REGISTRO ABONOS'!$B$8:$BC$10041,54,0)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hidden="1" x14ac:dyDescent="0.2">
      <c r="B4028" s="31">
        <v>4019</v>
      </c>
      <c r="J4028">
        <f t="shared" si="68"/>
        <v>105000</v>
      </c>
      <c r="K4028" t="e">
        <f>VLOOKUP(B4028,'REGISTRO ABONOS'!$B$8:$BC$10041,54,0)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hidden="1" x14ac:dyDescent="0.2">
      <c r="B4029" s="31">
        <v>4020</v>
      </c>
      <c r="J4029">
        <f t="shared" si="68"/>
        <v>105000</v>
      </c>
      <c r="K4029" t="e">
        <f>VLOOKUP(B4029,'REGISTRO ABONOS'!$B$8:$BC$10041,54,0)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hidden="1" x14ac:dyDescent="0.2">
      <c r="B4030" s="31">
        <v>4021</v>
      </c>
      <c r="J4030">
        <f t="shared" si="68"/>
        <v>105000</v>
      </c>
      <c r="K4030" t="e">
        <f>VLOOKUP(B4030,'REGISTRO ABONOS'!$B$8:$BC$10041,54,0)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hidden="1" x14ac:dyDescent="0.2">
      <c r="B4031" s="31">
        <v>4022</v>
      </c>
      <c r="J4031">
        <f t="shared" si="68"/>
        <v>105000</v>
      </c>
      <c r="K4031" t="e">
        <f>VLOOKUP(B4031,'REGISTRO ABONOS'!$B$8:$BC$10041,54,0)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hidden="1" x14ac:dyDescent="0.2">
      <c r="B4032" s="31">
        <v>4023</v>
      </c>
      <c r="J4032">
        <f t="shared" si="68"/>
        <v>105000</v>
      </c>
      <c r="K4032" t="e">
        <f>VLOOKUP(B4032,'REGISTRO ABONOS'!$B$8:$BC$10041,54,0)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hidden="1" x14ac:dyDescent="0.2">
      <c r="B4033" s="31">
        <v>4024</v>
      </c>
      <c r="J4033">
        <f t="shared" si="68"/>
        <v>105000</v>
      </c>
      <c r="K4033" t="e">
        <f>VLOOKUP(B4033,'REGISTRO ABONOS'!$B$8:$BC$10041,54,0)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hidden="1" x14ac:dyDescent="0.2">
      <c r="B4034" s="31">
        <v>4025</v>
      </c>
      <c r="J4034">
        <f t="shared" si="68"/>
        <v>105000</v>
      </c>
      <c r="K4034" t="e">
        <f>VLOOKUP(B4034,'REGISTRO ABONOS'!$B$8:$BC$10041,54,0)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hidden="1" x14ac:dyDescent="0.2">
      <c r="B4035" s="31">
        <v>4026</v>
      </c>
      <c r="J4035">
        <f t="shared" si="68"/>
        <v>105000</v>
      </c>
      <c r="K4035" t="e">
        <f>VLOOKUP(B4035,'REGISTRO ABONOS'!$B$8:$BC$10041,54,0)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hidden="1" x14ac:dyDescent="0.2">
      <c r="B4036" s="31">
        <v>4027</v>
      </c>
      <c r="J4036">
        <f t="shared" si="68"/>
        <v>105000</v>
      </c>
      <c r="K4036" t="e">
        <f>VLOOKUP(B4036,'REGISTRO ABONOS'!$B$8:$BC$10041,54,0)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hidden="1" x14ac:dyDescent="0.2">
      <c r="B4037" s="31">
        <v>4028</v>
      </c>
      <c r="J4037">
        <f t="shared" si="68"/>
        <v>105000</v>
      </c>
      <c r="K4037" t="e">
        <f>VLOOKUP(B4037,'REGISTRO ABONOS'!$B$8:$BC$10041,54,0)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hidden="1" x14ac:dyDescent="0.2">
      <c r="B4038" s="31">
        <v>4029</v>
      </c>
      <c r="J4038">
        <f t="shared" si="68"/>
        <v>105000</v>
      </c>
      <c r="K4038" t="e">
        <f>VLOOKUP(B4038,'REGISTRO ABONOS'!$B$8:$BC$10041,54,0)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hidden="1" x14ac:dyDescent="0.2">
      <c r="B4039" s="31">
        <v>4030</v>
      </c>
      <c r="J4039">
        <f t="shared" si="68"/>
        <v>105000</v>
      </c>
      <c r="K4039" t="e">
        <f>VLOOKUP(B4039,'REGISTRO ABONOS'!$B$8:$BC$10041,54,0)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hidden="1" x14ac:dyDescent="0.2">
      <c r="B4040" s="31">
        <v>4031</v>
      </c>
      <c r="J4040">
        <f t="shared" si="68"/>
        <v>105000</v>
      </c>
      <c r="K4040" t="e">
        <f>VLOOKUP(B4040,'REGISTRO ABONOS'!$B$8:$BC$10041,54,0)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hidden="1" x14ac:dyDescent="0.2">
      <c r="B4041" s="31">
        <v>4032</v>
      </c>
      <c r="J4041">
        <f t="shared" si="68"/>
        <v>105000</v>
      </c>
      <c r="K4041" t="e">
        <f>VLOOKUP(B4041,'REGISTRO ABONOS'!$B$8:$BC$10041,54,0)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hidden="1" x14ac:dyDescent="0.2">
      <c r="B4042" s="31">
        <v>4033</v>
      </c>
      <c r="J4042">
        <f t="shared" si="68"/>
        <v>105000</v>
      </c>
      <c r="K4042" t="e">
        <f>VLOOKUP(B4042,'REGISTRO ABONOS'!$B$8:$BC$10041,54,0)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hidden="1" x14ac:dyDescent="0.2">
      <c r="B4043" s="31">
        <v>4034</v>
      </c>
      <c r="J4043">
        <f t="shared" si="68"/>
        <v>105000</v>
      </c>
      <c r="K4043" t="e">
        <f>VLOOKUP(B4043,'REGISTRO ABONOS'!$B$8:$BC$10041,54,0)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hidden="1" x14ac:dyDescent="0.2">
      <c r="B4044" s="31">
        <v>4035</v>
      </c>
      <c r="J4044">
        <f t="shared" si="68"/>
        <v>105000</v>
      </c>
      <c r="K4044" t="e">
        <f>VLOOKUP(B4044,'REGISTRO ABONOS'!$B$8:$BC$10041,54,0)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hidden="1" x14ac:dyDescent="0.2">
      <c r="B4045" s="31">
        <v>4036</v>
      </c>
      <c r="J4045">
        <f t="shared" si="68"/>
        <v>105000</v>
      </c>
      <c r="K4045" t="e">
        <f>VLOOKUP(B4045,'REGISTRO ABONOS'!$B$8:$BC$10041,54,0)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hidden="1" x14ac:dyDescent="0.2">
      <c r="B4046" s="31">
        <v>4037</v>
      </c>
      <c r="J4046">
        <f t="shared" si="68"/>
        <v>105000</v>
      </c>
      <c r="K4046" t="e">
        <f>VLOOKUP(B4046,'REGISTRO ABONOS'!$B$8:$BC$10041,54,0)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hidden="1" x14ac:dyDescent="0.2">
      <c r="B4047" s="31">
        <v>4038</v>
      </c>
      <c r="J4047">
        <f t="shared" si="68"/>
        <v>105000</v>
      </c>
      <c r="K4047" t="e">
        <f>VLOOKUP(B4047,'REGISTRO ABONOS'!$B$8:$BC$10041,54,0)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hidden="1" x14ac:dyDescent="0.2">
      <c r="B4048" s="31">
        <v>4039</v>
      </c>
      <c r="J4048">
        <f t="shared" si="68"/>
        <v>105000</v>
      </c>
      <c r="K4048" t="e">
        <f>VLOOKUP(B4048,'REGISTRO ABONOS'!$B$8:$BC$10041,54,0)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hidden="1" x14ac:dyDescent="0.2">
      <c r="B4049" s="31">
        <v>4040</v>
      </c>
      <c r="J4049">
        <f t="shared" si="68"/>
        <v>105000</v>
      </c>
      <c r="K4049" t="e">
        <f>VLOOKUP(B4049,'REGISTRO ABONOS'!$B$8:$BC$10041,54,0)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hidden="1" x14ac:dyDescent="0.2">
      <c r="B4050" s="31">
        <v>4041</v>
      </c>
      <c r="J4050">
        <f t="shared" si="68"/>
        <v>105000</v>
      </c>
      <c r="K4050" t="e">
        <f>VLOOKUP(B4050,'REGISTRO ABONOS'!$B$8:$BC$10041,54,0)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hidden="1" x14ac:dyDescent="0.2">
      <c r="B4051" s="31">
        <v>4042</v>
      </c>
      <c r="J4051">
        <f t="shared" si="68"/>
        <v>105000</v>
      </c>
      <c r="K4051" t="e">
        <f>VLOOKUP(B4051,'REGISTRO ABONOS'!$B$8:$BC$10041,54,0)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hidden="1" x14ac:dyDescent="0.2">
      <c r="B4052" s="31">
        <v>4043</v>
      </c>
      <c r="J4052">
        <f t="shared" si="68"/>
        <v>105000</v>
      </c>
      <c r="K4052" t="e">
        <f>VLOOKUP(B4052,'REGISTRO ABONOS'!$B$8:$BC$10041,54,0)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hidden="1" x14ac:dyDescent="0.2">
      <c r="B4053" s="31">
        <v>4044</v>
      </c>
      <c r="J4053">
        <f t="shared" si="68"/>
        <v>105000</v>
      </c>
      <c r="K4053" t="e">
        <f>VLOOKUP(B4053,'REGISTRO ABONOS'!$B$8:$BC$10041,54,0)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hidden="1" x14ac:dyDescent="0.2">
      <c r="B4054" s="31">
        <v>4045</v>
      </c>
      <c r="J4054">
        <f t="shared" si="68"/>
        <v>105000</v>
      </c>
      <c r="K4054" t="e">
        <f>VLOOKUP(B4054,'REGISTRO ABONOS'!$B$8:$BC$10041,54,0)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hidden="1" x14ac:dyDescent="0.2">
      <c r="B4055" s="31">
        <v>4046</v>
      </c>
      <c r="J4055">
        <f t="shared" si="68"/>
        <v>105000</v>
      </c>
      <c r="K4055" t="e">
        <f>VLOOKUP(B4055,'REGISTRO ABONOS'!$B$8:$BC$10041,54,0)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hidden="1" x14ac:dyDescent="0.2">
      <c r="B4056" s="31">
        <v>4047</v>
      </c>
      <c r="J4056">
        <f t="shared" si="68"/>
        <v>105000</v>
      </c>
      <c r="K4056" t="e">
        <f>VLOOKUP(B4056,'REGISTRO ABONOS'!$B$8:$BC$10041,54,0)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hidden="1" x14ac:dyDescent="0.2">
      <c r="B4057" s="31">
        <v>4048</v>
      </c>
      <c r="J4057">
        <f t="shared" si="68"/>
        <v>105000</v>
      </c>
      <c r="K4057" t="e">
        <f>VLOOKUP(B4057,'REGISTRO ABONOS'!$B$8:$BC$10041,54,0)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hidden="1" x14ac:dyDescent="0.2">
      <c r="B4058" s="31">
        <v>4049</v>
      </c>
      <c r="J4058">
        <f t="shared" si="68"/>
        <v>105000</v>
      </c>
      <c r="K4058" t="e">
        <f>VLOOKUP(B4058,'REGISTRO ABONOS'!$B$8:$BC$10041,54,0)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hidden="1" x14ac:dyDescent="0.2">
      <c r="B4059" s="31">
        <v>4050</v>
      </c>
      <c r="J4059">
        <f t="shared" si="68"/>
        <v>105000</v>
      </c>
      <c r="K4059" t="e">
        <f>VLOOKUP(B4059,'REGISTRO ABONOS'!$B$8:$BC$10041,54,0)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hidden="1" x14ac:dyDescent="0.2">
      <c r="B4060" s="31">
        <v>4051</v>
      </c>
      <c r="J4060">
        <f t="shared" si="68"/>
        <v>105000</v>
      </c>
      <c r="K4060" t="e">
        <f>VLOOKUP(B4060,'REGISTRO ABONOS'!$B$8:$BC$10041,54,0)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hidden="1" x14ac:dyDescent="0.2">
      <c r="B4061" s="31">
        <v>4052</v>
      </c>
      <c r="J4061">
        <f t="shared" si="68"/>
        <v>105000</v>
      </c>
      <c r="K4061" t="e">
        <f>VLOOKUP(B4061,'REGISTRO ABONOS'!$B$8:$BC$10041,54,0)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hidden="1" x14ac:dyDescent="0.2">
      <c r="B4062" s="31">
        <v>4053</v>
      </c>
      <c r="J4062">
        <f t="shared" si="68"/>
        <v>105000</v>
      </c>
      <c r="K4062" t="e">
        <f>VLOOKUP(B4062,'REGISTRO ABONOS'!$B$8:$BC$10041,54,0)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hidden="1" x14ac:dyDescent="0.2">
      <c r="B4063" s="31">
        <v>4054</v>
      </c>
      <c r="J4063">
        <f t="shared" si="68"/>
        <v>105000</v>
      </c>
      <c r="K4063" t="e">
        <f>VLOOKUP(B4063,'REGISTRO ABONOS'!$B$8:$BC$10041,54,0)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hidden="1" x14ac:dyDescent="0.2">
      <c r="B4064" s="31">
        <v>4055</v>
      </c>
      <c r="J4064">
        <f t="shared" si="68"/>
        <v>105000</v>
      </c>
      <c r="K4064" t="e">
        <f>VLOOKUP(B4064,'REGISTRO ABONOS'!$B$8:$BC$10041,54,0)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hidden="1" x14ac:dyDescent="0.2">
      <c r="B4065" s="31">
        <v>4056</v>
      </c>
      <c r="J4065">
        <f t="shared" si="68"/>
        <v>105000</v>
      </c>
      <c r="K4065" t="e">
        <f>VLOOKUP(B4065,'REGISTRO ABONOS'!$B$8:$BC$10041,54,0)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hidden="1" x14ac:dyDescent="0.2">
      <c r="B4066" s="31">
        <v>4057</v>
      </c>
      <c r="J4066">
        <f t="shared" si="68"/>
        <v>105000</v>
      </c>
      <c r="K4066" t="e">
        <f>VLOOKUP(B4066,'REGISTRO ABONOS'!$B$8:$BC$10041,54,0)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hidden="1" x14ac:dyDescent="0.2">
      <c r="B4067" s="31">
        <v>4058</v>
      </c>
      <c r="J4067">
        <f t="shared" si="68"/>
        <v>105000</v>
      </c>
      <c r="K4067" t="e">
        <f>VLOOKUP(B4067,'REGISTRO ABONOS'!$B$8:$BC$10041,54,0)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hidden="1" x14ac:dyDescent="0.2">
      <c r="B4068" s="31">
        <v>4059</v>
      </c>
      <c r="J4068">
        <f t="shared" si="68"/>
        <v>105000</v>
      </c>
      <c r="K4068" t="e">
        <f>VLOOKUP(B4068,'REGISTRO ABONOS'!$B$8:$BC$10041,54,0)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hidden="1" x14ac:dyDescent="0.2">
      <c r="B4069" s="31">
        <v>4060</v>
      </c>
      <c r="J4069">
        <f t="shared" si="68"/>
        <v>105000</v>
      </c>
      <c r="K4069" t="e">
        <f>VLOOKUP(B4069,'REGISTRO ABONOS'!$B$8:$BC$10041,54,0)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hidden="1" x14ac:dyDescent="0.2">
      <c r="B4070" s="31">
        <v>4061</v>
      </c>
      <c r="J4070">
        <f t="shared" si="68"/>
        <v>105000</v>
      </c>
      <c r="K4070" t="e">
        <f>VLOOKUP(B4070,'REGISTRO ABONOS'!$B$8:$BC$10041,54,0)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hidden="1" x14ac:dyDescent="0.2">
      <c r="B4071" s="31">
        <v>4062</v>
      </c>
      <c r="J4071">
        <f t="shared" si="68"/>
        <v>105000</v>
      </c>
      <c r="K4071" t="e">
        <f>VLOOKUP(B4071,'REGISTRO ABONOS'!$B$8:$BC$10041,54,0)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hidden="1" x14ac:dyDescent="0.2">
      <c r="B4072" s="31">
        <v>4063</v>
      </c>
      <c r="J4072">
        <f t="shared" si="68"/>
        <v>105000</v>
      </c>
      <c r="K4072" t="e">
        <f>VLOOKUP(B4072,'REGISTRO ABONOS'!$B$8:$BC$10041,54,0)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hidden="1" x14ac:dyDescent="0.2">
      <c r="B4073" s="31">
        <v>4064</v>
      </c>
      <c r="J4073">
        <f t="shared" si="68"/>
        <v>105000</v>
      </c>
      <c r="K4073" t="e">
        <f>VLOOKUP(B4073,'REGISTRO ABONOS'!$B$8:$BC$10041,54,0)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hidden="1" x14ac:dyDescent="0.2">
      <c r="B4074" s="31">
        <v>4065</v>
      </c>
      <c r="J4074">
        <f t="shared" si="68"/>
        <v>105000</v>
      </c>
      <c r="K4074" t="e">
        <f>VLOOKUP(B4074,'REGISTRO ABONOS'!$B$8:$BC$10041,54,0)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hidden="1" x14ac:dyDescent="0.2">
      <c r="B4075" s="31">
        <v>4066</v>
      </c>
      <c r="J4075">
        <f t="shared" si="68"/>
        <v>105000</v>
      </c>
      <c r="K4075" t="e">
        <f>VLOOKUP(B4075,'REGISTRO ABONOS'!$B$8:$BC$10041,54,0)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hidden="1" x14ac:dyDescent="0.2">
      <c r="B4076" s="31">
        <v>4067</v>
      </c>
      <c r="J4076">
        <f t="shared" si="68"/>
        <v>105000</v>
      </c>
      <c r="K4076" t="e">
        <f>VLOOKUP(B4076,'REGISTRO ABONOS'!$B$8:$BC$10041,54,0)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hidden="1" x14ac:dyDescent="0.2">
      <c r="B4077" s="31">
        <v>4068</v>
      </c>
      <c r="J4077">
        <f t="shared" si="68"/>
        <v>105000</v>
      </c>
      <c r="K4077" t="e">
        <f>VLOOKUP(B4077,'REGISTRO ABONOS'!$B$8:$BC$10041,54,0)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hidden="1" x14ac:dyDescent="0.2">
      <c r="B4078" s="31">
        <v>4069</v>
      </c>
      <c r="J4078">
        <f t="shared" si="68"/>
        <v>105000</v>
      </c>
      <c r="K4078" t="e">
        <f>VLOOKUP(B4078,'REGISTRO ABONOS'!$B$8:$BC$10041,54,0)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hidden="1" x14ac:dyDescent="0.2">
      <c r="B4079" s="31">
        <v>4070</v>
      </c>
      <c r="J4079">
        <f t="shared" si="68"/>
        <v>105000</v>
      </c>
      <c r="K4079" t="e">
        <f>VLOOKUP(B4079,'REGISTRO ABONOS'!$B$8:$BC$10041,54,0)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hidden="1" x14ac:dyDescent="0.2">
      <c r="B4080" s="31">
        <v>4071</v>
      </c>
      <c r="J4080">
        <f t="shared" si="68"/>
        <v>105000</v>
      </c>
      <c r="K4080" t="e">
        <f>VLOOKUP(B4080,'REGISTRO ABONOS'!$B$8:$BC$10041,54,0)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hidden="1" x14ac:dyDescent="0.2">
      <c r="B4081" s="31">
        <v>4072</v>
      </c>
      <c r="J4081">
        <f t="shared" si="68"/>
        <v>105000</v>
      </c>
      <c r="K4081" t="e">
        <f>VLOOKUP(B4081,'REGISTRO ABONOS'!$B$8:$BC$10041,54,0)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hidden="1" x14ac:dyDescent="0.2">
      <c r="B4082" s="31">
        <v>4073</v>
      </c>
      <c r="J4082">
        <f t="shared" si="68"/>
        <v>105000</v>
      </c>
      <c r="K4082" t="e">
        <f>VLOOKUP(B4082,'REGISTRO ABONOS'!$B$8:$BC$10041,54,0)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hidden="1" x14ac:dyDescent="0.2">
      <c r="B4083" s="31">
        <v>4074</v>
      </c>
      <c r="J4083">
        <f t="shared" si="68"/>
        <v>105000</v>
      </c>
      <c r="K4083" t="e">
        <f>VLOOKUP(B4083,'REGISTRO ABONOS'!$B$8:$BC$10041,54,0)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hidden="1" x14ac:dyDescent="0.2">
      <c r="B4084" s="31">
        <v>4075</v>
      </c>
      <c r="J4084">
        <f t="shared" si="68"/>
        <v>105000</v>
      </c>
      <c r="K4084" t="e">
        <f>VLOOKUP(B4084,'REGISTRO ABONOS'!$B$8:$BC$10041,54,0)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hidden="1" x14ac:dyDescent="0.2">
      <c r="B4085" s="31">
        <v>4076</v>
      </c>
      <c r="J4085">
        <f t="shared" si="68"/>
        <v>105000</v>
      </c>
      <c r="K4085" t="e">
        <f>VLOOKUP(B4085,'REGISTRO ABONOS'!$B$8:$BC$10041,54,0)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hidden="1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ABONOS'!$B$8:$BC$10041,54,0)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hidden="1" x14ac:dyDescent="0.2">
      <c r="B4087" s="31">
        <v>4078</v>
      </c>
      <c r="J4087">
        <f t="shared" si="69"/>
        <v>105000</v>
      </c>
      <c r="K4087" t="e">
        <f>VLOOKUP(B4087,'REGISTRO ABONOS'!$B$8:$BC$10041,54,0)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hidden="1" x14ac:dyDescent="0.2">
      <c r="B4088" s="31">
        <v>4079</v>
      </c>
      <c r="J4088">
        <f t="shared" si="69"/>
        <v>105000</v>
      </c>
      <c r="K4088" t="e">
        <f>VLOOKUP(B4088,'REGISTRO ABONOS'!$B$8:$BC$10041,54,0)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hidden="1" x14ac:dyDescent="0.2">
      <c r="B4089" s="31">
        <v>4080</v>
      </c>
      <c r="J4089">
        <f t="shared" si="69"/>
        <v>105000</v>
      </c>
      <c r="K4089" t="e">
        <f>VLOOKUP(B4089,'REGISTRO ABONOS'!$B$8:$BC$10041,54,0)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hidden="1" x14ac:dyDescent="0.2">
      <c r="B4090" s="31">
        <v>4081</v>
      </c>
      <c r="J4090">
        <f t="shared" si="69"/>
        <v>105000</v>
      </c>
      <c r="K4090" t="e">
        <f>VLOOKUP(B4090,'REGISTRO ABONOS'!$B$8:$BC$10041,54,0)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hidden="1" x14ac:dyDescent="0.2">
      <c r="B4091" s="31">
        <v>4082</v>
      </c>
      <c r="J4091">
        <f t="shared" si="69"/>
        <v>105000</v>
      </c>
      <c r="K4091" t="e">
        <f>VLOOKUP(B4091,'REGISTRO ABONOS'!$B$8:$BC$10041,54,0)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hidden="1" x14ac:dyDescent="0.2">
      <c r="B4092" s="31">
        <v>4083</v>
      </c>
      <c r="J4092">
        <f t="shared" si="69"/>
        <v>105000</v>
      </c>
      <c r="K4092" t="e">
        <f>VLOOKUP(B4092,'REGISTRO ABONOS'!$B$8:$BC$10041,54,0)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hidden="1" x14ac:dyDescent="0.2">
      <c r="B4093" s="31">
        <v>4084</v>
      </c>
      <c r="J4093">
        <f t="shared" si="69"/>
        <v>105000</v>
      </c>
      <c r="K4093" t="e">
        <f>VLOOKUP(B4093,'REGISTRO ABONOS'!$B$8:$BC$10041,54,0)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hidden="1" x14ac:dyDescent="0.2">
      <c r="B4094" s="31">
        <v>4085</v>
      </c>
      <c r="J4094">
        <f t="shared" si="69"/>
        <v>105000</v>
      </c>
      <c r="K4094" t="e">
        <f>VLOOKUP(B4094,'REGISTRO ABONOS'!$B$8:$BC$10041,54,0)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hidden="1" x14ac:dyDescent="0.2">
      <c r="B4095" s="31">
        <v>4086</v>
      </c>
      <c r="J4095">
        <f t="shared" si="69"/>
        <v>105000</v>
      </c>
      <c r="K4095" t="e">
        <f>VLOOKUP(B4095,'REGISTRO ABONOS'!$B$8:$BC$10041,54,0)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hidden="1" x14ac:dyDescent="0.2">
      <c r="B4096" s="31">
        <v>4087</v>
      </c>
      <c r="J4096">
        <f t="shared" si="69"/>
        <v>105000</v>
      </c>
      <c r="K4096" t="e">
        <f>VLOOKUP(B4096,'REGISTRO ABONOS'!$B$8:$BC$10041,54,0)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hidden="1" x14ac:dyDescent="0.2">
      <c r="B4097" s="31">
        <v>4088</v>
      </c>
      <c r="J4097">
        <f t="shared" si="69"/>
        <v>105000</v>
      </c>
      <c r="K4097" t="e">
        <f>VLOOKUP(B4097,'REGISTRO ABONOS'!$B$8:$BC$10041,54,0)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hidden="1" x14ac:dyDescent="0.2">
      <c r="B4098" s="31">
        <v>4089</v>
      </c>
      <c r="J4098">
        <f t="shared" si="69"/>
        <v>105000</v>
      </c>
      <c r="K4098" t="e">
        <f>VLOOKUP(B4098,'REGISTRO ABONOS'!$B$8:$BC$10041,54,0)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hidden="1" x14ac:dyDescent="0.2">
      <c r="B4099" s="31">
        <v>4090</v>
      </c>
      <c r="J4099">
        <f t="shared" si="69"/>
        <v>105000</v>
      </c>
      <c r="K4099" t="e">
        <f>VLOOKUP(B4099,'REGISTRO ABONOS'!$B$8:$BC$10041,54,0)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hidden="1" x14ac:dyDescent="0.2">
      <c r="B4100" s="31">
        <v>4091</v>
      </c>
      <c r="J4100">
        <f t="shared" si="69"/>
        <v>105000</v>
      </c>
      <c r="K4100" t="e">
        <f>VLOOKUP(B4100,'REGISTRO ABONOS'!$B$8:$BC$10041,54,0)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hidden="1" x14ac:dyDescent="0.2">
      <c r="B4101" s="31">
        <v>4092</v>
      </c>
      <c r="J4101">
        <f t="shared" si="69"/>
        <v>105000</v>
      </c>
      <c r="K4101" t="e">
        <f>VLOOKUP(B4101,'REGISTRO ABONOS'!$B$8:$BC$10041,54,0)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hidden="1" x14ac:dyDescent="0.2">
      <c r="B4102" s="31">
        <v>4093</v>
      </c>
      <c r="J4102">
        <f t="shared" si="69"/>
        <v>105000</v>
      </c>
      <c r="K4102" t="e">
        <f>VLOOKUP(B4102,'REGISTRO ABONOS'!$B$8:$BC$10041,54,0)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hidden="1" x14ac:dyDescent="0.2">
      <c r="B4103" s="31">
        <v>4094</v>
      </c>
      <c r="J4103">
        <f t="shared" si="69"/>
        <v>105000</v>
      </c>
      <c r="K4103" t="e">
        <f>VLOOKUP(B4103,'REGISTRO ABONOS'!$B$8:$BC$10041,54,0)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hidden="1" x14ac:dyDescent="0.2">
      <c r="B4104" s="31">
        <v>4095</v>
      </c>
      <c r="J4104">
        <f t="shared" si="69"/>
        <v>105000</v>
      </c>
      <c r="K4104" t="e">
        <f>VLOOKUP(B4104,'REGISTRO ABONOS'!$B$8:$BC$10041,54,0)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hidden="1" x14ac:dyDescent="0.2">
      <c r="B4105" s="31">
        <v>4096</v>
      </c>
      <c r="J4105">
        <f t="shared" si="69"/>
        <v>105000</v>
      </c>
      <c r="K4105" t="e">
        <f>VLOOKUP(B4105,'REGISTRO ABONOS'!$B$8:$BC$10041,54,0)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hidden="1" x14ac:dyDescent="0.2">
      <c r="B4106" s="31">
        <v>4097</v>
      </c>
      <c r="J4106">
        <f t="shared" si="69"/>
        <v>105000</v>
      </c>
      <c r="K4106" t="e">
        <f>VLOOKUP(B4106,'REGISTRO ABONOS'!$B$8:$BC$10041,54,0)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hidden="1" x14ac:dyDescent="0.2">
      <c r="B4107" s="31">
        <v>4098</v>
      </c>
      <c r="J4107">
        <f t="shared" si="69"/>
        <v>105000</v>
      </c>
      <c r="K4107" t="e">
        <f>VLOOKUP(B4107,'REGISTRO ABONOS'!$B$8:$BC$10041,54,0)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hidden="1" x14ac:dyDescent="0.2">
      <c r="B4108" s="31">
        <v>4099</v>
      </c>
      <c r="J4108">
        <f t="shared" si="69"/>
        <v>105000</v>
      </c>
      <c r="K4108" t="e">
        <f>VLOOKUP(B4108,'REGISTRO ABONOS'!$B$8:$BC$10041,54,0)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hidden="1" x14ac:dyDescent="0.2">
      <c r="B4109" s="31">
        <v>4100</v>
      </c>
      <c r="J4109">
        <f t="shared" si="69"/>
        <v>105000</v>
      </c>
      <c r="K4109" t="e">
        <f>VLOOKUP(B4109,'REGISTRO ABONOS'!$B$8:$BC$10041,54,0)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hidden="1" x14ac:dyDescent="0.2">
      <c r="B4110" s="31">
        <v>4101</v>
      </c>
      <c r="J4110">
        <f t="shared" si="69"/>
        <v>105000</v>
      </c>
      <c r="K4110" t="e">
        <f>VLOOKUP(B4110,'REGISTRO ABONOS'!$B$8:$BC$10041,54,0)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hidden="1" x14ac:dyDescent="0.2">
      <c r="B4111" s="31">
        <v>4102</v>
      </c>
      <c r="J4111">
        <f t="shared" si="69"/>
        <v>105000</v>
      </c>
      <c r="K4111" t="e">
        <f>VLOOKUP(B4111,'REGISTRO ABONOS'!$B$8:$BC$10041,54,0)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hidden="1" x14ac:dyDescent="0.2">
      <c r="B4112" s="31">
        <v>4103</v>
      </c>
      <c r="J4112">
        <f t="shared" si="69"/>
        <v>105000</v>
      </c>
      <c r="K4112" t="e">
        <f>VLOOKUP(B4112,'REGISTRO ABONOS'!$B$8:$BC$10041,54,0)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hidden="1" x14ac:dyDescent="0.2">
      <c r="B4113" s="31">
        <v>4104</v>
      </c>
      <c r="J4113">
        <f t="shared" si="69"/>
        <v>105000</v>
      </c>
      <c r="K4113" t="e">
        <f>VLOOKUP(B4113,'REGISTRO ABONOS'!$B$8:$BC$10041,54,0)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hidden="1" x14ac:dyDescent="0.2">
      <c r="B4114" s="31">
        <v>4105</v>
      </c>
      <c r="J4114">
        <f t="shared" si="69"/>
        <v>105000</v>
      </c>
      <c r="K4114" t="e">
        <f>VLOOKUP(B4114,'REGISTRO ABONOS'!$B$8:$BC$10041,54,0)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hidden="1" x14ac:dyDescent="0.2">
      <c r="B4115" s="31">
        <v>4106</v>
      </c>
      <c r="J4115">
        <f t="shared" si="69"/>
        <v>105000</v>
      </c>
      <c r="K4115" t="e">
        <f>VLOOKUP(B4115,'REGISTRO ABONOS'!$B$8:$BC$10041,54,0)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hidden="1" x14ac:dyDescent="0.2">
      <c r="B4116" s="31">
        <v>4107</v>
      </c>
      <c r="J4116">
        <f t="shared" si="69"/>
        <v>105000</v>
      </c>
      <c r="K4116" t="e">
        <f>VLOOKUP(B4116,'REGISTRO ABONOS'!$B$8:$BC$10041,54,0)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hidden="1" x14ac:dyDescent="0.2">
      <c r="B4117" s="31">
        <v>4108</v>
      </c>
      <c r="J4117">
        <f t="shared" si="69"/>
        <v>105000</v>
      </c>
      <c r="K4117" t="e">
        <f>VLOOKUP(B4117,'REGISTRO ABONOS'!$B$8:$BC$10041,54,0)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hidden="1" x14ac:dyDescent="0.2">
      <c r="B4118" s="31">
        <v>4109</v>
      </c>
      <c r="J4118">
        <f t="shared" si="69"/>
        <v>105000</v>
      </c>
      <c r="K4118" t="e">
        <f>VLOOKUP(B4118,'REGISTRO ABONOS'!$B$8:$BC$10041,54,0)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hidden="1" x14ac:dyDescent="0.2">
      <c r="B4119" s="31">
        <v>4110</v>
      </c>
      <c r="J4119">
        <f t="shared" si="69"/>
        <v>105000</v>
      </c>
      <c r="K4119" t="e">
        <f>VLOOKUP(B4119,'REGISTRO ABONOS'!$B$8:$BC$10041,54,0)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hidden="1" x14ac:dyDescent="0.2">
      <c r="B4120" s="31">
        <v>4111</v>
      </c>
      <c r="J4120">
        <f t="shared" si="69"/>
        <v>105000</v>
      </c>
      <c r="K4120" t="e">
        <f>VLOOKUP(B4120,'REGISTRO ABONOS'!$B$8:$BC$10041,54,0)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hidden="1" x14ac:dyDescent="0.2">
      <c r="B4121" s="31">
        <v>4112</v>
      </c>
      <c r="J4121">
        <f t="shared" si="69"/>
        <v>105000</v>
      </c>
      <c r="K4121" t="e">
        <f>VLOOKUP(B4121,'REGISTRO ABONOS'!$B$8:$BC$10041,54,0)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hidden="1" x14ac:dyDescent="0.2">
      <c r="B4122" s="31">
        <v>4113</v>
      </c>
      <c r="J4122">
        <f t="shared" si="69"/>
        <v>105000</v>
      </c>
      <c r="K4122" t="e">
        <f>VLOOKUP(B4122,'REGISTRO ABONOS'!$B$8:$BC$10041,54,0)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hidden="1" x14ac:dyDescent="0.2">
      <c r="B4123" s="31">
        <v>4114</v>
      </c>
      <c r="J4123">
        <f t="shared" si="69"/>
        <v>105000</v>
      </c>
      <c r="K4123" t="e">
        <f>VLOOKUP(B4123,'REGISTRO ABONOS'!$B$8:$BC$10041,54,0)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hidden="1" x14ac:dyDescent="0.2">
      <c r="B4124" s="31">
        <v>4115</v>
      </c>
      <c r="J4124">
        <f t="shared" si="69"/>
        <v>105000</v>
      </c>
      <c r="K4124" t="e">
        <f>VLOOKUP(B4124,'REGISTRO ABONOS'!$B$8:$BC$10041,54,0)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hidden="1" x14ac:dyDescent="0.2">
      <c r="B4125" s="31">
        <v>4116</v>
      </c>
      <c r="J4125">
        <f t="shared" si="69"/>
        <v>105000</v>
      </c>
      <c r="K4125" t="e">
        <f>VLOOKUP(B4125,'REGISTRO ABONOS'!$B$8:$BC$10041,54,0)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hidden="1" x14ac:dyDescent="0.2">
      <c r="B4126" s="31">
        <v>4117</v>
      </c>
      <c r="J4126">
        <f t="shared" si="69"/>
        <v>105000</v>
      </c>
      <c r="K4126" t="e">
        <f>VLOOKUP(B4126,'REGISTRO ABONOS'!$B$8:$BC$10041,54,0)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hidden="1" x14ac:dyDescent="0.2">
      <c r="B4127" s="31">
        <v>4118</v>
      </c>
      <c r="J4127">
        <f t="shared" si="69"/>
        <v>105000</v>
      </c>
      <c r="K4127" t="e">
        <f>VLOOKUP(B4127,'REGISTRO ABONOS'!$B$8:$BC$10041,54,0)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hidden="1" x14ac:dyDescent="0.2">
      <c r="B4128" s="31">
        <v>4119</v>
      </c>
      <c r="J4128">
        <f t="shared" si="69"/>
        <v>105000</v>
      </c>
      <c r="K4128" t="e">
        <f>VLOOKUP(B4128,'REGISTRO ABONOS'!$B$8:$BC$10041,54,0)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hidden="1" x14ac:dyDescent="0.2">
      <c r="B4129" s="31">
        <v>4120</v>
      </c>
      <c r="J4129">
        <f t="shared" si="69"/>
        <v>105000</v>
      </c>
      <c r="K4129" t="e">
        <f>VLOOKUP(B4129,'REGISTRO ABONOS'!$B$8:$BC$10041,54,0)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hidden="1" x14ac:dyDescent="0.2">
      <c r="B4130" s="31">
        <v>4121</v>
      </c>
      <c r="J4130">
        <f t="shared" si="69"/>
        <v>105000</v>
      </c>
      <c r="K4130" t="e">
        <f>VLOOKUP(B4130,'REGISTRO ABONOS'!$B$8:$BC$10041,54,0)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9"/>
        <v>105000</v>
      </c>
      <c r="K4131" t="e">
        <f>VLOOKUP(B4131,'REGISTRO ABONOS'!$B$8:$BC$10041,54,0)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hidden="1" x14ac:dyDescent="0.2">
      <c r="B4132" s="31">
        <v>4123</v>
      </c>
      <c r="J4132">
        <f t="shared" si="69"/>
        <v>105000</v>
      </c>
      <c r="K4132" t="e">
        <f>VLOOKUP(B4132,'REGISTRO ABONOS'!$B$8:$BC$10041,54,0)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hidden="1" x14ac:dyDescent="0.2">
      <c r="B4133" s="31">
        <v>4124</v>
      </c>
      <c r="J4133">
        <f t="shared" si="69"/>
        <v>105000</v>
      </c>
      <c r="K4133" t="e">
        <f>VLOOKUP(B4133,'REGISTRO ABONOS'!$B$8:$BC$10041,54,0)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hidden="1" x14ac:dyDescent="0.2">
      <c r="B4134" s="31">
        <v>4125</v>
      </c>
      <c r="J4134">
        <f t="shared" si="69"/>
        <v>105000</v>
      </c>
      <c r="K4134" t="e">
        <f>VLOOKUP(B4134,'REGISTRO ABONOS'!$B$8:$BC$10041,54,0)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hidden="1" x14ac:dyDescent="0.2">
      <c r="B4135" s="31">
        <v>4126</v>
      </c>
      <c r="J4135">
        <f t="shared" si="69"/>
        <v>105000</v>
      </c>
      <c r="K4135" t="e">
        <f>VLOOKUP(B4135,'REGISTRO ABONOS'!$B$8:$BC$10041,54,0)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hidden="1" x14ac:dyDescent="0.2">
      <c r="B4136" s="31">
        <v>4127</v>
      </c>
      <c r="J4136">
        <f t="shared" si="69"/>
        <v>105000</v>
      </c>
      <c r="K4136" t="e">
        <f>VLOOKUP(B4136,'REGISTRO ABONOS'!$B$8:$BC$10041,54,0)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hidden="1" x14ac:dyDescent="0.2">
      <c r="B4137" s="31">
        <v>4128</v>
      </c>
      <c r="J4137">
        <f t="shared" si="69"/>
        <v>105000</v>
      </c>
      <c r="K4137" t="e">
        <f>VLOOKUP(B4137,'REGISTRO ABONOS'!$B$8:$BC$10041,54,0)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hidden="1" x14ac:dyDescent="0.2">
      <c r="B4138" s="31">
        <v>4129</v>
      </c>
      <c r="J4138">
        <f t="shared" si="69"/>
        <v>105000</v>
      </c>
      <c r="K4138" t="e">
        <f>VLOOKUP(B4138,'REGISTRO ABONOS'!$B$8:$BC$10041,54,0)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hidden="1" x14ac:dyDescent="0.2">
      <c r="B4139" s="31">
        <v>4130</v>
      </c>
      <c r="J4139">
        <f t="shared" si="69"/>
        <v>105000</v>
      </c>
      <c r="K4139" t="e">
        <f>VLOOKUP(B4139,'REGISTRO ABONOS'!$B$8:$BC$10041,54,0)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hidden="1" x14ac:dyDescent="0.2">
      <c r="B4140" s="31">
        <v>4131</v>
      </c>
      <c r="J4140">
        <f t="shared" si="69"/>
        <v>105000</v>
      </c>
      <c r="K4140" t="e">
        <f>VLOOKUP(B4140,'REGISTRO ABONOS'!$B$8:$BC$10041,54,0)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hidden="1" x14ac:dyDescent="0.2">
      <c r="B4141" s="31">
        <v>4132</v>
      </c>
      <c r="J4141">
        <f t="shared" si="69"/>
        <v>105000</v>
      </c>
      <c r="K4141" t="e">
        <f>VLOOKUP(B4141,'REGISTRO ABONOS'!$B$8:$BC$10041,54,0)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hidden="1" x14ac:dyDescent="0.2">
      <c r="B4142" s="31">
        <v>4133</v>
      </c>
      <c r="J4142">
        <f t="shared" si="69"/>
        <v>105000</v>
      </c>
      <c r="K4142" t="e">
        <f>VLOOKUP(B4142,'REGISTRO ABONOS'!$B$8:$BC$10041,54,0)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hidden="1" x14ac:dyDescent="0.2">
      <c r="B4143" s="31">
        <v>4134</v>
      </c>
      <c r="J4143">
        <f t="shared" si="69"/>
        <v>105000</v>
      </c>
      <c r="K4143" t="e">
        <f>VLOOKUP(B4143,'REGISTRO ABONOS'!$B$8:$BC$10041,54,0)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hidden="1" x14ac:dyDescent="0.2">
      <c r="B4144" s="31">
        <v>4135</v>
      </c>
      <c r="J4144">
        <f t="shared" si="69"/>
        <v>105000</v>
      </c>
      <c r="K4144" t="e">
        <f>VLOOKUP(B4144,'REGISTRO ABONOS'!$B$8:$BC$10041,54,0)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hidden="1" x14ac:dyDescent="0.2">
      <c r="B4145" s="31">
        <v>4136</v>
      </c>
      <c r="J4145">
        <f t="shared" si="69"/>
        <v>105000</v>
      </c>
      <c r="K4145" t="e">
        <f>VLOOKUP(B4145,'REGISTRO ABONOS'!$B$8:$BC$10041,54,0)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hidden="1" x14ac:dyDescent="0.2">
      <c r="B4146" s="31">
        <v>4137</v>
      </c>
      <c r="J4146">
        <f t="shared" si="69"/>
        <v>105000</v>
      </c>
      <c r="K4146" t="e">
        <f>VLOOKUP(B4146,'REGISTRO ABONOS'!$B$8:$BC$10041,54,0)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hidden="1" x14ac:dyDescent="0.2">
      <c r="B4147" s="31">
        <v>4138</v>
      </c>
      <c r="J4147">
        <f t="shared" si="69"/>
        <v>105000</v>
      </c>
      <c r="K4147" t="e">
        <f>VLOOKUP(B4147,'REGISTRO ABONOS'!$B$8:$BC$10041,54,0)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hidden="1" x14ac:dyDescent="0.2">
      <c r="B4148" s="31">
        <v>4139</v>
      </c>
      <c r="J4148">
        <f t="shared" si="69"/>
        <v>105000</v>
      </c>
      <c r="K4148" t="e">
        <f>VLOOKUP(B4148,'REGISTRO ABONOS'!$B$8:$BC$10041,54,0)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hidden="1" x14ac:dyDescent="0.2">
      <c r="B4149" s="31">
        <v>4140</v>
      </c>
      <c r="J4149">
        <f t="shared" si="69"/>
        <v>105000</v>
      </c>
      <c r="K4149" t="e">
        <f>VLOOKUP(B4149,'REGISTRO ABONOS'!$B$8:$BC$10041,54,0)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hidden="1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ABONOS'!$B$8:$BC$10041,54,0)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hidden="1" x14ac:dyDescent="0.2">
      <c r="B4151" s="31">
        <v>4142</v>
      </c>
      <c r="J4151">
        <f t="shared" si="70"/>
        <v>105000</v>
      </c>
      <c r="K4151" t="e">
        <f>VLOOKUP(B4151,'REGISTRO ABONOS'!$B$8:$BC$10041,54,0)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hidden="1" x14ac:dyDescent="0.2">
      <c r="B4152" s="31">
        <v>4143</v>
      </c>
      <c r="J4152">
        <f t="shared" si="70"/>
        <v>105000</v>
      </c>
      <c r="K4152" t="e">
        <f>VLOOKUP(B4152,'REGISTRO ABONOS'!$B$8:$BC$10041,54,0)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hidden="1" x14ac:dyDescent="0.2">
      <c r="B4153" s="31">
        <v>4144</v>
      </c>
      <c r="J4153">
        <f t="shared" si="70"/>
        <v>105000</v>
      </c>
      <c r="K4153" t="e">
        <f>VLOOKUP(B4153,'REGISTRO ABONOS'!$B$8:$BC$10041,54,0)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hidden="1" x14ac:dyDescent="0.2">
      <c r="B4154" s="31">
        <v>4145</v>
      </c>
      <c r="J4154">
        <f t="shared" si="70"/>
        <v>105000</v>
      </c>
      <c r="K4154" t="e">
        <f>VLOOKUP(B4154,'REGISTRO ABONOS'!$B$8:$BC$10041,54,0)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hidden="1" x14ac:dyDescent="0.2">
      <c r="B4155" s="31">
        <v>4146</v>
      </c>
      <c r="J4155">
        <f t="shared" si="70"/>
        <v>105000</v>
      </c>
      <c r="K4155" t="e">
        <f>VLOOKUP(B4155,'REGISTRO ABONOS'!$B$8:$BC$10041,54,0)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hidden="1" x14ac:dyDescent="0.2">
      <c r="B4156" s="31">
        <v>4147</v>
      </c>
      <c r="J4156">
        <f t="shared" si="70"/>
        <v>105000</v>
      </c>
      <c r="K4156" t="e">
        <f>VLOOKUP(B4156,'REGISTRO ABONOS'!$B$8:$BC$10041,54,0)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hidden="1" x14ac:dyDescent="0.2">
      <c r="B4157" s="31">
        <v>4148</v>
      </c>
      <c r="J4157">
        <f t="shared" si="70"/>
        <v>105000</v>
      </c>
      <c r="K4157" t="e">
        <f>VLOOKUP(B4157,'REGISTRO ABONOS'!$B$8:$BC$10041,54,0)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hidden="1" x14ac:dyDescent="0.2">
      <c r="B4158" s="31">
        <v>4149</v>
      </c>
      <c r="J4158">
        <f t="shared" si="70"/>
        <v>105000</v>
      </c>
      <c r="K4158" t="e">
        <f>VLOOKUP(B4158,'REGISTRO ABONOS'!$B$8:$BC$10041,54,0)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hidden="1" x14ac:dyDescent="0.2">
      <c r="B4159" s="31">
        <v>4150</v>
      </c>
      <c r="J4159">
        <f t="shared" si="70"/>
        <v>105000</v>
      </c>
      <c r="K4159" t="e">
        <f>VLOOKUP(B4159,'REGISTRO ABONOS'!$B$8:$BC$10041,54,0)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hidden="1" x14ac:dyDescent="0.2">
      <c r="B4160" s="31">
        <v>4151</v>
      </c>
      <c r="J4160">
        <f t="shared" si="70"/>
        <v>105000</v>
      </c>
      <c r="K4160" t="e">
        <f>VLOOKUP(B4160,'REGISTRO ABONOS'!$B$8:$BC$10041,54,0)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hidden="1" x14ac:dyDescent="0.2">
      <c r="B4161" s="31">
        <v>4152</v>
      </c>
      <c r="J4161">
        <f t="shared" si="70"/>
        <v>105000</v>
      </c>
      <c r="K4161" t="e">
        <f>VLOOKUP(B4161,'REGISTRO ABONOS'!$B$8:$BC$10041,54,0)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hidden="1" x14ac:dyDescent="0.2">
      <c r="B4162" s="31">
        <v>4153</v>
      </c>
      <c r="J4162">
        <f t="shared" si="70"/>
        <v>105000</v>
      </c>
      <c r="K4162" t="e">
        <f>VLOOKUP(B4162,'REGISTRO ABONOS'!$B$8:$BC$10041,54,0)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hidden="1" x14ac:dyDescent="0.2">
      <c r="B4163" s="31">
        <v>4154</v>
      </c>
      <c r="J4163">
        <f t="shared" si="70"/>
        <v>105000</v>
      </c>
      <c r="K4163" t="e">
        <f>VLOOKUP(B4163,'REGISTRO ABONOS'!$B$8:$BC$10041,54,0)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hidden="1" x14ac:dyDescent="0.2">
      <c r="B4164" s="31">
        <v>4155</v>
      </c>
      <c r="J4164">
        <f t="shared" si="70"/>
        <v>105000</v>
      </c>
      <c r="K4164" t="e">
        <f>VLOOKUP(B4164,'REGISTRO ABONOS'!$B$8:$BC$10041,54,0)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hidden="1" x14ac:dyDescent="0.2">
      <c r="B4165" s="31">
        <v>4156</v>
      </c>
      <c r="J4165">
        <f t="shared" si="70"/>
        <v>105000</v>
      </c>
      <c r="K4165" t="e">
        <f>VLOOKUP(B4165,'REGISTRO ABONOS'!$B$8:$BC$10041,54,0)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hidden="1" x14ac:dyDescent="0.2">
      <c r="B4166" s="31">
        <v>4157</v>
      </c>
      <c r="J4166">
        <f t="shared" si="70"/>
        <v>105000</v>
      </c>
      <c r="K4166" t="e">
        <f>VLOOKUP(B4166,'REGISTRO ABONOS'!$B$8:$BC$10041,54,0)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hidden="1" x14ac:dyDescent="0.2">
      <c r="B4167" s="31">
        <v>4158</v>
      </c>
      <c r="J4167">
        <f t="shared" si="70"/>
        <v>105000</v>
      </c>
      <c r="K4167" t="e">
        <f>VLOOKUP(B4167,'REGISTRO ABONOS'!$B$8:$BC$10041,54,0)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hidden="1" x14ac:dyDescent="0.2">
      <c r="B4168" s="31">
        <v>4159</v>
      </c>
      <c r="J4168">
        <f t="shared" si="70"/>
        <v>105000</v>
      </c>
      <c r="K4168" t="e">
        <f>VLOOKUP(B4168,'REGISTRO ABONOS'!$B$8:$BC$10041,54,0)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hidden="1" x14ac:dyDescent="0.2">
      <c r="B4169" s="31">
        <v>4160</v>
      </c>
      <c r="J4169">
        <f t="shared" si="70"/>
        <v>105000</v>
      </c>
      <c r="K4169" t="e">
        <f>VLOOKUP(B4169,'REGISTRO ABONOS'!$B$8:$BC$10041,54,0)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hidden="1" x14ac:dyDescent="0.2">
      <c r="B4170" s="31">
        <v>4161</v>
      </c>
      <c r="J4170">
        <f t="shared" si="70"/>
        <v>105000</v>
      </c>
      <c r="K4170" t="e">
        <f>VLOOKUP(B4170,'REGISTRO ABONOS'!$B$8:$BC$10041,54,0)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hidden="1" x14ac:dyDescent="0.2">
      <c r="B4171" s="31">
        <v>4162</v>
      </c>
      <c r="J4171">
        <f t="shared" si="70"/>
        <v>105000</v>
      </c>
      <c r="K4171" t="e">
        <f>VLOOKUP(B4171,'REGISTRO ABONOS'!$B$8:$BC$10041,54,0)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hidden="1" x14ac:dyDescent="0.2">
      <c r="B4172" s="31">
        <v>4163</v>
      </c>
      <c r="J4172">
        <f t="shared" si="70"/>
        <v>105000</v>
      </c>
      <c r="K4172" t="e">
        <f>VLOOKUP(B4172,'REGISTRO ABONOS'!$B$8:$BC$10041,54,0)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hidden="1" x14ac:dyDescent="0.2">
      <c r="B4173" s="31">
        <v>4164</v>
      </c>
      <c r="J4173">
        <f t="shared" si="70"/>
        <v>105000</v>
      </c>
      <c r="K4173" t="e">
        <f>VLOOKUP(B4173,'REGISTRO ABONOS'!$B$8:$BC$10041,54,0)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hidden="1" x14ac:dyDescent="0.2">
      <c r="B4174" s="31">
        <v>4165</v>
      </c>
      <c r="J4174">
        <f t="shared" si="70"/>
        <v>105000</v>
      </c>
      <c r="K4174" t="e">
        <f>VLOOKUP(B4174,'REGISTRO ABONOS'!$B$8:$BC$10041,54,0)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hidden="1" x14ac:dyDescent="0.2">
      <c r="B4175" s="31">
        <v>4166</v>
      </c>
      <c r="J4175">
        <f t="shared" si="70"/>
        <v>105000</v>
      </c>
      <c r="K4175" t="e">
        <f>VLOOKUP(B4175,'REGISTRO ABONOS'!$B$8:$BC$10041,54,0)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hidden="1" x14ac:dyDescent="0.2">
      <c r="B4176" s="31">
        <v>4167</v>
      </c>
      <c r="J4176">
        <f t="shared" si="70"/>
        <v>105000</v>
      </c>
      <c r="K4176" t="e">
        <f>VLOOKUP(B4176,'REGISTRO ABONOS'!$B$8:$BC$10041,54,0)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hidden="1" x14ac:dyDescent="0.2">
      <c r="B4177" s="31">
        <v>4168</v>
      </c>
      <c r="J4177">
        <f t="shared" si="70"/>
        <v>105000</v>
      </c>
      <c r="K4177" t="e">
        <f>VLOOKUP(B4177,'REGISTRO ABONOS'!$B$8:$BC$10041,54,0)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hidden="1" x14ac:dyDescent="0.2">
      <c r="B4178" s="31">
        <v>4169</v>
      </c>
      <c r="J4178">
        <f t="shared" si="70"/>
        <v>105000</v>
      </c>
      <c r="K4178" t="e">
        <f>VLOOKUP(B4178,'REGISTRO ABONOS'!$B$8:$BC$10041,54,0)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hidden="1" x14ac:dyDescent="0.2">
      <c r="B4179" s="31">
        <v>4170</v>
      </c>
      <c r="J4179">
        <f t="shared" si="70"/>
        <v>105000</v>
      </c>
      <c r="K4179" t="e">
        <f>VLOOKUP(B4179,'REGISTRO ABONOS'!$B$8:$BC$10041,54,0)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hidden="1" x14ac:dyDescent="0.2">
      <c r="B4180" s="31">
        <v>4171</v>
      </c>
      <c r="J4180">
        <f t="shared" si="70"/>
        <v>105000</v>
      </c>
      <c r="K4180" t="e">
        <f>VLOOKUP(B4180,'REGISTRO ABONOS'!$B$8:$BC$10041,54,0)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hidden="1" x14ac:dyDescent="0.2">
      <c r="B4181" s="31">
        <v>4172</v>
      </c>
      <c r="J4181">
        <f t="shared" si="70"/>
        <v>105000</v>
      </c>
      <c r="K4181" t="e">
        <f>VLOOKUP(B4181,'REGISTRO ABONOS'!$B$8:$BC$10041,54,0)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hidden="1" x14ac:dyDescent="0.2">
      <c r="B4182" s="31">
        <v>4173</v>
      </c>
      <c r="J4182">
        <f t="shared" si="70"/>
        <v>105000</v>
      </c>
      <c r="K4182" t="e">
        <f>VLOOKUP(B4182,'REGISTRO ABONOS'!$B$8:$BC$10041,54,0)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hidden="1" x14ac:dyDescent="0.2">
      <c r="B4183" s="31">
        <v>4174</v>
      </c>
      <c r="J4183">
        <f t="shared" si="70"/>
        <v>105000</v>
      </c>
      <c r="K4183" t="e">
        <f>VLOOKUP(B4183,'REGISTRO ABONOS'!$B$8:$BC$10041,54,0)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hidden="1" x14ac:dyDescent="0.2">
      <c r="B4184" s="31">
        <v>4175</v>
      </c>
      <c r="J4184">
        <f t="shared" si="70"/>
        <v>105000</v>
      </c>
      <c r="K4184" t="e">
        <f>VLOOKUP(B4184,'REGISTRO ABONOS'!$B$8:$BC$10041,54,0)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hidden="1" x14ac:dyDescent="0.2">
      <c r="B4185" s="31">
        <v>4176</v>
      </c>
      <c r="J4185">
        <f t="shared" si="70"/>
        <v>105000</v>
      </c>
      <c r="K4185" t="e">
        <f>VLOOKUP(B4185,'REGISTRO ABONOS'!$B$8:$BC$10041,54,0)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hidden="1" x14ac:dyDescent="0.2">
      <c r="B4186" s="31">
        <v>4177</v>
      </c>
      <c r="J4186">
        <f t="shared" si="70"/>
        <v>105000</v>
      </c>
      <c r="K4186" t="e">
        <f>VLOOKUP(B4186,'REGISTRO ABONOS'!$B$8:$BC$10041,54,0)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hidden="1" x14ac:dyDescent="0.2">
      <c r="B4187" s="31">
        <v>4178</v>
      </c>
      <c r="J4187">
        <f t="shared" si="70"/>
        <v>105000</v>
      </c>
      <c r="K4187" t="e">
        <f>VLOOKUP(B4187,'REGISTRO ABONOS'!$B$8:$BC$10041,54,0)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hidden="1" x14ac:dyDescent="0.2">
      <c r="B4188" s="31">
        <v>4179</v>
      </c>
      <c r="J4188">
        <f t="shared" si="70"/>
        <v>105000</v>
      </c>
      <c r="K4188" t="e">
        <f>VLOOKUP(B4188,'REGISTRO ABONOS'!$B$8:$BC$10041,54,0)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hidden="1" x14ac:dyDescent="0.2">
      <c r="B4189" s="31">
        <v>4180</v>
      </c>
      <c r="J4189">
        <f t="shared" si="70"/>
        <v>105000</v>
      </c>
      <c r="K4189" t="e">
        <f>VLOOKUP(B4189,'REGISTRO ABONOS'!$B$8:$BC$10041,54,0)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hidden="1" x14ac:dyDescent="0.2">
      <c r="B4190" s="31">
        <v>4181</v>
      </c>
      <c r="J4190">
        <f t="shared" si="70"/>
        <v>105000</v>
      </c>
      <c r="K4190" t="e">
        <f>VLOOKUP(B4190,'REGISTRO ABONOS'!$B$8:$BC$10041,54,0)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hidden="1" x14ac:dyDescent="0.2">
      <c r="B4191" s="31">
        <v>4182</v>
      </c>
      <c r="J4191">
        <f t="shared" si="70"/>
        <v>105000</v>
      </c>
      <c r="K4191" t="e">
        <f>VLOOKUP(B4191,'REGISTRO ABONOS'!$B$8:$BC$10041,54,0)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hidden="1" x14ac:dyDescent="0.2">
      <c r="B4192" s="31">
        <v>4183</v>
      </c>
      <c r="J4192">
        <f t="shared" si="70"/>
        <v>105000</v>
      </c>
      <c r="K4192" t="e">
        <f>VLOOKUP(B4192,'REGISTRO ABONOS'!$B$8:$BC$10041,54,0)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hidden="1" x14ac:dyDescent="0.2">
      <c r="B4193" s="31">
        <v>4184</v>
      </c>
      <c r="J4193">
        <f t="shared" si="70"/>
        <v>105000</v>
      </c>
      <c r="K4193" t="e">
        <f>VLOOKUP(B4193,'REGISTRO ABONOS'!$B$8:$BC$10041,54,0)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hidden="1" x14ac:dyDescent="0.2">
      <c r="B4194" s="31">
        <v>4185</v>
      </c>
      <c r="J4194">
        <f t="shared" si="70"/>
        <v>105000</v>
      </c>
      <c r="K4194" t="e">
        <f>VLOOKUP(B4194,'REGISTRO ABONOS'!$B$8:$BC$10041,54,0)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hidden="1" x14ac:dyDescent="0.2">
      <c r="B4195" s="31">
        <v>4186</v>
      </c>
      <c r="J4195">
        <f t="shared" si="70"/>
        <v>105000</v>
      </c>
      <c r="K4195" t="e">
        <f>VLOOKUP(B4195,'REGISTRO ABONOS'!$B$8:$BC$10041,54,0)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hidden="1" x14ac:dyDescent="0.2">
      <c r="B4196" s="31">
        <v>4187</v>
      </c>
      <c r="J4196">
        <f t="shared" si="70"/>
        <v>105000</v>
      </c>
      <c r="K4196" t="e">
        <f>VLOOKUP(B4196,'REGISTRO ABONOS'!$B$8:$BC$10041,54,0)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hidden="1" x14ac:dyDescent="0.2">
      <c r="B4197" s="31">
        <v>4188</v>
      </c>
      <c r="J4197">
        <f t="shared" si="70"/>
        <v>105000</v>
      </c>
      <c r="K4197" t="e">
        <f>VLOOKUP(B4197,'REGISTRO ABONOS'!$B$8:$BC$10041,54,0)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hidden="1" x14ac:dyDescent="0.2">
      <c r="B4198" s="31">
        <v>4189</v>
      </c>
      <c r="J4198">
        <f t="shared" si="70"/>
        <v>105000</v>
      </c>
      <c r="K4198" t="e">
        <f>VLOOKUP(B4198,'REGISTRO ABONOS'!$B$8:$BC$10041,54,0)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hidden="1" x14ac:dyDescent="0.2">
      <c r="B4199" s="31">
        <v>4190</v>
      </c>
      <c r="J4199">
        <f t="shared" si="70"/>
        <v>105000</v>
      </c>
      <c r="K4199" t="e">
        <f>VLOOKUP(B4199,'REGISTRO ABONOS'!$B$8:$BC$10041,54,0)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hidden="1" x14ac:dyDescent="0.2">
      <c r="B4200" s="31">
        <v>4191</v>
      </c>
      <c r="J4200">
        <f t="shared" si="70"/>
        <v>105000</v>
      </c>
      <c r="K4200" t="e">
        <f>VLOOKUP(B4200,'REGISTRO ABONOS'!$B$8:$BC$10041,54,0)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hidden="1" x14ac:dyDescent="0.2">
      <c r="B4201" s="31">
        <v>4192</v>
      </c>
      <c r="J4201">
        <f t="shared" si="70"/>
        <v>105000</v>
      </c>
      <c r="K4201" t="e">
        <f>VLOOKUP(B4201,'REGISTRO ABONOS'!$B$8:$BC$10041,54,0)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hidden="1" x14ac:dyDescent="0.2">
      <c r="B4202" s="31">
        <v>4193</v>
      </c>
      <c r="J4202">
        <f t="shared" si="70"/>
        <v>105000</v>
      </c>
      <c r="K4202" t="e">
        <f>VLOOKUP(B4202,'REGISTRO ABONOS'!$B$8:$BC$10041,54,0)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hidden="1" x14ac:dyDescent="0.2">
      <c r="B4203" s="31">
        <v>4194</v>
      </c>
      <c r="J4203">
        <f t="shared" si="70"/>
        <v>105000</v>
      </c>
      <c r="K4203" t="e">
        <f>VLOOKUP(B4203,'REGISTRO ABONOS'!$B$8:$BC$10041,54,0)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hidden="1" x14ac:dyDescent="0.2">
      <c r="B4204" s="31">
        <v>4195</v>
      </c>
      <c r="J4204">
        <f t="shared" si="70"/>
        <v>105000</v>
      </c>
      <c r="K4204" t="e">
        <f>VLOOKUP(B4204,'REGISTRO ABONOS'!$B$8:$BC$10041,54,0)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hidden="1" x14ac:dyDescent="0.2">
      <c r="B4205" s="31">
        <v>4196</v>
      </c>
      <c r="J4205">
        <f t="shared" si="70"/>
        <v>105000</v>
      </c>
      <c r="K4205" t="e">
        <f>VLOOKUP(B4205,'REGISTRO ABONOS'!$B$8:$BC$10041,54,0)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hidden="1" x14ac:dyDescent="0.2">
      <c r="B4206" s="31">
        <v>4197</v>
      </c>
      <c r="J4206">
        <f t="shared" si="70"/>
        <v>105000</v>
      </c>
      <c r="K4206" t="e">
        <f>VLOOKUP(B4206,'REGISTRO ABONOS'!$B$8:$BC$10041,54,0)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hidden="1" x14ac:dyDescent="0.2">
      <c r="B4207" s="31">
        <v>4198</v>
      </c>
      <c r="J4207">
        <f t="shared" si="70"/>
        <v>105000</v>
      </c>
      <c r="K4207" t="e">
        <f>VLOOKUP(B4207,'REGISTRO ABONOS'!$B$8:$BC$10041,54,0)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hidden="1" x14ac:dyDescent="0.2">
      <c r="B4208" s="31">
        <v>4199</v>
      </c>
      <c r="J4208">
        <f t="shared" si="70"/>
        <v>105000</v>
      </c>
      <c r="K4208" t="e">
        <f>VLOOKUP(B4208,'REGISTRO ABONOS'!$B$8:$BC$10041,54,0)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hidden="1" x14ac:dyDescent="0.2">
      <c r="B4209" s="31">
        <v>4200</v>
      </c>
      <c r="J4209">
        <f t="shared" si="70"/>
        <v>105000</v>
      </c>
      <c r="K4209" t="e">
        <f>VLOOKUP(B4209,'REGISTRO ABONOS'!$B$8:$BC$10041,54,0)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hidden="1" x14ac:dyDescent="0.2">
      <c r="B4210" s="31">
        <v>4201</v>
      </c>
      <c r="J4210">
        <f t="shared" si="70"/>
        <v>105000</v>
      </c>
      <c r="K4210" t="e">
        <f>VLOOKUP(B4210,'REGISTRO ABONOS'!$B$8:$BC$10041,54,0)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hidden="1" x14ac:dyDescent="0.2">
      <c r="B4211" s="31">
        <v>4202</v>
      </c>
      <c r="J4211">
        <f t="shared" si="70"/>
        <v>105000</v>
      </c>
      <c r="K4211" t="e">
        <f>VLOOKUP(B4211,'REGISTRO ABONOS'!$B$8:$BC$10041,54,0)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hidden="1" x14ac:dyDescent="0.2">
      <c r="B4212" s="31">
        <v>4203</v>
      </c>
      <c r="J4212">
        <f t="shared" si="70"/>
        <v>105000</v>
      </c>
      <c r="K4212" t="e">
        <f>VLOOKUP(B4212,'REGISTRO ABONOS'!$B$8:$BC$10041,54,0)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hidden="1" x14ac:dyDescent="0.2">
      <c r="B4213" s="31">
        <v>4204</v>
      </c>
      <c r="J4213">
        <f t="shared" si="70"/>
        <v>105000</v>
      </c>
      <c r="K4213" t="e">
        <f>VLOOKUP(B4213,'REGISTRO ABONOS'!$B$8:$BC$10041,54,0)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hidden="1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ABONOS'!$B$8:$BC$10041,54,0)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hidden="1" x14ac:dyDescent="0.2">
      <c r="B4215" s="31">
        <v>4206</v>
      </c>
      <c r="J4215">
        <f t="shared" si="71"/>
        <v>105000</v>
      </c>
      <c r="K4215" t="e">
        <f>VLOOKUP(B4215,'REGISTRO ABONOS'!$B$8:$BC$10041,54,0)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hidden="1" x14ac:dyDescent="0.2">
      <c r="B4216" s="31">
        <v>4207</v>
      </c>
      <c r="J4216">
        <f t="shared" si="71"/>
        <v>105000</v>
      </c>
      <c r="K4216" t="e">
        <f>VLOOKUP(B4216,'REGISTRO ABONOS'!$B$8:$BC$10041,54,0)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hidden="1" x14ac:dyDescent="0.2">
      <c r="B4217" s="31">
        <v>4208</v>
      </c>
      <c r="J4217">
        <f t="shared" si="71"/>
        <v>105000</v>
      </c>
      <c r="K4217" t="e">
        <f>VLOOKUP(B4217,'REGISTRO ABONOS'!$B$8:$BC$10041,54,0)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hidden="1" x14ac:dyDescent="0.2">
      <c r="B4218" s="31">
        <v>4209</v>
      </c>
      <c r="J4218">
        <f t="shared" si="71"/>
        <v>105000</v>
      </c>
      <c r="K4218" t="e">
        <f>VLOOKUP(B4218,'REGISTRO ABONOS'!$B$8:$BC$10041,54,0)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hidden="1" x14ac:dyDescent="0.2">
      <c r="B4219" s="31">
        <v>4210</v>
      </c>
      <c r="J4219">
        <f t="shared" si="71"/>
        <v>105000</v>
      </c>
      <c r="K4219" t="e">
        <f>VLOOKUP(B4219,'REGISTRO ABONOS'!$B$8:$BC$10041,54,0)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hidden="1" x14ac:dyDescent="0.2">
      <c r="B4220" s="31">
        <v>4211</v>
      </c>
      <c r="J4220">
        <f t="shared" si="71"/>
        <v>105000</v>
      </c>
      <c r="K4220" t="e">
        <f>VLOOKUP(B4220,'REGISTRO ABONOS'!$B$8:$BC$10041,54,0)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hidden="1" x14ac:dyDescent="0.2">
      <c r="B4221" s="31">
        <v>4212</v>
      </c>
      <c r="J4221">
        <f t="shared" si="71"/>
        <v>105000</v>
      </c>
      <c r="K4221" t="e">
        <f>VLOOKUP(B4221,'REGISTRO ABONOS'!$B$8:$BC$10041,54,0)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hidden="1" x14ac:dyDescent="0.2">
      <c r="B4222" s="31">
        <v>4213</v>
      </c>
      <c r="J4222">
        <f t="shared" si="71"/>
        <v>105000</v>
      </c>
      <c r="K4222" t="e">
        <f>VLOOKUP(B4222,'REGISTRO ABONOS'!$B$8:$BC$10041,54,0)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hidden="1" x14ac:dyDescent="0.2">
      <c r="B4223" s="31">
        <v>4214</v>
      </c>
      <c r="J4223">
        <f t="shared" si="71"/>
        <v>105000</v>
      </c>
      <c r="K4223" t="e">
        <f>VLOOKUP(B4223,'REGISTRO ABONOS'!$B$8:$BC$10041,54,0)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hidden="1" x14ac:dyDescent="0.2">
      <c r="B4224" s="31">
        <v>4215</v>
      </c>
      <c r="J4224">
        <f t="shared" si="71"/>
        <v>105000</v>
      </c>
      <c r="K4224" t="e">
        <f>VLOOKUP(B4224,'REGISTRO ABONOS'!$B$8:$BC$10041,54,0)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hidden="1" x14ac:dyDescent="0.2">
      <c r="B4225" s="31">
        <v>4216</v>
      </c>
      <c r="J4225">
        <f t="shared" si="71"/>
        <v>105000</v>
      </c>
      <c r="K4225" t="e">
        <f>VLOOKUP(B4225,'REGISTRO ABONOS'!$B$8:$BC$10041,54,0)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hidden="1" x14ac:dyDescent="0.2">
      <c r="B4226" s="31">
        <v>4217</v>
      </c>
      <c r="J4226">
        <f t="shared" si="71"/>
        <v>105000</v>
      </c>
      <c r="K4226" t="e">
        <f>VLOOKUP(B4226,'REGISTRO ABONOS'!$B$8:$BC$10041,54,0)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hidden="1" x14ac:dyDescent="0.2">
      <c r="B4227" s="31">
        <v>4218</v>
      </c>
      <c r="J4227">
        <f t="shared" si="71"/>
        <v>105000</v>
      </c>
      <c r="K4227" t="e">
        <f>VLOOKUP(B4227,'REGISTRO ABONOS'!$B$8:$BC$10041,54,0)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hidden="1" x14ac:dyDescent="0.2">
      <c r="B4228" s="31">
        <v>4219</v>
      </c>
      <c r="J4228">
        <f t="shared" si="71"/>
        <v>105000</v>
      </c>
      <c r="K4228" t="e">
        <f>VLOOKUP(B4228,'REGISTRO ABONOS'!$B$8:$BC$10041,54,0)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hidden="1" x14ac:dyDescent="0.2">
      <c r="B4229" s="31">
        <v>4220</v>
      </c>
      <c r="J4229">
        <f t="shared" si="71"/>
        <v>105000</v>
      </c>
      <c r="K4229" t="e">
        <f>VLOOKUP(B4229,'REGISTRO ABONOS'!$B$8:$BC$10041,54,0)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hidden="1" x14ac:dyDescent="0.2">
      <c r="B4230" s="31">
        <v>4221</v>
      </c>
      <c r="J4230">
        <f t="shared" si="71"/>
        <v>105000</v>
      </c>
      <c r="K4230" t="e">
        <f>VLOOKUP(B4230,'REGISTRO ABONOS'!$B$8:$BC$10041,54,0)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hidden="1" x14ac:dyDescent="0.2">
      <c r="B4231" s="31">
        <v>4222</v>
      </c>
      <c r="J4231">
        <f t="shared" si="71"/>
        <v>105000</v>
      </c>
      <c r="K4231" t="e">
        <f>VLOOKUP(B4231,'REGISTRO ABONOS'!$B$8:$BC$10041,54,0)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hidden="1" x14ac:dyDescent="0.2">
      <c r="B4232" s="31">
        <v>4223</v>
      </c>
      <c r="J4232">
        <f t="shared" si="71"/>
        <v>105000</v>
      </c>
      <c r="K4232" t="e">
        <f>VLOOKUP(B4232,'REGISTRO ABONOS'!$B$8:$BC$10041,54,0)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hidden="1" x14ac:dyDescent="0.2">
      <c r="B4233" s="31">
        <v>4224</v>
      </c>
      <c r="J4233">
        <f t="shared" si="71"/>
        <v>105000</v>
      </c>
      <c r="K4233" t="e">
        <f>VLOOKUP(B4233,'REGISTRO ABONOS'!$B$8:$BC$10041,54,0)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hidden="1" x14ac:dyDescent="0.2">
      <c r="B4234" s="31">
        <v>4225</v>
      </c>
      <c r="J4234">
        <f t="shared" si="71"/>
        <v>105000</v>
      </c>
      <c r="K4234" t="e">
        <f>VLOOKUP(B4234,'REGISTRO ABONOS'!$B$8:$BC$10041,54,0)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hidden="1" x14ac:dyDescent="0.2">
      <c r="B4235" s="31">
        <v>4226</v>
      </c>
      <c r="J4235">
        <f t="shared" si="71"/>
        <v>105000</v>
      </c>
      <c r="K4235" t="e">
        <f>VLOOKUP(B4235,'REGISTRO ABONOS'!$B$8:$BC$10041,54,0)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hidden="1" x14ac:dyDescent="0.2">
      <c r="B4236" s="31">
        <v>4227</v>
      </c>
      <c r="J4236">
        <f t="shared" si="71"/>
        <v>105000</v>
      </c>
      <c r="K4236" t="e">
        <f>VLOOKUP(B4236,'REGISTRO ABONOS'!$B$8:$BC$10041,54,0)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hidden="1" x14ac:dyDescent="0.2">
      <c r="B4237" s="31">
        <v>4228</v>
      </c>
      <c r="J4237">
        <f t="shared" si="71"/>
        <v>105000</v>
      </c>
      <c r="K4237" t="e">
        <f>VLOOKUP(B4237,'REGISTRO ABONOS'!$B$8:$BC$10041,54,0)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hidden="1" x14ac:dyDescent="0.2">
      <c r="B4238" s="31">
        <v>4229</v>
      </c>
      <c r="J4238">
        <f t="shared" si="71"/>
        <v>105000</v>
      </c>
      <c r="K4238" t="e">
        <f>VLOOKUP(B4238,'REGISTRO ABONOS'!$B$8:$BC$10041,54,0)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hidden="1" x14ac:dyDescent="0.2">
      <c r="B4239" s="31">
        <v>4230</v>
      </c>
      <c r="J4239">
        <f t="shared" si="71"/>
        <v>105000</v>
      </c>
      <c r="K4239" t="e">
        <f>VLOOKUP(B4239,'REGISTRO ABONOS'!$B$8:$BC$10041,54,0)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hidden="1" x14ac:dyDescent="0.2">
      <c r="B4240" s="31">
        <v>4231</v>
      </c>
      <c r="J4240">
        <f t="shared" si="71"/>
        <v>105000</v>
      </c>
      <c r="K4240" t="e">
        <f>VLOOKUP(B4240,'REGISTRO ABONOS'!$B$8:$BC$10041,54,0)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hidden="1" x14ac:dyDescent="0.2">
      <c r="B4241" s="31">
        <v>4232</v>
      </c>
      <c r="J4241">
        <f t="shared" si="71"/>
        <v>105000</v>
      </c>
      <c r="K4241" t="e">
        <f>VLOOKUP(B4241,'REGISTRO ABONOS'!$B$8:$BC$10041,54,0)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hidden="1" x14ac:dyDescent="0.2">
      <c r="B4242" s="31">
        <v>4233</v>
      </c>
      <c r="J4242">
        <f t="shared" si="71"/>
        <v>105000</v>
      </c>
      <c r="K4242" t="e">
        <f>VLOOKUP(B4242,'REGISTRO ABONOS'!$B$8:$BC$10041,54,0)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hidden="1" x14ac:dyDescent="0.2">
      <c r="B4243" s="31">
        <v>4234</v>
      </c>
      <c r="J4243">
        <f t="shared" si="71"/>
        <v>105000</v>
      </c>
      <c r="K4243" t="e">
        <f>VLOOKUP(B4243,'REGISTRO ABONOS'!$B$8:$BC$10041,54,0)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hidden="1" x14ac:dyDescent="0.2">
      <c r="B4244" s="31">
        <v>4235</v>
      </c>
      <c r="J4244">
        <f t="shared" si="71"/>
        <v>105000</v>
      </c>
      <c r="K4244" t="e">
        <f>VLOOKUP(B4244,'REGISTRO ABONOS'!$B$8:$BC$10041,54,0)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hidden="1" x14ac:dyDescent="0.2">
      <c r="B4245" s="31">
        <v>4236</v>
      </c>
      <c r="J4245">
        <f t="shared" si="71"/>
        <v>105000</v>
      </c>
      <c r="K4245" t="e">
        <f>VLOOKUP(B4245,'REGISTRO ABONOS'!$B$8:$BC$10041,54,0)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hidden="1" x14ac:dyDescent="0.2">
      <c r="B4246" s="31">
        <v>4237</v>
      </c>
      <c r="J4246">
        <f t="shared" si="71"/>
        <v>105000</v>
      </c>
      <c r="K4246" t="e">
        <f>VLOOKUP(B4246,'REGISTRO ABONOS'!$B$8:$BC$10041,54,0)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hidden="1" x14ac:dyDescent="0.2">
      <c r="B4247" s="31">
        <v>4238</v>
      </c>
      <c r="J4247">
        <f t="shared" si="71"/>
        <v>105000</v>
      </c>
      <c r="K4247" t="e">
        <f>VLOOKUP(B4247,'REGISTRO ABONOS'!$B$8:$BC$10041,54,0)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hidden="1" x14ac:dyDescent="0.2">
      <c r="B4248" s="31">
        <v>4239</v>
      </c>
      <c r="J4248">
        <f t="shared" si="71"/>
        <v>105000</v>
      </c>
      <c r="K4248" t="e">
        <f>VLOOKUP(B4248,'REGISTRO ABONOS'!$B$8:$BC$10041,54,0)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hidden="1" x14ac:dyDescent="0.2">
      <c r="B4249" s="31">
        <v>4240</v>
      </c>
      <c r="J4249">
        <f t="shared" si="71"/>
        <v>105000</v>
      </c>
      <c r="K4249" t="e">
        <f>VLOOKUP(B4249,'REGISTRO ABONOS'!$B$8:$BC$10041,54,0)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hidden="1" x14ac:dyDescent="0.2">
      <c r="B4250" s="31">
        <v>4241</v>
      </c>
      <c r="J4250">
        <f t="shared" si="71"/>
        <v>105000</v>
      </c>
      <c r="K4250" t="e">
        <f>VLOOKUP(B4250,'REGISTRO ABONOS'!$B$8:$BC$10041,54,0)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hidden="1" x14ac:dyDescent="0.2">
      <c r="B4251" s="31">
        <v>4242</v>
      </c>
      <c r="J4251">
        <f t="shared" si="71"/>
        <v>105000</v>
      </c>
      <c r="K4251" t="e">
        <f>VLOOKUP(B4251,'REGISTRO ABONOS'!$B$8:$BC$10041,54,0)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hidden="1" x14ac:dyDescent="0.2">
      <c r="B4252" s="31">
        <v>4243</v>
      </c>
      <c r="J4252">
        <f t="shared" si="71"/>
        <v>105000</v>
      </c>
      <c r="K4252" t="e">
        <f>VLOOKUP(B4252,'REGISTRO ABONOS'!$B$8:$BC$10041,54,0)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hidden="1" x14ac:dyDescent="0.2">
      <c r="B4253" s="31">
        <v>4244</v>
      </c>
      <c r="J4253">
        <f t="shared" si="71"/>
        <v>105000</v>
      </c>
      <c r="K4253" t="e">
        <f>VLOOKUP(B4253,'REGISTRO ABONOS'!$B$8:$BC$10041,54,0)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hidden="1" x14ac:dyDescent="0.2">
      <c r="B4254" s="31">
        <v>4245</v>
      </c>
      <c r="J4254">
        <f t="shared" si="71"/>
        <v>105000</v>
      </c>
      <c r="K4254" t="e">
        <f>VLOOKUP(B4254,'REGISTRO ABONOS'!$B$8:$BC$10041,54,0)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hidden="1" x14ac:dyDescent="0.2">
      <c r="B4255" s="31">
        <v>4246</v>
      </c>
      <c r="J4255">
        <f t="shared" si="71"/>
        <v>105000</v>
      </c>
      <c r="K4255" t="e">
        <f>VLOOKUP(B4255,'REGISTRO ABONOS'!$B$8:$BC$10041,54,0)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hidden="1" x14ac:dyDescent="0.2">
      <c r="B4256" s="31">
        <v>4247</v>
      </c>
      <c r="J4256">
        <f t="shared" si="71"/>
        <v>105000</v>
      </c>
      <c r="K4256" t="e">
        <f>VLOOKUP(B4256,'REGISTRO ABONOS'!$B$8:$BC$10041,54,0)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hidden="1" x14ac:dyDescent="0.2">
      <c r="B4257" s="31">
        <v>4248</v>
      </c>
      <c r="J4257">
        <f t="shared" si="71"/>
        <v>105000</v>
      </c>
      <c r="K4257" t="e">
        <f>VLOOKUP(B4257,'REGISTRO ABONOS'!$B$8:$BC$10041,54,0)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hidden="1" x14ac:dyDescent="0.2">
      <c r="B4258" s="31">
        <v>4249</v>
      </c>
      <c r="J4258">
        <f t="shared" si="71"/>
        <v>105000</v>
      </c>
      <c r="K4258" t="e">
        <f>VLOOKUP(B4258,'REGISTRO ABONOS'!$B$8:$BC$10041,54,0)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hidden="1" x14ac:dyDescent="0.2">
      <c r="B4259" s="31">
        <v>4250</v>
      </c>
      <c r="J4259">
        <f t="shared" si="71"/>
        <v>105000</v>
      </c>
      <c r="K4259" t="e">
        <f>VLOOKUP(B4259,'REGISTRO ABONOS'!$B$8:$BC$10041,54,0)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hidden="1" x14ac:dyDescent="0.2">
      <c r="B4260" s="31">
        <v>4251</v>
      </c>
      <c r="J4260">
        <f t="shared" si="71"/>
        <v>105000</v>
      </c>
      <c r="K4260" t="e">
        <f>VLOOKUP(B4260,'REGISTRO ABONOS'!$B$8:$BC$10041,54,0)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hidden="1" x14ac:dyDescent="0.2">
      <c r="B4261" s="31">
        <v>4252</v>
      </c>
      <c r="J4261">
        <f t="shared" si="71"/>
        <v>105000</v>
      </c>
      <c r="K4261" t="e">
        <f>VLOOKUP(B4261,'REGISTRO ABONOS'!$B$8:$BC$10041,54,0)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hidden="1" x14ac:dyDescent="0.2">
      <c r="B4262" s="31">
        <v>4253</v>
      </c>
      <c r="J4262">
        <f t="shared" si="71"/>
        <v>105000</v>
      </c>
      <c r="K4262" t="e">
        <f>VLOOKUP(B4262,'REGISTRO ABONOS'!$B$8:$BC$10041,54,0)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hidden="1" x14ac:dyDescent="0.2">
      <c r="B4263" s="31">
        <v>4254</v>
      </c>
      <c r="J4263">
        <f t="shared" si="71"/>
        <v>105000</v>
      </c>
      <c r="K4263" t="e">
        <f>VLOOKUP(B4263,'REGISTRO ABONOS'!$B$8:$BC$10041,54,0)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hidden="1" x14ac:dyDescent="0.2">
      <c r="B4264" s="31">
        <v>4255</v>
      </c>
      <c r="J4264">
        <f t="shared" si="71"/>
        <v>105000</v>
      </c>
      <c r="K4264" t="e">
        <f>VLOOKUP(B4264,'REGISTRO ABONOS'!$B$8:$BC$10041,54,0)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hidden="1" x14ac:dyDescent="0.2">
      <c r="B4265" s="31">
        <v>4256</v>
      </c>
      <c r="J4265">
        <f t="shared" si="71"/>
        <v>105000</v>
      </c>
      <c r="K4265" t="e">
        <f>VLOOKUP(B4265,'REGISTRO ABONOS'!$B$8:$BC$10041,54,0)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hidden="1" x14ac:dyDescent="0.2">
      <c r="B4266" s="31">
        <v>4257</v>
      </c>
      <c r="J4266">
        <f t="shared" si="71"/>
        <v>105000</v>
      </c>
      <c r="K4266" t="e">
        <f>VLOOKUP(B4266,'REGISTRO ABONOS'!$B$8:$BC$10041,54,0)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hidden="1" x14ac:dyDescent="0.2">
      <c r="B4267" s="31">
        <v>4258</v>
      </c>
      <c r="J4267">
        <f t="shared" si="71"/>
        <v>105000</v>
      </c>
      <c r="K4267" t="e">
        <f>VLOOKUP(B4267,'REGISTRO ABONOS'!$B$8:$BC$10041,54,0)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hidden="1" x14ac:dyDescent="0.2">
      <c r="B4268" s="31">
        <v>4259</v>
      </c>
      <c r="J4268">
        <f t="shared" si="71"/>
        <v>105000</v>
      </c>
      <c r="K4268" t="e">
        <f>VLOOKUP(B4268,'REGISTRO ABONOS'!$B$8:$BC$10041,54,0)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hidden="1" x14ac:dyDescent="0.2">
      <c r="B4269" s="31">
        <v>4260</v>
      </c>
      <c r="J4269">
        <f t="shared" si="71"/>
        <v>105000</v>
      </c>
      <c r="K4269" t="e">
        <f>VLOOKUP(B4269,'REGISTRO ABONOS'!$B$8:$BC$10041,54,0)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hidden="1" x14ac:dyDescent="0.2">
      <c r="B4270" s="31">
        <v>4261</v>
      </c>
      <c r="J4270">
        <f t="shared" si="71"/>
        <v>105000</v>
      </c>
      <c r="K4270" t="e">
        <f>VLOOKUP(B4270,'REGISTRO ABONOS'!$B$8:$BC$10041,54,0)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hidden="1" x14ac:dyDescent="0.2">
      <c r="B4271" s="31">
        <v>4262</v>
      </c>
      <c r="J4271">
        <f t="shared" si="71"/>
        <v>105000</v>
      </c>
      <c r="K4271" t="e">
        <f>VLOOKUP(B4271,'REGISTRO ABONOS'!$B$8:$BC$10041,54,0)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hidden="1" x14ac:dyDescent="0.2">
      <c r="B4272" s="31">
        <v>4263</v>
      </c>
      <c r="J4272">
        <f t="shared" si="71"/>
        <v>105000</v>
      </c>
      <c r="K4272" t="e">
        <f>VLOOKUP(B4272,'REGISTRO ABONOS'!$B$8:$BC$10041,54,0)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hidden="1" x14ac:dyDescent="0.2">
      <c r="B4273" s="31">
        <v>4264</v>
      </c>
      <c r="J4273">
        <f t="shared" si="71"/>
        <v>105000</v>
      </c>
      <c r="K4273" t="e">
        <f>VLOOKUP(B4273,'REGISTRO ABONOS'!$B$8:$BC$10041,54,0)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hidden="1" x14ac:dyDescent="0.2">
      <c r="B4274" s="31">
        <v>4265</v>
      </c>
      <c r="J4274">
        <f t="shared" si="71"/>
        <v>105000</v>
      </c>
      <c r="K4274" t="e">
        <f>VLOOKUP(B4274,'REGISTRO ABONOS'!$B$8:$BC$10041,54,0)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hidden="1" x14ac:dyDescent="0.2">
      <c r="B4275" s="31">
        <v>4266</v>
      </c>
      <c r="J4275">
        <f t="shared" si="71"/>
        <v>105000</v>
      </c>
      <c r="K4275" t="e">
        <f>VLOOKUP(B4275,'REGISTRO ABONOS'!$B$8:$BC$10041,54,0)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hidden="1" x14ac:dyDescent="0.2">
      <c r="B4276" s="31">
        <v>4267</v>
      </c>
      <c r="J4276">
        <f t="shared" si="71"/>
        <v>105000</v>
      </c>
      <c r="K4276" t="e">
        <f>VLOOKUP(B4276,'REGISTRO ABONOS'!$B$8:$BC$10041,54,0)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hidden="1" x14ac:dyDescent="0.2">
      <c r="B4277" s="31">
        <v>4268</v>
      </c>
      <c r="J4277">
        <f t="shared" si="71"/>
        <v>105000</v>
      </c>
      <c r="K4277" t="e">
        <f>VLOOKUP(B4277,'REGISTRO ABONOS'!$B$8:$BC$10041,54,0)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hidden="1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ABONOS'!$B$8:$BC$10041,54,0)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hidden="1" x14ac:dyDescent="0.2">
      <c r="B4279" s="31">
        <v>4270</v>
      </c>
      <c r="J4279">
        <f t="shared" si="72"/>
        <v>105000</v>
      </c>
      <c r="K4279" t="e">
        <f>VLOOKUP(B4279,'REGISTRO ABONOS'!$B$8:$BC$10041,54,0)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hidden="1" x14ac:dyDescent="0.2">
      <c r="B4280" s="31">
        <v>4271</v>
      </c>
      <c r="J4280">
        <f t="shared" si="72"/>
        <v>105000</v>
      </c>
      <c r="K4280" t="e">
        <f>VLOOKUP(B4280,'REGISTRO ABONOS'!$B$8:$BC$10041,54,0)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hidden="1" x14ac:dyDescent="0.2">
      <c r="B4281" s="31">
        <v>4272</v>
      </c>
      <c r="J4281">
        <f t="shared" si="72"/>
        <v>105000</v>
      </c>
      <c r="K4281" t="e">
        <f>VLOOKUP(B4281,'REGISTRO ABONOS'!$B$8:$BC$10041,54,0)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2"/>
        <v>105000</v>
      </c>
      <c r="K4282">
        <f>VLOOKUP(B4282,'REGISTRO ABONOS'!$B$8:$BC$10041,54,0)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hidden="1" x14ac:dyDescent="0.2">
      <c r="B4283" s="31">
        <v>4274</v>
      </c>
      <c r="J4283">
        <f t="shared" si="72"/>
        <v>105000</v>
      </c>
      <c r="K4283" t="e">
        <f>VLOOKUP(B4283,'REGISTRO ABONOS'!$B$8:$BC$10041,54,0)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hidden="1" x14ac:dyDescent="0.2">
      <c r="B4284" s="31">
        <v>4275</v>
      </c>
      <c r="J4284">
        <f t="shared" si="72"/>
        <v>105000</v>
      </c>
      <c r="K4284" t="e">
        <f>VLOOKUP(B4284,'REGISTRO ABONOS'!$B$8:$BC$10041,54,0)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hidden="1" x14ac:dyDescent="0.2">
      <c r="B4285" s="31">
        <v>4276</v>
      </c>
      <c r="J4285">
        <f t="shared" si="72"/>
        <v>105000</v>
      </c>
      <c r="K4285" t="e">
        <f>VLOOKUP(B4285,'REGISTRO ABONOS'!$B$8:$BC$10041,54,0)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hidden="1" x14ac:dyDescent="0.2">
      <c r="B4286" s="31">
        <v>4277</v>
      </c>
      <c r="J4286">
        <f t="shared" si="72"/>
        <v>105000</v>
      </c>
      <c r="K4286" t="e">
        <f>VLOOKUP(B4286,'REGISTRO ABONOS'!$B$8:$BC$10041,54,0)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hidden="1" x14ac:dyDescent="0.2">
      <c r="B4287" s="31">
        <v>4278</v>
      </c>
      <c r="J4287">
        <f t="shared" si="72"/>
        <v>105000</v>
      </c>
      <c r="K4287" t="e">
        <f>VLOOKUP(B4287,'REGISTRO ABONOS'!$B$8:$BC$10041,54,0)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hidden="1" x14ac:dyDescent="0.2">
      <c r="B4288" s="31">
        <v>4279</v>
      </c>
      <c r="J4288">
        <f t="shared" si="72"/>
        <v>105000</v>
      </c>
      <c r="K4288" t="e">
        <f>VLOOKUP(B4288,'REGISTRO ABONOS'!$B$8:$BC$10041,54,0)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hidden="1" x14ac:dyDescent="0.2">
      <c r="B4289" s="31">
        <v>4280</v>
      </c>
      <c r="J4289">
        <f t="shared" si="72"/>
        <v>105000</v>
      </c>
      <c r="K4289" t="e">
        <f>VLOOKUP(B4289,'REGISTRO ABONOS'!$B$8:$BC$10041,54,0)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hidden="1" x14ac:dyDescent="0.2">
      <c r="B4290" s="31">
        <v>4281</v>
      </c>
      <c r="J4290">
        <f t="shared" si="72"/>
        <v>105000</v>
      </c>
      <c r="K4290" t="e">
        <f>VLOOKUP(B4290,'REGISTRO ABONOS'!$B$8:$BC$10041,54,0)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hidden="1" x14ac:dyDescent="0.2">
      <c r="B4291" s="31">
        <v>4282</v>
      </c>
      <c r="J4291">
        <f t="shared" si="72"/>
        <v>105000</v>
      </c>
      <c r="K4291" t="e">
        <f>VLOOKUP(B4291,'REGISTRO ABONOS'!$B$8:$BC$10041,54,0)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hidden="1" x14ac:dyDescent="0.2">
      <c r="B4292" s="31">
        <v>4283</v>
      </c>
      <c r="J4292">
        <f t="shared" si="72"/>
        <v>105000</v>
      </c>
      <c r="K4292" t="e">
        <f>VLOOKUP(B4292,'REGISTRO ABONOS'!$B$8:$BC$10041,54,0)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hidden="1" x14ac:dyDescent="0.2">
      <c r="B4293" s="31">
        <v>4284</v>
      </c>
      <c r="J4293">
        <f t="shared" si="72"/>
        <v>105000</v>
      </c>
      <c r="K4293" t="e">
        <f>VLOOKUP(B4293,'REGISTRO ABONOS'!$B$8:$BC$10041,54,0)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hidden="1" x14ac:dyDescent="0.2">
      <c r="B4294" s="31">
        <v>4285</v>
      </c>
      <c r="J4294">
        <f t="shared" si="72"/>
        <v>105000</v>
      </c>
      <c r="K4294" t="e">
        <f>VLOOKUP(B4294,'REGISTRO ABONOS'!$B$8:$BC$10041,54,0)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hidden="1" x14ac:dyDescent="0.2">
      <c r="B4295" s="31">
        <v>4286</v>
      </c>
      <c r="J4295">
        <f t="shared" si="72"/>
        <v>105000</v>
      </c>
      <c r="K4295" t="e">
        <f>VLOOKUP(B4295,'REGISTRO ABONOS'!$B$8:$BC$10041,54,0)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hidden="1" x14ac:dyDescent="0.2">
      <c r="B4296" s="31">
        <v>4287</v>
      </c>
      <c r="J4296">
        <f t="shared" si="72"/>
        <v>105000</v>
      </c>
      <c r="K4296" t="e">
        <f>VLOOKUP(B4296,'REGISTRO ABONOS'!$B$8:$BC$10041,54,0)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hidden="1" x14ac:dyDescent="0.2">
      <c r="B4297" s="31">
        <v>4288</v>
      </c>
      <c r="J4297">
        <f t="shared" si="72"/>
        <v>105000</v>
      </c>
      <c r="K4297" t="e">
        <f>VLOOKUP(B4297,'REGISTRO ABONOS'!$B$8:$BC$10041,54,0)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hidden="1" x14ac:dyDescent="0.2">
      <c r="B4298" s="31">
        <v>4289</v>
      </c>
      <c r="J4298">
        <f t="shared" si="72"/>
        <v>105000</v>
      </c>
      <c r="K4298" t="e">
        <f>VLOOKUP(B4298,'REGISTRO ABONOS'!$B$8:$BC$10041,54,0)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hidden="1" x14ac:dyDescent="0.2">
      <c r="B4299" s="31">
        <v>4290</v>
      </c>
      <c r="J4299">
        <f t="shared" si="72"/>
        <v>105000</v>
      </c>
      <c r="K4299" t="e">
        <f>VLOOKUP(B4299,'REGISTRO ABONOS'!$B$8:$BC$10041,54,0)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hidden="1" x14ac:dyDescent="0.2">
      <c r="B4300" s="31">
        <v>4291</v>
      </c>
      <c r="J4300">
        <f t="shared" si="72"/>
        <v>105000</v>
      </c>
      <c r="K4300" t="e">
        <f>VLOOKUP(B4300,'REGISTRO ABONOS'!$B$8:$BC$10041,54,0)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hidden="1" x14ac:dyDescent="0.2">
      <c r="B4301" s="31">
        <v>4292</v>
      </c>
      <c r="J4301">
        <f t="shared" si="72"/>
        <v>105000</v>
      </c>
      <c r="K4301" t="e">
        <f>VLOOKUP(B4301,'REGISTRO ABONOS'!$B$8:$BC$10041,54,0)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hidden="1" x14ac:dyDescent="0.2">
      <c r="B4302" s="31">
        <v>4293</v>
      </c>
      <c r="J4302">
        <f t="shared" si="72"/>
        <v>105000</v>
      </c>
      <c r="K4302" t="e">
        <f>VLOOKUP(B4302,'REGISTRO ABONOS'!$B$8:$BC$10041,54,0)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hidden="1" x14ac:dyDescent="0.2">
      <c r="B4303" s="31">
        <v>4294</v>
      </c>
      <c r="J4303">
        <f t="shared" si="72"/>
        <v>105000</v>
      </c>
      <c r="K4303" t="e">
        <f>VLOOKUP(B4303,'REGISTRO ABONOS'!$B$8:$BC$10041,54,0)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hidden="1" x14ac:dyDescent="0.2">
      <c r="B4304" s="31">
        <v>4295</v>
      </c>
      <c r="J4304">
        <f t="shared" si="72"/>
        <v>105000</v>
      </c>
      <c r="K4304" t="e">
        <f>VLOOKUP(B4304,'REGISTRO ABONOS'!$B$8:$BC$10041,54,0)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hidden="1" x14ac:dyDescent="0.2">
      <c r="B4305" s="31">
        <v>4296</v>
      </c>
      <c r="J4305">
        <f t="shared" si="72"/>
        <v>105000</v>
      </c>
      <c r="K4305" t="e">
        <f>VLOOKUP(B4305,'REGISTRO ABONOS'!$B$8:$BC$10041,54,0)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hidden="1" x14ac:dyDescent="0.2">
      <c r="B4306" s="31">
        <v>4297</v>
      </c>
      <c r="J4306">
        <f t="shared" si="72"/>
        <v>105000</v>
      </c>
      <c r="K4306" t="e">
        <f>VLOOKUP(B4306,'REGISTRO ABONOS'!$B$8:$BC$10041,54,0)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hidden="1" x14ac:dyDescent="0.2">
      <c r="B4307" s="31">
        <v>4298</v>
      </c>
      <c r="J4307">
        <f t="shared" si="72"/>
        <v>105000</v>
      </c>
      <c r="K4307" t="e">
        <f>VLOOKUP(B4307,'REGISTRO ABONOS'!$B$8:$BC$10041,54,0)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hidden="1" x14ac:dyDescent="0.2">
      <c r="B4308" s="31">
        <v>4299</v>
      </c>
      <c r="J4308">
        <f t="shared" si="72"/>
        <v>105000</v>
      </c>
      <c r="K4308" t="e">
        <f>VLOOKUP(B4308,'REGISTRO ABONOS'!$B$8:$BC$10041,54,0)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hidden="1" x14ac:dyDescent="0.2">
      <c r="B4309" s="31">
        <v>4300</v>
      </c>
      <c r="J4309">
        <f t="shared" si="72"/>
        <v>105000</v>
      </c>
      <c r="K4309" t="e">
        <f>VLOOKUP(B4309,'REGISTRO ABONOS'!$B$8:$BC$10041,54,0)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hidden="1" x14ac:dyDescent="0.2">
      <c r="B4310" s="31">
        <v>4301</v>
      </c>
      <c r="J4310">
        <f t="shared" si="72"/>
        <v>105000</v>
      </c>
      <c r="K4310" t="e">
        <f>VLOOKUP(B4310,'REGISTRO ABONOS'!$B$8:$BC$10041,54,0)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hidden="1" x14ac:dyDescent="0.2">
      <c r="B4311" s="31">
        <v>4302</v>
      </c>
      <c r="J4311">
        <f t="shared" si="72"/>
        <v>105000</v>
      </c>
      <c r="K4311" t="e">
        <f>VLOOKUP(B4311,'REGISTRO ABONOS'!$B$8:$BC$10041,54,0)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hidden="1" x14ac:dyDescent="0.2">
      <c r="B4312" s="31">
        <v>4303</v>
      </c>
      <c r="J4312">
        <f t="shared" si="72"/>
        <v>105000</v>
      </c>
      <c r="K4312" t="e">
        <f>VLOOKUP(B4312,'REGISTRO ABONOS'!$B$8:$BC$10041,54,0)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hidden="1" x14ac:dyDescent="0.2">
      <c r="B4313" s="31">
        <v>4304</v>
      </c>
      <c r="J4313">
        <f t="shared" si="72"/>
        <v>105000</v>
      </c>
      <c r="K4313" t="e">
        <f>VLOOKUP(B4313,'REGISTRO ABONOS'!$B$8:$BC$10041,54,0)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hidden="1" x14ac:dyDescent="0.2">
      <c r="B4314" s="31">
        <v>4305</v>
      </c>
      <c r="J4314">
        <f t="shared" si="72"/>
        <v>105000</v>
      </c>
      <c r="K4314" t="e">
        <f>VLOOKUP(B4314,'REGISTRO ABONOS'!$B$8:$BC$10041,54,0)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hidden="1" x14ac:dyDescent="0.2">
      <c r="B4315" s="31">
        <v>4306</v>
      </c>
      <c r="J4315">
        <f t="shared" si="72"/>
        <v>105000</v>
      </c>
      <c r="K4315" t="e">
        <f>VLOOKUP(B4315,'REGISTRO ABONOS'!$B$8:$BC$10041,54,0)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hidden="1" x14ac:dyDescent="0.2">
      <c r="B4316" s="31">
        <v>4307</v>
      </c>
      <c r="J4316">
        <f t="shared" si="72"/>
        <v>105000</v>
      </c>
      <c r="K4316" t="e">
        <f>VLOOKUP(B4316,'REGISTRO ABONOS'!$B$8:$BC$10041,54,0)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hidden="1" x14ac:dyDescent="0.2">
      <c r="B4317" s="31">
        <v>4308</v>
      </c>
      <c r="J4317">
        <f t="shared" si="72"/>
        <v>105000</v>
      </c>
      <c r="K4317" t="e">
        <f>VLOOKUP(B4317,'REGISTRO ABONOS'!$B$8:$BC$10041,54,0)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hidden="1" x14ac:dyDescent="0.2">
      <c r="B4318" s="31">
        <v>4309</v>
      </c>
      <c r="J4318">
        <f t="shared" si="72"/>
        <v>105000</v>
      </c>
      <c r="K4318" t="e">
        <f>VLOOKUP(B4318,'REGISTRO ABONOS'!$B$8:$BC$10041,54,0)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hidden="1" x14ac:dyDescent="0.2">
      <c r="B4319" s="31">
        <v>4310</v>
      </c>
      <c r="J4319">
        <f t="shared" si="72"/>
        <v>105000</v>
      </c>
      <c r="K4319" t="e">
        <f>VLOOKUP(B4319,'REGISTRO ABONOS'!$B$8:$BC$10041,54,0)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hidden="1" x14ac:dyDescent="0.2">
      <c r="B4320" s="31">
        <v>4311</v>
      </c>
      <c r="J4320">
        <f t="shared" si="72"/>
        <v>105000</v>
      </c>
      <c r="K4320" t="e">
        <f>VLOOKUP(B4320,'REGISTRO ABONOS'!$B$8:$BC$10041,54,0)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hidden="1" x14ac:dyDescent="0.2">
      <c r="B4321" s="31">
        <v>4312</v>
      </c>
      <c r="J4321">
        <f t="shared" si="72"/>
        <v>105000</v>
      </c>
      <c r="K4321" t="e">
        <f>VLOOKUP(B4321,'REGISTRO ABONOS'!$B$8:$BC$10041,54,0)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hidden="1" x14ac:dyDescent="0.2">
      <c r="B4322" s="31">
        <v>4313</v>
      </c>
      <c r="J4322">
        <f t="shared" si="72"/>
        <v>105000</v>
      </c>
      <c r="K4322" t="e">
        <f>VLOOKUP(B4322,'REGISTRO ABONOS'!$B$8:$BC$10041,54,0)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hidden="1" x14ac:dyDescent="0.2">
      <c r="B4323" s="31">
        <v>4314</v>
      </c>
      <c r="J4323">
        <f t="shared" si="72"/>
        <v>105000</v>
      </c>
      <c r="K4323" t="e">
        <f>VLOOKUP(B4323,'REGISTRO ABONOS'!$B$8:$BC$10041,54,0)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hidden="1" x14ac:dyDescent="0.2">
      <c r="B4324" s="31">
        <v>4315</v>
      </c>
      <c r="J4324">
        <f t="shared" si="72"/>
        <v>105000</v>
      </c>
      <c r="K4324" t="e">
        <f>VLOOKUP(B4324,'REGISTRO ABONOS'!$B$8:$BC$10041,54,0)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hidden="1" x14ac:dyDescent="0.2">
      <c r="B4325" s="31">
        <v>4316</v>
      </c>
      <c r="J4325">
        <f t="shared" si="72"/>
        <v>105000</v>
      </c>
      <c r="K4325" t="e">
        <f>VLOOKUP(B4325,'REGISTRO ABONOS'!$B$8:$BC$10041,54,0)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2"/>
        <v>105000</v>
      </c>
      <c r="K4326" t="e">
        <f>VLOOKUP(B4326,'REGISTRO ABONOS'!$B$8:$BC$10041,54,0)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hidden="1" x14ac:dyDescent="0.2">
      <c r="B4327" s="31">
        <v>4318</v>
      </c>
      <c r="J4327">
        <f t="shared" si="72"/>
        <v>105000</v>
      </c>
      <c r="K4327" t="e">
        <f>VLOOKUP(B4327,'REGISTRO ABONOS'!$B$8:$BC$10041,54,0)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hidden="1" x14ac:dyDescent="0.2">
      <c r="B4328" s="31">
        <v>4319</v>
      </c>
      <c r="J4328">
        <f t="shared" si="72"/>
        <v>105000</v>
      </c>
      <c r="K4328" t="e">
        <f>VLOOKUP(B4328,'REGISTRO ABONOS'!$B$8:$BC$10041,54,0)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hidden="1" x14ac:dyDescent="0.2">
      <c r="B4329" s="31">
        <v>4320</v>
      </c>
      <c r="J4329">
        <f t="shared" si="72"/>
        <v>105000</v>
      </c>
      <c r="K4329" t="e">
        <f>VLOOKUP(B4329,'REGISTRO ABONOS'!$B$8:$BC$10041,54,0)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hidden="1" x14ac:dyDescent="0.2">
      <c r="B4330" s="31">
        <v>4321</v>
      </c>
      <c r="J4330">
        <f t="shared" si="72"/>
        <v>105000</v>
      </c>
      <c r="K4330" t="e">
        <f>VLOOKUP(B4330,'REGISTRO ABONOS'!$B$8:$BC$10041,54,0)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hidden="1" x14ac:dyDescent="0.2">
      <c r="B4331" s="31">
        <v>4322</v>
      </c>
      <c r="J4331">
        <f t="shared" si="72"/>
        <v>105000</v>
      </c>
      <c r="K4331" t="e">
        <f>VLOOKUP(B4331,'REGISTRO ABONOS'!$B$8:$BC$10041,54,0)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hidden="1" x14ac:dyDescent="0.2">
      <c r="B4332" s="31">
        <v>4323</v>
      </c>
      <c r="J4332">
        <f t="shared" si="72"/>
        <v>105000</v>
      </c>
      <c r="K4332" t="e">
        <f>VLOOKUP(B4332,'REGISTRO ABONOS'!$B$8:$BC$10041,54,0)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hidden="1" x14ac:dyDescent="0.2">
      <c r="B4333" s="31">
        <v>4324</v>
      </c>
      <c r="J4333">
        <f t="shared" si="72"/>
        <v>105000</v>
      </c>
      <c r="K4333" t="e">
        <f>VLOOKUP(B4333,'REGISTRO ABONOS'!$B$8:$BC$10041,54,0)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hidden="1" x14ac:dyDescent="0.2">
      <c r="B4334" s="31">
        <v>4325</v>
      </c>
      <c r="J4334">
        <f t="shared" si="72"/>
        <v>105000</v>
      </c>
      <c r="K4334" t="e">
        <f>VLOOKUP(B4334,'REGISTRO ABONOS'!$B$8:$BC$10041,54,0)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hidden="1" x14ac:dyDescent="0.2">
      <c r="B4335" s="31">
        <v>4326</v>
      </c>
      <c r="J4335">
        <f t="shared" si="72"/>
        <v>105000</v>
      </c>
      <c r="K4335" t="e">
        <f>VLOOKUP(B4335,'REGISTRO ABONOS'!$B$8:$BC$10041,54,0)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hidden="1" x14ac:dyDescent="0.2">
      <c r="B4336" s="31">
        <v>4327</v>
      </c>
      <c r="J4336">
        <f t="shared" si="72"/>
        <v>105000</v>
      </c>
      <c r="K4336" t="e">
        <f>VLOOKUP(B4336,'REGISTRO ABONOS'!$B$8:$BC$10041,54,0)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hidden="1" x14ac:dyDescent="0.2">
      <c r="B4337" s="31">
        <v>4328</v>
      </c>
      <c r="J4337">
        <f t="shared" si="72"/>
        <v>105000</v>
      </c>
      <c r="K4337" t="e">
        <f>VLOOKUP(B4337,'REGISTRO ABONOS'!$B$8:$BC$10041,54,0)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hidden="1" x14ac:dyDescent="0.2">
      <c r="B4338" s="31">
        <v>4329</v>
      </c>
      <c r="J4338">
        <f t="shared" si="72"/>
        <v>105000</v>
      </c>
      <c r="K4338" t="e">
        <f>VLOOKUP(B4338,'REGISTRO ABONOS'!$B$8:$BC$10041,54,0)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hidden="1" x14ac:dyDescent="0.2">
      <c r="B4339" s="31">
        <v>4330</v>
      </c>
      <c r="J4339">
        <f t="shared" si="72"/>
        <v>105000</v>
      </c>
      <c r="K4339" t="e">
        <f>VLOOKUP(B4339,'REGISTRO ABONOS'!$B$8:$BC$10041,54,0)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hidden="1" x14ac:dyDescent="0.2">
      <c r="B4340" s="31">
        <v>4331</v>
      </c>
      <c r="J4340">
        <f t="shared" si="72"/>
        <v>105000</v>
      </c>
      <c r="K4340" t="e">
        <f>VLOOKUP(B4340,'REGISTRO ABONOS'!$B$8:$BC$10041,54,0)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hidden="1" x14ac:dyDescent="0.2">
      <c r="B4341" s="31">
        <v>4332</v>
      </c>
      <c r="J4341">
        <f t="shared" si="72"/>
        <v>105000</v>
      </c>
      <c r="K4341" t="e">
        <f>VLOOKUP(B4341,'REGISTRO ABONOS'!$B$8:$BC$10041,54,0)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hidden="1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ABONOS'!$B$8:$BC$10041,54,0)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3"/>
        <v>105000</v>
      </c>
      <c r="K4343" t="e">
        <f>VLOOKUP(B4343,'REGISTRO ABONOS'!$B$8:$BC$10041,54,0)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hidden="1" x14ac:dyDescent="0.2">
      <c r="B4344" s="31">
        <v>4335</v>
      </c>
      <c r="J4344">
        <f t="shared" si="73"/>
        <v>105000</v>
      </c>
      <c r="K4344" t="e">
        <f>VLOOKUP(B4344,'REGISTRO ABONOS'!$B$8:$BC$10041,54,0)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hidden="1" x14ac:dyDescent="0.2">
      <c r="B4345" s="31">
        <v>4336</v>
      </c>
      <c r="J4345">
        <f t="shared" si="73"/>
        <v>105000</v>
      </c>
      <c r="K4345" t="e">
        <f>VLOOKUP(B4345,'REGISTRO ABONOS'!$B$8:$BC$10041,54,0)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hidden="1" x14ac:dyDescent="0.2">
      <c r="B4346" s="31">
        <v>4337</v>
      </c>
      <c r="J4346">
        <f t="shared" si="73"/>
        <v>105000</v>
      </c>
      <c r="K4346" t="e">
        <f>VLOOKUP(B4346,'REGISTRO ABONOS'!$B$8:$BC$10041,54,0)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hidden="1" x14ac:dyDescent="0.2">
      <c r="B4347" s="31">
        <v>4338</v>
      </c>
      <c r="J4347">
        <f t="shared" si="73"/>
        <v>105000</v>
      </c>
      <c r="K4347" t="e">
        <f>VLOOKUP(B4347,'REGISTRO ABONOS'!$B$8:$BC$10041,54,0)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hidden="1" x14ac:dyDescent="0.2">
      <c r="B4348" s="31">
        <v>4339</v>
      </c>
      <c r="J4348">
        <f t="shared" si="73"/>
        <v>105000</v>
      </c>
      <c r="K4348" t="e">
        <f>VLOOKUP(B4348,'REGISTRO ABONOS'!$B$8:$BC$10041,54,0)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hidden="1" x14ac:dyDescent="0.2">
      <c r="B4349" s="31">
        <v>4340</v>
      </c>
      <c r="J4349">
        <f t="shared" si="73"/>
        <v>105000</v>
      </c>
      <c r="K4349" t="e">
        <f>VLOOKUP(B4349,'REGISTRO ABONOS'!$B$8:$BC$10041,54,0)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hidden="1" x14ac:dyDescent="0.2">
      <c r="B4350" s="31">
        <v>4341</v>
      </c>
      <c r="J4350">
        <f t="shared" si="73"/>
        <v>105000</v>
      </c>
      <c r="K4350" t="e">
        <f>VLOOKUP(B4350,'REGISTRO ABONOS'!$B$8:$BC$10041,54,0)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hidden="1" x14ac:dyDescent="0.2">
      <c r="B4351" s="31">
        <v>4342</v>
      </c>
      <c r="J4351">
        <f t="shared" si="73"/>
        <v>105000</v>
      </c>
      <c r="K4351" t="e">
        <f>VLOOKUP(B4351,'REGISTRO ABONOS'!$B$8:$BC$10041,54,0)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hidden="1" x14ac:dyDescent="0.2">
      <c r="B4352" s="31">
        <v>4343</v>
      </c>
      <c r="J4352">
        <f t="shared" si="73"/>
        <v>105000</v>
      </c>
      <c r="K4352" t="e">
        <f>VLOOKUP(B4352,'REGISTRO ABONOS'!$B$8:$BC$10041,54,0)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hidden="1" x14ac:dyDescent="0.2">
      <c r="B4353" s="31">
        <v>4344</v>
      </c>
      <c r="J4353">
        <f t="shared" si="73"/>
        <v>105000</v>
      </c>
      <c r="K4353" t="e">
        <f>VLOOKUP(B4353,'REGISTRO ABONOS'!$B$8:$BC$10041,54,0)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hidden="1" x14ac:dyDescent="0.2">
      <c r="B4354" s="31">
        <v>4345</v>
      </c>
      <c r="J4354">
        <f t="shared" si="73"/>
        <v>105000</v>
      </c>
      <c r="K4354" t="e">
        <f>VLOOKUP(B4354,'REGISTRO ABONOS'!$B$8:$BC$10041,54,0)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hidden="1" x14ac:dyDescent="0.2">
      <c r="B4355" s="31">
        <v>4346</v>
      </c>
      <c r="J4355">
        <f t="shared" si="73"/>
        <v>105000</v>
      </c>
      <c r="K4355" t="e">
        <f>VLOOKUP(B4355,'REGISTRO ABONOS'!$B$8:$BC$10041,54,0)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hidden="1" x14ac:dyDescent="0.2">
      <c r="B4356" s="31">
        <v>4347</v>
      </c>
      <c r="J4356">
        <f t="shared" si="73"/>
        <v>105000</v>
      </c>
      <c r="K4356" t="e">
        <f>VLOOKUP(B4356,'REGISTRO ABONOS'!$B$8:$BC$10041,54,0)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hidden="1" x14ac:dyDescent="0.2">
      <c r="B4357" s="31">
        <v>4348</v>
      </c>
      <c r="J4357">
        <f t="shared" si="73"/>
        <v>105000</v>
      </c>
      <c r="K4357" t="e">
        <f>VLOOKUP(B4357,'REGISTRO ABONOS'!$B$8:$BC$10041,54,0)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hidden="1" x14ac:dyDescent="0.2">
      <c r="B4358" s="31">
        <v>4349</v>
      </c>
      <c r="J4358">
        <f t="shared" si="73"/>
        <v>105000</v>
      </c>
      <c r="K4358" t="e">
        <f>VLOOKUP(B4358,'REGISTRO ABONOS'!$B$8:$BC$10041,54,0)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hidden="1" x14ac:dyDescent="0.2">
      <c r="B4359" s="31">
        <v>4350</v>
      </c>
      <c r="J4359">
        <f t="shared" si="73"/>
        <v>105000</v>
      </c>
      <c r="K4359" t="e">
        <f>VLOOKUP(B4359,'REGISTRO ABONOS'!$B$8:$BC$10041,54,0)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hidden="1" x14ac:dyDescent="0.2">
      <c r="B4360" s="31">
        <v>4351</v>
      </c>
      <c r="J4360">
        <f t="shared" si="73"/>
        <v>105000</v>
      </c>
      <c r="K4360" t="e">
        <f>VLOOKUP(B4360,'REGISTRO ABONOS'!$B$8:$BC$10041,54,0)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hidden="1" x14ac:dyDescent="0.2">
      <c r="B4361" s="31">
        <v>4352</v>
      </c>
      <c r="J4361">
        <f t="shared" si="73"/>
        <v>105000</v>
      </c>
      <c r="K4361" t="e">
        <f>VLOOKUP(B4361,'REGISTRO ABONOS'!$B$8:$BC$10041,54,0)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hidden="1" x14ac:dyDescent="0.2">
      <c r="B4362" s="31">
        <v>4353</v>
      </c>
      <c r="J4362">
        <f t="shared" si="73"/>
        <v>105000</v>
      </c>
      <c r="K4362" t="e">
        <f>VLOOKUP(B4362,'REGISTRO ABONOS'!$B$8:$BC$10041,54,0)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hidden="1" x14ac:dyDescent="0.2">
      <c r="B4363" s="31">
        <v>4354</v>
      </c>
      <c r="J4363">
        <f t="shared" si="73"/>
        <v>105000</v>
      </c>
      <c r="K4363" t="e">
        <f>VLOOKUP(B4363,'REGISTRO ABONOS'!$B$8:$BC$10041,54,0)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hidden="1" x14ac:dyDescent="0.2">
      <c r="B4364" s="31">
        <v>4355</v>
      </c>
      <c r="J4364">
        <f t="shared" si="73"/>
        <v>105000</v>
      </c>
      <c r="K4364" t="e">
        <f>VLOOKUP(B4364,'REGISTRO ABONOS'!$B$8:$BC$10041,54,0)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hidden="1" x14ac:dyDescent="0.2">
      <c r="B4365" s="31">
        <v>4356</v>
      </c>
      <c r="J4365">
        <f t="shared" si="73"/>
        <v>105000</v>
      </c>
      <c r="K4365" t="e">
        <f>VLOOKUP(B4365,'REGISTRO ABONOS'!$B$8:$BC$10041,54,0)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hidden="1" x14ac:dyDescent="0.2">
      <c r="B4366" s="31">
        <v>4357</v>
      </c>
      <c r="J4366">
        <f t="shared" si="73"/>
        <v>105000</v>
      </c>
      <c r="K4366" t="e">
        <f>VLOOKUP(B4366,'REGISTRO ABONOS'!$B$8:$BC$10041,54,0)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hidden="1" x14ac:dyDescent="0.2">
      <c r="B4367" s="31">
        <v>4358</v>
      </c>
      <c r="J4367">
        <f t="shared" si="73"/>
        <v>105000</v>
      </c>
      <c r="K4367" t="e">
        <f>VLOOKUP(B4367,'REGISTRO ABONOS'!$B$8:$BC$10041,54,0)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hidden="1" x14ac:dyDescent="0.2">
      <c r="B4368" s="31">
        <v>4359</v>
      </c>
      <c r="J4368">
        <f t="shared" si="73"/>
        <v>105000</v>
      </c>
      <c r="K4368" t="e">
        <f>VLOOKUP(B4368,'REGISTRO ABONOS'!$B$8:$BC$10041,54,0)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hidden="1" x14ac:dyDescent="0.2">
      <c r="B4369" s="31">
        <v>4360</v>
      </c>
      <c r="J4369">
        <f t="shared" si="73"/>
        <v>105000</v>
      </c>
      <c r="K4369" t="e">
        <f>VLOOKUP(B4369,'REGISTRO ABONOS'!$B$8:$BC$10041,54,0)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hidden="1" x14ac:dyDescent="0.2">
      <c r="B4370" s="31">
        <v>4361</v>
      </c>
      <c r="J4370">
        <f t="shared" si="73"/>
        <v>105000</v>
      </c>
      <c r="K4370" t="e">
        <f>VLOOKUP(B4370,'REGISTRO ABONOS'!$B$8:$BC$10041,54,0)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hidden="1" x14ac:dyDescent="0.2">
      <c r="B4371" s="31">
        <v>4362</v>
      </c>
      <c r="J4371">
        <f t="shared" si="73"/>
        <v>105000</v>
      </c>
      <c r="K4371" t="e">
        <f>VLOOKUP(B4371,'REGISTRO ABONOS'!$B$8:$BC$10041,54,0)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hidden="1" x14ac:dyDescent="0.2">
      <c r="B4372" s="31">
        <v>4363</v>
      </c>
      <c r="J4372">
        <f t="shared" si="73"/>
        <v>105000</v>
      </c>
      <c r="K4372" t="e">
        <f>VLOOKUP(B4372,'REGISTRO ABONOS'!$B$8:$BC$10041,54,0)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hidden="1" x14ac:dyDescent="0.2">
      <c r="B4373" s="31">
        <v>4364</v>
      </c>
      <c r="J4373">
        <f t="shared" si="73"/>
        <v>105000</v>
      </c>
      <c r="K4373" t="e">
        <f>VLOOKUP(B4373,'REGISTRO ABONOS'!$B$8:$BC$10041,54,0)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hidden="1" x14ac:dyDescent="0.2">
      <c r="B4374" s="31">
        <v>4365</v>
      </c>
      <c r="J4374">
        <f t="shared" si="73"/>
        <v>105000</v>
      </c>
      <c r="K4374" t="e">
        <f>VLOOKUP(B4374,'REGISTRO ABONOS'!$B$8:$BC$10041,54,0)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hidden="1" x14ac:dyDescent="0.2">
      <c r="B4375" s="31">
        <v>4366</v>
      </c>
      <c r="J4375">
        <f t="shared" si="73"/>
        <v>105000</v>
      </c>
      <c r="K4375" t="e">
        <f>VLOOKUP(B4375,'REGISTRO ABONOS'!$B$8:$BC$10041,54,0)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hidden="1" x14ac:dyDescent="0.2">
      <c r="B4376" s="31">
        <v>4367</v>
      </c>
      <c r="J4376">
        <f t="shared" si="73"/>
        <v>105000</v>
      </c>
      <c r="K4376" t="e">
        <f>VLOOKUP(B4376,'REGISTRO ABONOS'!$B$8:$BC$10041,54,0)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hidden="1" x14ac:dyDescent="0.2">
      <c r="B4377" s="31">
        <v>4368</v>
      </c>
      <c r="J4377">
        <f t="shared" si="73"/>
        <v>105000</v>
      </c>
      <c r="K4377" t="e">
        <f>VLOOKUP(B4377,'REGISTRO ABONOS'!$B$8:$BC$10041,54,0)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hidden="1" x14ac:dyDescent="0.2">
      <c r="B4378" s="31">
        <v>4369</v>
      </c>
      <c r="J4378">
        <f t="shared" si="73"/>
        <v>105000</v>
      </c>
      <c r="K4378" t="e">
        <f>VLOOKUP(B4378,'REGISTRO ABONOS'!$B$8:$BC$10041,54,0)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hidden="1" x14ac:dyDescent="0.2">
      <c r="B4379" s="31">
        <v>4370</v>
      </c>
      <c r="J4379">
        <f t="shared" si="73"/>
        <v>105000</v>
      </c>
      <c r="K4379" t="e">
        <f>VLOOKUP(B4379,'REGISTRO ABONOS'!$B$8:$BC$10041,54,0)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hidden="1" x14ac:dyDescent="0.2">
      <c r="B4380" s="31">
        <v>4371</v>
      </c>
      <c r="J4380">
        <f t="shared" si="73"/>
        <v>105000</v>
      </c>
      <c r="K4380" t="e">
        <f>VLOOKUP(B4380,'REGISTRO ABONOS'!$B$8:$BC$10041,54,0)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hidden="1" x14ac:dyDescent="0.2">
      <c r="B4381" s="31">
        <v>4372</v>
      </c>
      <c r="J4381">
        <f t="shared" si="73"/>
        <v>105000</v>
      </c>
      <c r="K4381" t="e">
        <f>VLOOKUP(B4381,'REGISTRO ABONOS'!$B$8:$BC$10041,54,0)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hidden="1" x14ac:dyDescent="0.2">
      <c r="B4382" s="31">
        <v>4373</v>
      </c>
      <c r="J4382">
        <f t="shared" si="73"/>
        <v>105000</v>
      </c>
      <c r="K4382" t="e">
        <f>VLOOKUP(B4382,'REGISTRO ABONOS'!$B$8:$BC$10041,54,0)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hidden="1" x14ac:dyDescent="0.2">
      <c r="B4383" s="31">
        <v>4374</v>
      </c>
      <c r="C4383" s="10">
        <v>43572</v>
      </c>
      <c r="D4383" t="s">
        <v>475</v>
      </c>
      <c r="H4383" t="s">
        <v>475</v>
      </c>
      <c r="I4383" t="s">
        <v>475</v>
      </c>
      <c r="J4383">
        <f t="shared" si="73"/>
        <v>105000</v>
      </c>
      <c r="K4383" t="e">
        <f>VLOOKUP(B4383,'REGISTRO ABONOS'!$B$8:$BC$10041,54,0)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hidden="1" x14ac:dyDescent="0.2">
      <c r="B4384" s="31">
        <v>4375</v>
      </c>
      <c r="J4384">
        <f t="shared" si="73"/>
        <v>105000</v>
      </c>
      <c r="K4384" t="e">
        <f>VLOOKUP(B4384,'REGISTRO ABONOS'!$B$8:$BC$10041,54,0)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hidden="1" x14ac:dyDescent="0.2">
      <c r="B4385" s="31">
        <v>4376</v>
      </c>
      <c r="J4385">
        <f t="shared" si="73"/>
        <v>105000</v>
      </c>
      <c r="K4385" t="e">
        <f>VLOOKUP(B4385,'REGISTRO ABONOS'!$B$8:$BC$10041,54,0)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hidden="1" x14ac:dyDescent="0.2">
      <c r="B4386" s="31">
        <v>4377</v>
      </c>
      <c r="J4386">
        <f t="shared" si="73"/>
        <v>105000</v>
      </c>
      <c r="K4386" t="e">
        <f>VLOOKUP(B4386,'REGISTRO ABONOS'!$B$8:$BC$10041,54,0)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hidden="1" x14ac:dyDescent="0.2">
      <c r="B4387" s="31">
        <v>4378</v>
      </c>
      <c r="J4387">
        <f t="shared" si="73"/>
        <v>105000</v>
      </c>
      <c r="K4387" t="e">
        <f>VLOOKUP(B4387,'REGISTRO ABONOS'!$B$8:$BC$10041,54,0)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hidden="1" x14ac:dyDescent="0.2">
      <c r="B4388" s="31">
        <v>4379</v>
      </c>
      <c r="J4388">
        <f t="shared" si="73"/>
        <v>105000</v>
      </c>
      <c r="K4388" t="e">
        <f>VLOOKUP(B4388,'REGISTRO ABONOS'!$B$8:$BC$10041,54,0)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hidden="1" x14ac:dyDescent="0.2">
      <c r="B4389" s="31">
        <v>4380</v>
      </c>
      <c r="J4389">
        <f t="shared" si="73"/>
        <v>105000</v>
      </c>
      <c r="K4389" t="e">
        <f>VLOOKUP(B4389,'REGISTRO ABONOS'!$B$8:$BC$10041,54,0)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hidden="1" x14ac:dyDescent="0.2">
      <c r="B4390" s="31">
        <v>4381</v>
      </c>
      <c r="J4390">
        <f t="shared" si="73"/>
        <v>105000</v>
      </c>
      <c r="K4390" t="e">
        <f>VLOOKUP(B4390,'REGISTRO ABONOS'!$B$8:$BC$10041,54,0)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hidden="1" x14ac:dyDescent="0.2">
      <c r="B4391" s="31">
        <v>4382</v>
      </c>
      <c r="J4391">
        <f t="shared" si="73"/>
        <v>105000</v>
      </c>
      <c r="K4391" t="e">
        <f>VLOOKUP(B4391,'REGISTRO ABONOS'!$B$8:$BC$10041,54,0)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hidden="1" x14ac:dyDescent="0.2">
      <c r="B4392" s="31">
        <v>4383</v>
      </c>
      <c r="J4392">
        <f t="shared" si="73"/>
        <v>105000</v>
      </c>
      <c r="K4392" t="e">
        <f>VLOOKUP(B4392,'REGISTRO ABONOS'!$B$8:$BC$10041,54,0)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hidden="1" x14ac:dyDescent="0.2">
      <c r="B4393" s="31">
        <v>4384</v>
      </c>
      <c r="J4393">
        <f t="shared" si="73"/>
        <v>105000</v>
      </c>
      <c r="K4393" t="e">
        <f>VLOOKUP(B4393,'REGISTRO ABONOS'!$B$8:$BC$10041,54,0)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hidden="1" x14ac:dyDescent="0.2">
      <c r="B4394" s="31">
        <v>4385</v>
      </c>
      <c r="J4394">
        <f t="shared" si="73"/>
        <v>105000</v>
      </c>
      <c r="K4394" t="e">
        <f>VLOOKUP(B4394,'REGISTRO ABONOS'!$B$8:$BC$10041,54,0)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hidden="1" x14ac:dyDescent="0.2">
      <c r="B4395" s="31">
        <v>4386</v>
      </c>
      <c r="J4395">
        <f t="shared" si="73"/>
        <v>105000</v>
      </c>
      <c r="K4395" t="e">
        <f>VLOOKUP(B4395,'REGISTRO ABONOS'!$B$8:$BC$10041,54,0)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hidden="1" x14ac:dyDescent="0.2">
      <c r="B4396" s="31">
        <v>4387</v>
      </c>
      <c r="J4396">
        <f t="shared" si="73"/>
        <v>105000</v>
      </c>
      <c r="K4396" t="e">
        <f>VLOOKUP(B4396,'REGISTRO ABONOS'!$B$8:$BC$10041,54,0)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hidden="1" x14ac:dyDescent="0.2">
      <c r="B4397" s="31">
        <v>4388</v>
      </c>
      <c r="J4397">
        <f t="shared" si="73"/>
        <v>105000</v>
      </c>
      <c r="K4397" t="e">
        <f>VLOOKUP(B4397,'REGISTRO ABONOS'!$B$8:$BC$10041,54,0)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hidden="1" x14ac:dyDescent="0.2">
      <c r="B4398" s="31">
        <v>4389</v>
      </c>
      <c r="J4398">
        <f t="shared" si="73"/>
        <v>105000</v>
      </c>
      <c r="K4398" t="e">
        <f>VLOOKUP(B4398,'REGISTRO ABONOS'!$B$8:$BC$10041,54,0)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hidden="1" x14ac:dyDescent="0.2">
      <c r="B4399" s="31">
        <v>4390</v>
      </c>
      <c r="J4399">
        <f t="shared" si="73"/>
        <v>105000</v>
      </c>
      <c r="K4399" t="e">
        <f>VLOOKUP(B4399,'REGISTRO ABONOS'!$B$8:$BC$10041,54,0)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hidden="1" x14ac:dyDescent="0.2">
      <c r="B4400" s="31">
        <v>4391</v>
      </c>
      <c r="J4400">
        <f t="shared" si="73"/>
        <v>105000</v>
      </c>
      <c r="K4400" t="e">
        <f>VLOOKUP(B4400,'REGISTRO ABONOS'!$B$8:$BC$10041,54,0)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hidden="1" x14ac:dyDescent="0.2">
      <c r="B4401" s="31">
        <v>4392</v>
      </c>
      <c r="J4401">
        <f t="shared" si="73"/>
        <v>105000</v>
      </c>
      <c r="K4401" t="e">
        <f>VLOOKUP(B4401,'REGISTRO ABONOS'!$B$8:$BC$10041,54,0)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hidden="1" x14ac:dyDescent="0.2">
      <c r="B4402" s="31">
        <v>4393</v>
      </c>
      <c r="J4402">
        <f t="shared" si="73"/>
        <v>105000</v>
      </c>
      <c r="K4402" t="e">
        <f>VLOOKUP(B4402,'REGISTRO ABONOS'!$B$8:$BC$10041,54,0)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hidden="1" x14ac:dyDescent="0.2">
      <c r="B4403" s="31">
        <v>4394</v>
      </c>
      <c r="J4403">
        <f t="shared" si="73"/>
        <v>105000</v>
      </c>
      <c r="K4403" t="e">
        <f>VLOOKUP(B4403,'REGISTRO ABONOS'!$B$8:$BC$10041,54,0)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hidden="1" x14ac:dyDescent="0.2">
      <c r="B4404" s="31">
        <v>4395</v>
      </c>
      <c r="J4404">
        <f t="shared" si="73"/>
        <v>105000</v>
      </c>
      <c r="K4404" t="e">
        <f>VLOOKUP(B4404,'REGISTRO ABONOS'!$B$8:$BC$10041,54,0)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hidden="1" x14ac:dyDescent="0.2">
      <c r="B4405" s="31">
        <v>4396</v>
      </c>
      <c r="J4405">
        <f t="shared" si="73"/>
        <v>105000</v>
      </c>
      <c r="K4405" t="e">
        <f>VLOOKUP(B4405,'REGISTRO ABONOS'!$B$8:$BC$10041,54,0)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hidden="1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ABONOS'!$B$8:$BC$10041,54,0)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hidden="1" x14ac:dyDescent="0.2">
      <c r="B4407" s="31">
        <v>4398</v>
      </c>
      <c r="J4407">
        <f t="shared" si="74"/>
        <v>105000</v>
      </c>
      <c r="K4407" t="e">
        <f>VLOOKUP(B4407,'REGISTRO ABONOS'!$B$8:$BC$10041,54,0)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hidden="1" x14ac:dyDescent="0.2">
      <c r="B4408" s="31">
        <v>4399</v>
      </c>
      <c r="J4408">
        <f t="shared" si="74"/>
        <v>105000</v>
      </c>
      <c r="K4408" t="e">
        <f>VLOOKUP(B4408,'REGISTRO ABONOS'!$B$8:$BC$10041,54,0)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hidden="1" x14ac:dyDescent="0.2">
      <c r="B4409" s="31">
        <v>4400</v>
      </c>
      <c r="J4409">
        <f t="shared" si="74"/>
        <v>105000</v>
      </c>
      <c r="K4409" t="e">
        <f>VLOOKUP(B4409,'REGISTRO ABONOS'!$B$8:$BC$10041,54,0)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hidden="1" x14ac:dyDescent="0.2">
      <c r="B4410" s="31">
        <v>4401</v>
      </c>
      <c r="J4410">
        <f t="shared" si="74"/>
        <v>105000</v>
      </c>
      <c r="K4410" t="e">
        <f>VLOOKUP(B4410,'REGISTRO ABONOS'!$B$8:$BC$10041,54,0)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hidden="1" x14ac:dyDescent="0.2">
      <c r="B4411" s="31">
        <v>4402</v>
      </c>
      <c r="J4411">
        <f t="shared" si="74"/>
        <v>105000</v>
      </c>
      <c r="K4411" t="e">
        <f>VLOOKUP(B4411,'REGISTRO ABONOS'!$B$8:$BC$10041,54,0)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hidden="1" x14ac:dyDescent="0.2">
      <c r="B4412" s="31">
        <v>4403</v>
      </c>
      <c r="J4412">
        <f t="shared" si="74"/>
        <v>105000</v>
      </c>
      <c r="K4412" t="e">
        <f>VLOOKUP(B4412,'REGISTRO ABONOS'!$B$8:$BC$10041,54,0)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hidden="1" x14ac:dyDescent="0.2">
      <c r="B4413" s="31">
        <v>4404</v>
      </c>
      <c r="J4413">
        <f t="shared" si="74"/>
        <v>105000</v>
      </c>
      <c r="K4413" t="e">
        <f>VLOOKUP(B4413,'REGISTRO ABONOS'!$B$8:$BC$10041,54,0)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hidden="1" x14ac:dyDescent="0.2">
      <c r="B4414" s="31">
        <v>4405</v>
      </c>
      <c r="J4414">
        <f t="shared" si="74"/>
        <v>105000</v>
      </c>
      <c r="K4414" t="e">
        <f>VLOOKUP(B4414,'REGISTRO ABONOS'!$B$8:$BC$10041,54,0)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hidden="1" x14ac:dyDescent="0.2">
      <c r="B4415" s="31">
        <v>4406</v>
      </c>
      <c r="J4415">
        <f t="shared" si="74"/>
        <v>105000</v>
      </c>
      <c r="K4415" t="e">
        <f>VLOOKUP(B4415,'REGISTRO ABONOS'!$B$8:$BC$10041,54,0)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hidden="1" x14ac:dyDescent="0.2">
      <c r="B4416" s="31">
        <v>4407</v>
      </c>
      <c r="J4416">
        <f t="shared" si="74"/>
        <v>105000</v>
      </c>
      <c r="K4416" t="e">
        <f>VLOOKUP(B4416,'REGISTRO ABONOS'!$B$8:$BC$10041,54,0)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hidden="1" x14ac:dyDescent="0.2">
      <c r="B4417" s="31">
        <v>4408</v>
      </c>
      <c r="J4417">
        <f t="shared" si="74"/>
        <v>105000</v>
      </c>
      <c r="K4417" t="e">
        <f>VLOOKUP(B4417,'REGISTRO ABONOS'!$B$8:$BC$10041,54,0)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hidden="1" x14ac:dyDescent="0.2">
      <c r="B4418" s="31">
        <v>4409</v>
      </c>
      <c r="J4418">
        <f t="shared" si="74"/>
        <v>105000</v>
      </c>
      <c r="K4418" t="e">
        <f>VLOOKUP(B4418,'REGISTRO ABONOS'!$B$8:$BC$10041,54,0)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hidden="1" x14ac:dyDescent="0.2">
      <c r="B4419" s="31">
        <v>4410</v>
      </c>
      <c r="J4419">
        <f t="shared" si="74"/>
        <v>105000</v>
      </c>
      <c r="K4419" t="e">
        <f>VLOOKUP(B4419,'REGISTRO ABONOS'!$B$8:$BC$10041,54,0)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hidden="1" x14ac:dyDescent="0.2">
      <c r="B4420" s="31">
        <v>4411</v>
      </c>
      <c r="J4420">
        <f t="shared" si="74"/>
        <v>105000</v>
      </c>
      <c r="K4420" t="e">
        <f>VLOOKUP(B4420,'REGISTRO ABONOS'!$B$8:$BC$10041,54,0)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hidden="1" x14ac:dyDescent="0.2">
      <c r="B4421" s="31">
        <v>4412</v>
      </c>
      <c r="J4421">
        <f t="shared" si="74"/>
        <v>105000</v>
      </c>
      <c r="K4421" t="e">
        <f>VLOOKUP(B4421,'REGISTRO ABONOS'!$B$8:$BC$10041,54,0)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hidden="1" x14ac:dyDescent="0.2">
      <c r="B4422" s="31">
        <v>4413</v>
      </c>
      <c r="J4422">
        <f t="shared" si="74"/>
        <v>105000</v>
      </c>
      <c r="K4422" t="e">
        <f>VLOOKUP(B4422,'REGISTRO ABONOS'!$B$8:$BC$10041,54,0)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hidden="1" x14ac:dyDescent="0.2">
      <c r="B4423" s="31">
        <v>4414</v>
      </c>
      <c r="J4423">
        <f t="shared" si="74"/>
        <v>105000</v>
      </c>
      <c r="K4423" t="e">
        <f>VLOOKUP(B4423,'REGISTRO ABONOS'!$B$8:$BC$10041,54,0)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hidden="1" x14ac:dyDescent="0.2">
      <c r="B4424" s="31">
        <v>4415</v>
      </c>
      <c r="J4424">
        <f t="shared" si="74"/>
        <v>105000</v>
      </c>
      <c r="K4424" t="e">
        <f>VLOOKUP(B4424,'REGISTRO ABONOS'!$B$8:$BC$10041,54,0)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hidden="1" x14ac:dyDescent="0.2">
      <c r="B4425" s="31">
        <v>4416</v>
      </c>
      <c r="J4425">
        <f t="shared" si="74"/>
        <v>105000</v>
      </c>
      <c r="K4425" t="e">
        <f>VLOOKUP(B4425,'REGISTRO ABONOS'!$B$8:$BC$10041,54,0)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hidden="1" x14ac:dyDescent="0.2">
      <c r="B4426" s="31">
        <v>4417</v>
      </c>
      <c r="J4426">
        <f t="shared" si="74"/>
        <v>105000</v>
      </c>
      <c r="K4426" t="e">
        <f>VLOOKUP(B4426,'REGISTRO ABONOS'!$B$8:$BC$10041,54,0)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4"/>
        <v>105000</v>
      </c>
      <c r="K4427" t="e">
        <f>VLOOKUP(B4427,'REGISTRO ABONOS'!$B$8:$BC$10041,54,0)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hidden="1" x14ac:dyDescent="0.2">
      <c r="B4428" s="31">
        <v>4419</v>
      </c>
      <c r="J4428">
        <f t="shared" si="74"/>
        <v>105000</v>
      </c>
      <c r="K4428" t="e">
        <f>VLOOKUP(B4428,'REGISTRO ABONOS'!$B$8:$BC$10041,54,0)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hidden="1" x14ac:dyDescent="0.2">
      <c r="B4429" s="31">
        <v>4420</v>
      </c>
      <c r="J4429">
        <f t="shared" si="74"/>
        <v>105000</v>
      </c>
      <c r="K4429" t="e">
        <f>VLOOKUP(B4429,'REGISTRO ABONOS'!$B$8:$BC$10041,54,0)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hidden="1" x14ac:dyDescent="0.2">
      <c r="B4430" s="31">
        <v>4421</v>
      </c>
      <c r="J4430">
        <f t="shared" si="74"/>
        <v>105000</v>
      </c>
      <c r="K4430" t="e">
        <f>VLOOKUP(B4430,'REGISTRO ABONOS'!$B$8:$BC$10041,54,0)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hidden="1" x14ac:dyDescent="0.2">
      <c r="B4431" s="31">
        <v>4422</v>
      </c>
      <c r="J4431">
        <f t="shared" si="74"/>
        <v>105000</v>
      </c>
      <c r="K4431" t="e">
        <f>VLOOKUP(B4431,'REGISTRO ABONOS'!$B$8:$BC$10041,54,0)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hidden="1" x14ac:dyDescent="0.2">
      <c r="B4432" s="31">
        <v>4423</v>
      </c>
      <c r="J4432">
        <f t="shared" si="74"/>
        <v>105000</v>
      </c>
      <c r="K4432" t="e">
        <f>VLOOKUP(B4432,'REGISTRO ABONOS'!$B$8:$BC$10041,54,0)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hidden="1" x14ac:dyDescent="0.2">
      <c r="B4433" s="31">
        <v>4424</v>
      </c>
      <c r="J4433">
        <f t="shared" si="74"/>
        <v>105000</v>
      </c>
      <c r="K4433" t="e">
        <f>VLOOKUP(B4433,'REGISTRO ABONOS'!$B$8:$BC$10041,54,0)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hidden="1" x14ac:dyDescent="0.2">
      <c r="B4434" s="31">
        <v>4425</v>
      </c>
      <c r="J4434">
        <f t="shared" si="74"/>
        <v>105000</v>
      </c>
      <c r="K4434" t="e">
        <f>VLOOKUP(B4434,'REGISTRO ABONOS'!$B$8:$BC$10041,54,0)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hidden="1" x14ac:dyDescent="0.2">
      <c r="B4435" s="31">
        <v>4426</v>
      </c>
      <c r="J4435">
        <f t="shared" si="74"/>
        <v>105000</v>
      </c>
      <c r="K4435" t="e">
        <f>VLOOKUP(B4435,'REGISTRO ABONOS'!$B$8:$BC$10041,54,0)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hidden="1" x14ac:dyDescent="0.2">
      <c r="B4436" s="31">
        <v>4427</v>
      </c>
      <c r="J4436">
        <f t="shared" si="74"/>
        <v>105000</v>
      </c>
      <c r="K4436" t="e">
        <f>VLOOKUP(B4436,'REGISTRO ABONOS'!$B$8:$BC$10041,54,0)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hidden="1" x14ac:dyDescent="0.2">
      <c r="B4437" s="31">
        <v>4428</v>
      </c>
      <c r="J4437">
        <f t="shared" si="74"/>
        <v>105000</v>
      </c>
      <c r="K4437" t="e">
        <f>VLOOKUP(B4437,'REGISTRO ABONOS'!$B$8:$BC$10041,54,0)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hidden="1" x14ac:dyDescent="0.2">
      <c r="B4438" s="31">
        <v>4429</v>
      </c>
      <c r="J4438">
        <f t="shared" si="74"/>
        <v>105000</v>
      </c>
      <c r="K4438" t="e">
        <f>VLOOKUP(B4438,'REGISTRO ABONOS'!$B$8:$BC$10041,54,0)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hidden="1" x14ac:dyDescent="0.2">
      <c r="B4439" s="31">
        <v>4430</v>
      </c>
      <c r="J4439">
        <f t="shared" si="74"/>
        <v>105000</v>
      </c>
      <c r="K4439" t="e">
        <f>VLOOKUP(B4439,'REGISTRO ABONOS'!$B$8:$BC$10041,54,0)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hidden="1" x14ac:dyDescent="0.2">
      <c r="B4440" s="31">
        <v>4431</v>
      </c>
      <c r="J4440">
        <f t="shared" si="74"/>
        <v>105000</v>
      </c>
      <c r="K4440" t="e">
        <f>VLOOKUP(B4440,'REGISTRO ABONOS'!$B$8:$BC$10041,54,0)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hidden="1" x14ac:dyDescent="0.2">
      <c r="B4441" s="31">
        <v>4432</v>
      </c>
      <c r="J4441">
        <f t="shared" si="74"/>
        <v>105000</v>
      </c>
      <c r="K4441" t="e">
        <f>VLOOKUP(B4441,'REGISTRO ABONOS'!$B$8:$BC$10041,54,0)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hidden="1" x14ac:dyDescent="0.2">
      <c r="B4442" s="31">
        <v>4433</v>
      </c>
      <c r="J4442">
        <f t="shared" si="74"/>
        <v>105000</v>
      </c>
      <c r="K4442" t="e">
        <f>VLOOKUP(B4442,'REGISTRO ABONOS'!$B$8:$BC$10041,54,0)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hidden="1" x14ac:dyDescent="0.2">
      <c r="B4443" s="31">
        <v>4434</v>
      </c>
      <c r="J4443">
        <f t="shared" si="74"/>
        <v>105000</v>
      </c>
      <c r="K4443" t="e">
        <f>VLOOKUP(B4443,'REGISTRO ABONOS'!$B$8:$BC$10041,54,0)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hidden="1" x14ac:dyDescent="0.2">
      <c r="B4444" s="31">
        <v>4435</v>
      </c>
      <c r="J4444">
        <f t="shared" si="74"/>
        <v>105000</v>
      </c>
      <c r="K4444" t="e">
        <f>VLOOKUP(B4444,'REGISTRO ABONOS'!$B$8:$BC$10041,54,0)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hidden="1" x14ac:dyDescent="0.2">
      <c r="B4445" s="31">
        <v>4436</v>
      </c>
      <c r="J4445">
        <f t="shared" si="74"/>
        <v>105000</v>
      </c>
      <c r="K4445" t="e">
        <f>VLOOKUP(B4445,'REGISTRO ABONOS'!$B$8:$BC$10041,54,0)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hidden="1" x14ac:dyDescent="0.2">
      <c r="B4446" s="31">
        <v>4437</v>
      </c>
      <c r="J4446">
        <f t="shared" si="74"/>
        <v>105000</v>
      </c>
      <c r="K4446" t="e">
        <f>VLOOKUP(B4446,'REGISTRO ABONOS'!$B$8:$BC$10041,54,0)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hidden="1" x14ac:dyDescent="0.2">
      <c r="B4447" s="31">
        <v>4438</v>
      </c>
      <c r="J4447">
        <f t="shared" si="74"/>
        <v>105000</v>
      </c>
      <c r="K4447" t="e">
        <f>VLOOKUP(B4447,'REGISTRO ABONOS'!$B$8:$BC$10041,54,0)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hidden="1" x14ac:dyDescent="0.2">
      <c r="B4448" s="31">
        <v>4439</v>
      </c>
      <c r="J4448">
        <f t="shared" si="74"/>
        <v>105000</v>
      </c>
      <c r="K4448" t="e">
        <f>VLOOKUP(B4448,'REGISTRO ABONOS'!$B$8:$BC$10041,54,0)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hidden="1" x14ac:dyDescent="0.2">
      <c r="B4449" s="31">
        <v>4440</v>
      </c>
      <c r="J4449">
        <f t="shared" si="74"/>
        <v>105000</v>
      </c>
      <c r="K4449" t="e">
        <f>VLOOKUP(B4449,'REGISTRO ABONOS'!$B$8:$BC$10041,54,0)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hidden="1" x14ac:dyDescent="0.2">
      <c r="B4450" s="31">
        <v>4441</v>
      </c>
      <c r="J4450">
        <f t="shared" si="74"/>
        <v>105000</v>
      </c>
      <c r="K4450" t="e">
        <f>VLOOKUP(B4450,'REGISTRO ABONOS'!$B$8:$BC$10041,54,0)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hidden="1" x14ac:dyDescent="0.2">
      <c r="B4451" s="31">
        <v>4442</v>
      </c>
      <c r="J4451">
        <f t="shared" si="74"/>
        <v>105000</v>
      </c>
      <c r="K4451" t="e">
        <f>VLOOKUP(B4451,'REGISTRO ABONOS'!$B$8:$BC$10041,54,0)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hidden="1" x14ac:dyDescent="0.2">
      <c r="B4452" s="31">
        <v>4443</v>
      </c>
      <c r="J4452">
        <f t="shared" si="74"/>
        <v>105000</v>
      </c>
      <c r="K4452" t="e">
        <f>VLOOKUP(B4452,'REGISTRO ABONOS'!$B$8:$BC$10041,54,0)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hidden="1" x14ac:dyDescent="0.2">
      <c r="B4453" s="31">
        <v>4444</v>
      </c>
      <c r="J4453">
        <f t="shared" si="74"/>
        <v>105000</v>
      </c>
      <c r="K4453" t="e">
        <f>VLOOKUP(B4453,'REGISTRO ABONOS'!$B$8:$BC$10041,54,0)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hidden="1" x14ac:dyDescent="0.2">
      <c r="B4454" s="31">
        <v>4445</v>
      </c>
      <c r="J4454">
        <f t="shared" si="74"/>
        <v>105000</v>
      </c>
      <c r="K4454" t="e">
        <f>VLOOKUP(B4454,'REGISTRO ABONOS'!$B$8:$BC$10041,54,0)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hidden="1" x14ac:dyDescent="0.2">
      <c r="B4455" s="31">
        <v>4446</v>
      </c>
      <c r="J4455">
        <f t="shared" si="74"/>
        <v>105000</v>
      </c>
      <c r="K4455" t="e">
        <f>VLOOKUP(B4455,'REGISTRO ABONOS'!$B$8:$BC$10041,54,0)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hidden="1" x14ac:dyDescent="0.2">
      <c r="B4456" s="31">
        <v>4447</v>
      </c>
      <c r="J4456">
        <f t="shared" si="74"/>
        <v>105000</v>
      </c>
      <c r="K4456" t="e">
        <f>VLOOKUP(B4456,'REGISTRO ABONOS'!$B$8:$BC$10041,54,0)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hidden="1" x14ac:dyDescent="0.2">
      <c r="B4457" s="31">
        <v>4448</v>
      </c>
      <c r="J4457">
        <f t="shared" si="74"/>
        <v>105000</v>
      </c>
      <c r="K4457" t="e">
        <f>VLOOKUP(B4457,'REGISTRO ABONOS'!$B$8:$BC$10041,54,0)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hidden="1" x14ac:dyDescent="0.2">
      <c r="B4458" s="31">
        <v>4449</v>
      </c>
      <c r="J4458">
        <f t="shared" si="74"/>
        <v>105000</v>
      </c>
      <c r="K4458" t="e">
        <f>VLOOKUP(B4458,'REGISTRO ABONOS'!$B$8:$BC$10041,54,0)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hidden="1" x14ac:dyDescent="0.2">
      <c r="B4459" s="31">
        <v>4450</v>
      </c>
      <c r="J4459">
        <f t="shared" si="74"/>
        <v>105000</v>
      </c>
      <c r="K4459" t="e">
        <f>VLOOKUP(B4459,'REGISTRO ABONOS'!$B$8:$BC$10041,54,0)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hidden="1" x14ac:dyDescent="0.2">
      <c r="B4460" s="31">
        <v>4451</v>
      </c>
      <c r="J4460">
        <f t="shared" si="74"/>
        <v>105000</v>
      </c>
      <c r="K4460" t="e">
        <f>VLOOKUP(B4460,'REGISTRO ABONOS'!$B$8:$BC$10041,54,0)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hidden="1" x14ac:dyDescent="0.2">
      <c r="B4461" s="31">
        <v>4452</v>
      </c>
      <c r="J4461">
        <f t="shared" si="74"/>
        <v>105000</v>
      </c>
      <c r="K4461" t="e">
        <f>VLOOKUP(B4461,'REGISTRO ABONOS'!$B$8:$BC$10041,54,0)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hidden="1" x14ac:dyDescent="0.2">
      <c r="B4462" s="31">
        <v>4453</v>
      </c>
      <c r="J4462">
        <f t="shared" si="74"/>
        <v>105000</v>
      </c>
      <c r="K4462" t="e">
        <f>VLOOKUP(B4462,'REGISTRO ABONOS'!$B$8:$BC$10041,54,0)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hidden="1" x14ac:dyDescent="0.2">
      <c r="B4463" s="31">
        <v>4454</v>
      </c>
      <c r="J4463">
        <f t="shared" si="74"/>
        <v>105000</v>
      </c>
      <c r="K4463" t="e">
        <f>VLOOKUP(B4463,'REGISTRO ABONOS'!$B$8:$BC$10041,54,0)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hidden="1" x14ac:dyDescent="0.2">
      <c r="B4464" s="31">
        <v>4455</v>
      </c>
      <c r="J4464">
        <f t="shared" si="74"/>
        <v>105000</v>
      </c>
      <c r="K4464" t="e">
        <f>VLOOKUP(B4464,'REGISTRO ABONOS'!$B$8:$BC$10041,54,0)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hidden="1" x14ac:dyDescent="0.2">
      <c r="B4465" s="31">
        <v>4456</v>
      </c>
      <c r="J4465">
        <f t="shared" si="74"/>
        <v>105000</v>
      </c>
      <c r="K4465" t="e">
        <f>VLOOKUP(B4465,'REGISTRO ABONOS'!$B$8:$BC$10041,54,0)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hidden="1" x14ac:dyDescent="0.2">
      <c r="B4466" s="31">
        <v>4457</v>
      </c>
      <c r="J4466">
        <f t="shared" si="74"/>
        <v>105000</v>
      </c>
      <c r="K4466" t="e">
        <f>VLOOKUP(B4466,'REGISTRO ABONOS'!$B$8:$BC$10041,54,0)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hidden="1" x14ac:dyDescent="0.2">
      <c r="B4467" s="31">
        <v>4458</v>
      </c>
      <c r="J4467">
        <f t="shared" si="74"/>
        <v>105000</v>
      </c>
      <c r="K4467" t="e">
        <f>VLOOKUP(B4467,'REGISTRO ABONOS'!$B$8:$BC$10041,54,0)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hidden="1" x14ac:dyDescent="0.2">
      <c r="B4468" s="31">
        <v>4459</v>
      </c>
      <c r="J4468">
        <f t="shared" si="74"/>
        <v>105000</v>
      </c>
      <c r="K4468" t="e">
        <f>VLOOKUP(B4468,'REGISTRO ABONOS'!$B$8:$BC$10041,54,0)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hidden="1" x14ac:dyDescent="0.2">
      <c r="B4469" s="31">
        <v>4460</v>
      </c>
      <c r="J4469">
        <f t="shared" si="74"/>
        <v>105000</v>
      </c>
      <c r="K4469" t="e">
        <f>VLOOKUP(B4469,'REGISTRO ABONOS'!$B$8:$BC$10041,54,0)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hidden="1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ABONOS'!$B$8:$BC$10041,54,0)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hidden="1" x14ac:dyDescent="0.2">
      <c r="B4471" s="31">
        <v>4462</v>
      </c>
      <c r="J4471">
        <f t="shared" si="75"/>
        <v>105000</v>
      </c>
      <c r="K4471" t="e">
        <f>VLOOKUP(B4471,'REGISTRO ABONOS'!$B$8:$BC$10041,54,0)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hidden="1" x14ac:dyDescent="0.2">
      <c r="B4472" s="31">
        <v>4463</v>
      </c>
      <c r="J4472">
        <f t="shared" si="75"/>
        <v>105000</v>
      </c>
      <c r="K4472" t="e">
        <f>VLOOKUP(B4472,'REGISTRO ABONOS'!$B$8:$BC$10041,54,0)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hidden="1" x14ac:dyDescent="0.2">
      <c r="B4473" s="31">
        <v>4464</v>
      </c>
      <c r="J4473">
        <f t="shared" si="75"/>
        <v>105000</v>
      </c>
      <c r="K4473" t="e">
        <f>VLOOKUP(B4473,'REGISTRO ABONOS'!$B$8:$BC$10041,54,0)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hidden="1" x14ac:dyDescent="0.2">
      <c r="B4474" s="31">
        <v>4465</v>
      </c>
      <c r="J4474">
        <f t="shared" si="75"/>
        <v>105000</v>
      </c>
      <c r="K4474" t="e">
        <f>VLOOKUP(B4474,'REGISTRO ABONOS'!$B$8:$BC$10041,54,0)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hidden="1" x14ac:dyDescent="0.2">
      <c r="B4475" s="31">
        <v>4466</v>
      </c>
      <c r="J4475">
        <f t="shared" si="75"/>
        <v>105000</v>
      </c>
      <c r="K4475" t="e">
        <f>VLOOKUP(B4475,'REGISTRO ABONOS'!$B$8:$BC$10041,54,0)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hidden="1" x14ac:dyDescent="0.2">
      <c r="B4476" s="31">
        <v>4467</v>
      </c>
      <c r="J4476">
        <f t="shared" si="75"/>
        <v>105000</v>
      </c>
      <c r="K4476" t="e">
        <f>VLOOKUP(B4476,'REGISTRO ABONOS'!$B$8:$BC$10041,54,0)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hidden="1" x14ac:dyDescent="0.2">
      <c r="B4477" s="31">
        <v>4468</v>
      </c>
      <c r="J4477">
        <f t="shared" si="75"/>
        <v>105000</v>
      </c>
      <c r="K4477" t="e">
        <f>VLOOKUP(B4477,'REGISTRO ABONOS'!$B$8:$BC$10041,54,0)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hidden="1" x14ac:dyDescent="0.2">
      <c r="B4478" s="31">
        <v>4469</v>
      </c>
      <c r="J4478">
        <f t="shared" si="75"/>
        <v>105000</v>
      </c>
      <c r="K4478" t="e">
        <f>VLOOKUP(B4478,'REGISTRO ABONOS'!$B$8:$BC$10041,54,0)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hidden="1" x14ac:dyDescent="0.2">
      <c r="B4479" s="31">
        <v>4470</v>
      </c>
      <c r="J4479">
        <f t="shared" si="75"/>
        <v>105000</v>
      </c>
      <c r="K4479" t="e">
        <f>VLOOKUP(B4479,'REGISTRO ABONOS'!$B$8:$BC$10041,54,0)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hidden="1" x14ac:dyDescent="0.2">
      <c r="B4480" s="31">
        <v>4471</v>
      </c>
      <c r="J4480">
        <f t="shared" si="75"/>
        <v>105000</v>
      </c>
      <c r="K4480" t="e">
        <f>VLOOKUP(B4480,'REGISTRO ABONOS'!$B$8:$BC$10041,54,0)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hidden="1" x14ac:dyDescent="0.2">
      <c r="B4481" s="31">
        <v>4472</v>
      </c>
      <c r="J4481">
        <f t="shared" si="75"/>
        <v>105000</v>
      </c>
      <c r="K4481" t="e">
        <f>VLOOKUP(B4481,'REGISTRO ABONOS'!$B$8:$BC$10041,54,0)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hidden="1" x14ac:dyDescent="0.2">
      <c r="B4482" s="31">
        <v>4473</v>
      </c>
      <c r="J4482">
        <f t="shared" si="75"/>
        <v>105000</v>
      </c>
      <c r="K4482" t="e">
        <f>VLOOKUP(B4482,'REGISTRO ABONOS'!$B$8:$BC$10041,54,0)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hidden="1" x14ac:dyDescent="0.2">
      <c r="B4483" s="31">
        <v>4474</v>
      </c>
      <c r="J4483">
        <f t="shared" si="75"/>
        <v>105000</v>
      </c>
      <c r="K4483" t="e">
        <f>VLOOKUP(B4483,'REGISTRO ABONOS'!$B$8:$BC$10041,54,0)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hidden="1" x14ac:dyDescent="0.2">
      <c r="B4484" s="31">
        <v>4475</v>
      </c>
      <c r="J4484">
        <f t="shared" si="75"/>
        <v>105000</v>
      </c>
      <c r="K4484" t="e">
        <f>VLOOKUP(B4484,'REGISTRO ABONOS'!$B$8:$BC$10041,54,0)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hidden="1" x14ac:dyDescent="0.2">
      <c r="B4485" s="31">
        <v>4476</v>
      </c>
      <c r="J4485">
        <f t="shared" si="75"/>
        <v>105000</v>
      </c>
      <c r="K4485" t="e">
        <f>VLOOKUP(B4485,'REGISTRO ABONOS'!$B$8:$BC$10041,54,0)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hidden="1" x14ac:dyDescent="0.2">
      <c r="B4486" s="31">
        <v>4477</v>
      </c>
      <c r="J4486">
        <f t="shared" si="75"/>
        <v>105000</v>
      </c>
      <c r="K4486" t="e">
        <f>VLOOKUP(B4486,'REGISTRO ABONOS'!$B$8:$BC$10041,54,0)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hidden="1" x14ac:dyDescent="0.2">
      <c r="B4487" s="31">
        <v>4478</v>
      </c>
      <c r="J4487">
        <f t="shared" si="75"/>
        <v>105000</v>
      </c>
      <c r="K4487" t="e">
        <f>VLOOKUP(B4487,'REGISTRO ABONOS'!$B$8:$BC$10041,54,0)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hidden="1" x14ac:dyDescent="0.2">
      <c r="B4488" s="31">
        <v>4479</v>
      </c>
      <c r="J4488">
        <f t="shared" si="75"/>
        <v>105000</v>
      </c>
      <c r="K4488" t="e">
        <f>VLOOKUP(B4488,'REGISTRO ABONOS'!$B$8:$BC$10041,54,0)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hidden="1" x14ac:dyDescent="0.2">
      <c r="B4489" s="31">
        <v>4480</v>
      </c>
      <c r="J4489">
        <f t="shared" si="75"/>
        <v>105000</v>
      </c>
      <c r="K4489" t="e">
        <f>VLOOKUP(B4489,'REGISTRO ABONOS'!$B$8:$BC$10041,54,0)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hidden="1" x14ac:dyDescent="0.2">
      <c r="B4490" s="31">
        <v>4481</v>
      </c>
      <c r="J4490">
        <f t="shared" si="75"/>
        <v>105000</v>
      </c>
      <c r="K4490" t="e">
        <f>VLOOKUP(B4490,'REGISTRO ABONOS'!$B$8:$BC$10041,54,0)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hidden="1" x14ac:dyDescent="0.2">
      <c r="B4491" s="31">
        <v>4482</v>
      </c>
      <c r="J4491">
        <f t="shared" si="75"/>
        <v>105000</v>
      </c>
      <c r="K4491" t="e">
        <f>VLOOKUP(B4491,'REGISTRO ABONOS'!$B$8:$BC$10041,54,0)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hidden="1" x14ac:dyDescent="0.2">
      <c r="B4492" s="31">
        <v>4483</v>
      </c>
      <c r="J4492">
        <f t="shared" si="75"/>
        <v>105000</v>
      </c>
      <c r="K4492" t="e">
        <f>VLOOKUP(B4492,'REGISTRO ABONOS'!$B$8:$BC$10041,54,0)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hidden="1" x14ac:dyDescent="0.2">
      <c r="B4493" s="31">
        <v>4484</v>
      </c>
      <c r="J4493">
        <f t="shared" si="75"/>
        <v>105000</v>
      </c>
      <c r="K4493" t="e">
        <f>VLOOKUP(B4493,'REGISTRO ABONOS'!$B$8:$BC$10041,54,0)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hidden="1" x14ac:dyDescent="0.2">
      <c r="B4494" s="31">
        <v>4485</v>
      </c>
      <c r="J4494">
        <f t="shared" si="75"/>
        <v>105000</v>
      </c>
      <c r="K4494" t="e">
        <f>VLOOKUP(B4494,'REGISTRO ABONOS'!$B$8:$BC$10041,54,0)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hidden="1" x14ac:dyDescent="0.2">
      <c r="B4495" s="31">
        <v>4486</v>
      </c>
      <c r="J4495">
        <f t="shared" si="75"/>
        <v>105000</v>
      </c>
      <c r="K4495" t="e">
        <f>VLOOKUP(B4495,'REGISTRO ABONOS'!$B$8:$BC$10041,54,0)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hidden="1" x14ac:dyDescent="0.2">
      <c r="B4496" s="31">
        <v>4487</v>
      </c>
      <c r="J4496">
        <f t="shared" si="75"/>
        <v>105000</v>
      </c>
      <c r="K4496" t="e">
        <f>VLOOKUP(B4496,'REGISTRO ABONOS'!$B$8:$BC$10041,54,0)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hidden="1" x14ac:dyDescent="0.2">
      <c r="B4497" s="31">
        <v>4488</v>
      </c>
      <c r="J4497">
        <f t="shared" si="75"/>
        <v>105000</v>
      </c>
      <c r="K4497" t="e">
        <f>VLOOKUP(B4497,'REGISTRO ABONOS'!$B$8:$BC$10041,54,0)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hidden="1" x14ac:dyDescent="0.2">
      <c r="B4498" s="31">
        <v>4489</v>
      </c>
      <c r="J4498">
        <f t="shared" si="75"/>
        <v>105000</v>
      </c>
      <c r="K4498" t="e">
        <f>VLOOKUP(B4498,'REGISTRO ABONOS'!$B$8:$BC$10041,54,0)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hidden="1" x14ac:dyDescent="0.2">
      <c r="B4499" s="31">
        <v>4490</v>
      </c>
      <c r="J4499">
        <f t="shared" si="75"/>
        <v>105000</v>
      </c>
      <c r="K4499" t="e">
        <f>VLOOKUP(B4499,'REGISTRO ABONOS'!$B$8:$BC$10041,54,0)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hidden="1" x14ac:dyDescent="0.2">
      <c r="B4500" s="31">
        <v>4491</v>
      </c>
      <c r="J4500">
        <f t="shared" si="75"/>
        <v>105000</v>
      </c>
      <c r="K4500" t="e">
        <f>VLOOKUP(B4500,'REGISTRO ABONOS'!$B$8:$BC$10041,54,0)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hidden="1" x14ac:dyDescent="0.2">
      <c r="B4501" s="31">
        <v>4492</v>
      </c>
      <c r="J4501">
        <f t="shared" si="75"/>
        <v>105000</v>
      </c>
      <c r="K4501" t="e">
        <f>VLOOKUP(B4501,'REGISTRO ABONOS'!$B$8:$BC$10041,54,0)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hidden="1" x14ac:dyDescent="0.2">
      <c r="B4502" s="31">
        <v>4493</v>
      </c>
      <c r="J4502">
        <f t="shared" si="75"/>
        <v>105000</v>
      </c>
      <c r="K4502" t="e">
        <f>VLOOKUP(B4502,'REGISTRO ABONOS'!$B$8:$BC$10041,54,0)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hidden="1" x14ac:dyDescent="0.2">
      <c r="B4503" s="31">
        <v>4494</v>
      </c>
      <c r="J4503">
        <f t="shared" si="75"/>
        <v>105000</v>
      </c>
      <c r="K4503" t="e">
        <f>VLOOKUP(B4503,'REGISTRO ABONOS'!$B$8:$BC$10041,54,0)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hidden="1" x14ac:dyDescent="0.2">
      <c r="B4504" s="31">
        <v>4495</v>
      </c>
      <c r="J4504">
        <f t="shared" si="75"/>
        <v>105000</v>
      </c>
      <c r="K4504" t="e">
        <f>VLOOKUP(B4504,'REGISTRO ABONOS'!$B$8:$BC$10041,54,0)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hidden="1" x14ac:dyDescent="0.2">
      <c r="B4505" s="31">
        <v>4496</v>
      </c>
      <c r="J4505">
        <f t="shared" si="75"/>
        <v>105000</v>
      </c>
      <c r="K4505" t="e">
        <f>VLOOKUP(B4505,'REGISTRO ABONOS'!$B$8:$BC$10041,54,0)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hidden="1" x14ac:dyDescent="0.2">
      <c r="B4506" s="31">
        <v>4497</v>
      </c>
      <c r="J4506">
        <f t="shared" si="75"/>
        <v>105000</v>
      </c>
      <c r="K4506" t="e">
        <f>VLOOKUP(B4506,'REGISTRO ABONOS'!$B$8:$BC$10041,54,0)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hidden="1" x14ac:dyDescent="0.2">
      <c r="B4507" s="31">
        <v>4498</v>
      </c>
      <c r="J4507">
        <f t="shared" si="75"/>
        <v>105000</v>
      </c>
      <c r="K4507" t="e">
        <f>VLOOKUP(B4507,'REGISTRO ABONOS'!$B$8:$BC$10041,54,0)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hidden="1" x14ac:dyDescent="0.2">
      <c r="B4508" s="31">
        <v>4499</v>
      </c>
      <c r="J4508">
        <f t="shared" si="75"/>
        <v>105000</v>
      </c>
      <c r="K4508" t="e">
        <f>VLOOKUP(B4508,'REGISTRO ABONOS'!$B$8:$BC$10041,54,0)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hidden="1" x14ac:dyDescent="0.2">
      <c r="B4509" s="31">
        <v>4500</v>
      </c>
      <c r="J4509">
        <f t="shared" si="75"/>
        <v>105000</v>
      </c>
      <c r="K4509" t="e">
        <f>VLOOKUP(B4509,'REGISTRO ABONOS'!$B$8:$BC$10041,54,0)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hidden="1" x14ac:dyDescent="0.2">
      <c r="B4510" s="31">
        <v>4501</v>
      </c>
      <c r="J4510">
        <f t="shared" si="75"/>
        <v>105000</v>
      </c>
      <c r="K4510" t="e">
        <f>VLOOKUP(B4510,'REGISTRO ABONOS'!$B$8:$BC$10041,54,0)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hidden="1" x14ac:dyDescent="0.2">
      <c r="B4511" s="31">
        <v>4502</v>
      </c>
      <c r="J4511">
        <f t="shared" si="75"/>
        <v>105000</v>
      </c>
      <c r="K4511" t="e">
        <f>VLOOKUP(B4511,'REGISTRO ABONOS'!$B$8:$BC$10041,54,0)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hidden="1" x14ac:dyDescent="0.2">
      <c r="B4512" s="31">
        <v>4503</v>
      </c>
      <c r="J4512">
        <f t="shared" si="75"/>
        <v>105000</v>
      </c>
      <c r="K4512" t="e">
        <f>VLOOKUP(B4512,'REGISTRO ABONOS'!$B$8:$BC$10041,54,0)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hidden="1" x14ac:dyDescent="0.2">
      <c r="B4513" s="31">
        <v>4504</v>
      </c>
      <c r="J4513">
        <f t="shared" si="75"/>
        <v>105000</v>
      </c>
      <c r="K4513" t="e">
        <f>VLOOKUP(B4513,'REGISTRO ABONOS'!$B$8:$BC$10041,54,0)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hidden="1" x14ac:dyDescent="0.2">
      <c r="B4514" s="31">
        <v>4505</v>
      </c>
      <c r="J4514">
        <f t="shared" si="75"/>
        <v>105000</v>
      </c>
      <c r="K4514" t="e">
        <f>VLOOKUP(B4514,'REGISTRO ABONOS'!$B$8:$BC$10041,54,0)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hidden="1" x14ac:dyDescent="0.2">
      <c r="B4515" s="31">
        <v>4506</v>
      </c>
      <c r="J4515">
        <f t="shared" si="75"/>
        <v>105000</v>
      </c>
      <c r="K4515" t="e">
        <f>VLOOKUP(B4515,'REGISTRO ABONOS'!$B$8:$BC$10041,54,0)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hidden="1" x14ac:dyDescent="0.2">
      <c r="B4516" s="31">
        <v>4507</v>
      </c>
      <c r="J4516">
        <f t="shared" si="75"/>
        <v>105000</v>
      </c>
      <c r="K4516" t="e">
        <f>VLOOKUP(B4516,'REGISTRO ABONOS'!$B$8:$BC$10041,54,0)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hidden="1" x14ac:dyDescent="0.2">
      <c r="B4517" s="31">
        <v>4508</v>
      </c>
      <c r="J4517">
        <f t="shared" si="75"/>
        <v>105000</v>
      </c>
      <c r="K4517" t="e">
        <f>VLOOKUP(B4517,'REGISTRO ABONOS'!$B$8:$BC$10041,54,0)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hidden="1" x14ac:dyDescent="0.2">
      <c r="B4518" s="31">
        <v>4509</v>
      </c>
      <c r="J4518">
        <f t="shared" si="75"/>
        <v>105000</v>
      </c>
      <c r="K4518" t="e">
        <f>VLOOKUP(B4518,'REGISTRO ABONOS'!$B$8:$BC$10041,54,0)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hidden="1" x14ac:dyDescent="0.2">
      <c r="B4519" s="31">
        <v>4510</v>
      </c>
      <c r="J4519">
        <f t="shared" si="75"/>
        <v>105000</v>
      </c>
      <c r="K4519" t="e">
        <f>VLOOKUP(B4519,'REGISTRO ABONOS'!$B$8:$BC$10041,54,0)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hidden="1" x14ac:dyDescent="0.2">
      <c r="B4520" s="31">
        <v>4511</v>
      </c>
      <c r="J4520">
        <f t="shared" si="75"/>
        <v>105000</v>
      </c>
      <c r="K4520" t="e">
        <f>VLOOKUP(B4520,'REGISTRO ABONOS'!$B$8:$BC$10041,54,0)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hidden="1" x14ac:dyDescent="0.2">
      <c r="B4521" s="31">
        <v>4512</v>
      </c>
      <c r="J4521">
        <f t="shared" si="75"/>
        <v>105000</v>
      </c>
      <c r="K4521" t="e">
        <f>VLOOKUP(B4521,'REGISTRO ABONOS'!$B$8:$BC$10041,54,0)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hidden="1" x14ac:dyDescent="0.2">
      <c r="B4522" s="31">
        <v>4513</v>
      </c>
      <c r="J4522">
        <f t="shared" si="75"/>
        <v>105000</v>
      </c>
      <c r="K4522" t="e">
        <f>VLOOKUP(B4522,'REGISTRO ABONOS'!$B$8:$BC$10041,54,0)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hidden="1" x14ac:dyDescent="0.2">
      <c r="B4523" s="31">
        <v>4514</v>
      </c>
      <c r="J4523">
        <f t="shared" si="75"/>
        <v>105000</v>
      </c>
      <c r="K4523" t="e">
        <f>VLOOKUP(B4523,'REGISTRO ABONOS'!$B$8:$BC$10041,54,0)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hidden="1" x14ac:dyDescent="0.2">
      <c r="B4524" s="31">
        <v>4515</v>
      </c>
      <c r="J4524">
        <f t="shared" si="75"/>
        <v>105000</v>
      </c>
      <c r="K4524" t="e">
        <f>VLOOKUP(B4524,'REGISTRO ABONOS'!$B$8:$BC$10041,54,0)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hidden="1" x14ac:dyDescent="0.2">
      <c r="B4525" s="31">
        <v>4516</v>
      </c>
      <c r="J4525">
        <f t="shared" si="75"/>
        <v>105000</v>
      </c>
      <c r="K4525" t="e">
        <f>VLOOKUP(B4525,'REGISTRO ABONOS'!$B$8:$BC$10041,54,0)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hidden="1" x14ac:dyDescent="0.2">
      <c r="B4526" s="31">
        <v>4517</v>
      </c>
      <c r="J4526">
        <f t="shared" si="75"/>
        <v>105000</v>
      </c>
      <c r="K4526" t="e">
        <f>VLOOKUP(B4526,'REGISTRO ABONOS'!$B$8:$BC$10041,54,0)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hidden="1" x14ac:dyDescent="0.2">
      <c r="B4527" s="31">
        <v>4518</v>
      </c>
      <c r="J4527">
        <f t="shared" si="75"/>
        <v>105000</v>
      </c>
      <c r="K4527" t="e">
        <f>VLOOKUP(B4527,'REGISTRO ABONOS'!$B$8:$BC$10041,54,0)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hidden="1" x14ac:dyDescent="0.2">
      <c r="B4528" s="31">
        <v>4519</v>
      </c>
      <c r="J4528">
        <f t="shared" si="75"/>
        <v>105000</v>
      </c>
      <c r="K4528" t="e">
        <f>VLOOKUP(B4528,'REGISTRO ABONOS'!$B$8:$BC$10041,54,0)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hidden="1" x14ac:dyDescent="0.2">
      <c r="B4529" s="31">
        <v>4520</v>
      </c>
      <c r="J4529">
        <f t="shared" si="75"/>
        <v>105000</v>
      </c>
      <c r="K4529" t="e">
        <f>VLOOKUP(B4529,'REGISTRO ABONOS'!$B$8:$BC$10041,54,0)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hidden="1" x14ac:dyDescent="0.2">
      <c r="B4530" s="31">
        <v>4521</v>
      </c>
      <c r="J4530">
        <f t="shared" si="75"/>
        <v>105000</v>
      </c>
      <c r="K4530" t="e">
        <f>VLOOKUP(B4530,'REGISTRO ABONOS'!$B$8:$BC$10041,54,0)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hidden="1" x14ac:dyDescent="0.2">
      <c r="B4531" s="31">
        <v>4522</v>
      </c>
      <c r="J4531">
        <f t="shared" si="75"/>
        <v>105000</v>
      </c>
      <c r="K4531" t="e">
        <f>VLOOKUP(B4531,'REGISTRO ABONOS'!$B$8:$BC$10041,54,0)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hidden="1" x14ac:dyDescent="0.2">
      <c r="B4532" s="31">
        <v>4523</v>
      </c>
      <c r="J4532">
        <f t="shared" si="75"/>
        <v>105000</v>
      </c>
      <c r="K4532" t="e">
        <f>VLOOKUP(B4532,'REGISTRO ABONOS'!$B$8:$BC$10041,54,0)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hidden="1" x14ac:dyDescent="0.2">
      <c r="B4533" s="31">
        <v>4524</v>
      </c>
      <c r="J4533">
        <f t="shared" si="75"/>
        <v>105000</v>
      </c>
      <c r="K4533" t="e">
        <f>VLOOKUP(B4533,'REGISTRO ABONOS'!$B$8:$BC$10041,54,0)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hidden="1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ABONOS'!$B$8:$BC$10041,54,0)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hidden="1" x14ac:dyDescent="0.2">
      <c r="B4535" s="31">
        <v>4526</v>
      </c>
      <c r="J4535">
        <f t="shared" si="76"/>
        <v>105000</v>
      </c>
      <c r="K4535" t="e">
        <f>VLOOKUP(B4535,'REGISTRO ABONOS'!$B$8:$BC$10041,54,0)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6"/>
        <v>105000</v>
      </c>
      <c r="K4536" t="e">
        <f>VLOOKUP(B4536,'REGISTRO ABONOS'!$B$8:$BC$10041,54,0)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hidden="1" x14ac:dyDescent="0.2">
      <c r="B4537" s="31">
        <v>4528</v>
      </c>
      <c r="J4537">
        <f t="shared" si="76"/>
        <v>105000</v>
      </c>
      <c r="K4537" t="e">
        <f>VLOOKUP(B4537,'REGISTRO ABONOS'!$B$8:$BC$10041,54,0)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hidden="1" x14ac:dyDescent="0.2">
      <c r="B4538" s="31">
        <v>4529</v>
      </c>
      <c r="J4538">
        <f t="shared" si="76"/>
        <v>105000</v>
      </c>
      <c r="K4538" t="e">
        <f>VLOOKUP(B4538,'REGISTRO ABONOS'!$B$8:$BC$10041,54,0)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hidden="1" x14ac:dyDescent="0.2">
      <c r="B4539" s="31">
        <v>4530</v>
      </c>
      <c r="J4539">
        <f t="shared" si="76"/>
        <v>105000</v>
      </c>
      <c r="K4539" t="e">
        <f>VLOOKUP(B4539,'REGISTRO ABONOS'!$B$8:$BC$10041,54,0)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hidden="1" x14ac:dyDescent="0.2">
      <c r="B4540" s="31">
        <v>4531</v>
      </c>
      <c r="J4540">
        <f t="shared" si="76"/>
        <v>105000</v>
      </c>
      <c r="K4540" t="e">
        <f>VLOOKUP(B4540,'REGISTRO ABONOS'!$B$8:$BC$10041,54,0)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hidden="1" x14ac:dyDescent="0.2">
      <c r="B4541" s="31">
        <v>4532</v>
      </c>
      <c r="J4541">
        <f t="shared" si="76"/>
        <v>105000</v>
      </c>
      <c r="K4541" t="e">
        <f>VLOOKUP(B4541,'REGISTRO ABONOS'!$B$8:$BC$10041,54,0)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hidden="1" x14ac:dyDescent="0.2">
      <c r="B4542" s="31">
        <v>4533</v>
      </c>
      <c r="J4542">
        <f t="shared" si="76"/>
        <v>105000</v>
      </c>
      <c r="K4542" t="e">
        <f>VLOOKUP(B4542,'REGISTRO ABONOS'!$B$8:$BC$10041,54,0)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hidden="1" x14ac:dyDescent="0.2">
      <c r="B4543" s="31">
        <v>4534</v>
      </c>
      <c r="J4543">
        <f t="shared" si="76"/>
        <v>105000</v>
      </c>
      <c r="K4543" t="e">
        <f>VLOOKUP(B4543,'REGISTRO ABONOS'!$B$8:$BC$10041,54,0)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hidden="1" x14ac:dyDescent="0.2">
      <c r="B4544" s="31">
        <v>4535</v>
      </c>
      <c r="J4544">
        <f t="shared" si="76"/>
        <v>105000</v>
      </c>
      <c r="K4544" t="e">
        <f>VLOOKUP(B4544,'REGISTRO ABONOS'!$B$8:$BC$10041,54,0)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hidden="1" x14ac:dyDescent="0.2">
      <c r="B4545" s="31">
        <v>4536</v>
      </c>
      <c r="J4545">
        <f t="shared" si="76"/>
        <v>105000</v>
      </c>
      <c r="K4545" t="e">
        <f>VLOOKUP(B4545,'REGISTRO ABONOS'!$B$8:$BC$10041,54,0)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hidden="1" x14ac:dyDescent="0.2">
      <c r="B4546" s="31">
        <v>4537</v>
      </c>
      <c r="J4546">
        <f t="shared" si="76"/>
        <v>105000</v>
      </c>
      <c r="K4546" t="e">
        <f>VLOOKUP(B4546,'REGISTRO ABONOS'!$B$8:$BC$10041,54,0)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hidden="1" x14ac:dyDescent="0.2">
      <c r="B4547" s="31">
        <v>4538</v>
      </c>
      <c r="J4547">
        <f t="shared" si="76"/>
        <v>105000</v>
      </c>
      <c r="K4547" t="e">
        <f>VLOOKUP(B4547,'REGISTRO ABONOS'!$B$8:$BC$10041,54,0)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hidden="1" x14ac:dyDescent="0.2">
      <c r="B4548" s="31">
        <v>4539</v>
      </c>
      <c r="J4548">
        <f t="shared" si="76"/>
        <v>105000</v>
      </c>
      <c r="K4548" t="e">
        <f>VLOOKUP(B4548,'REGISTRO ABONOS'!$B$8:$BC$10041,54,0)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hidden="1" x14ac:dyDescent="0.2">
      <c r="B4549" s="31">
        <v>4540</v>
      </c>
      <c r="J4549">
        <f t="shared" si="76"/>
        <v>105000</v>
      </c>
      <c r="K4549" t="e">
        <f>VLOOKUP(B4549,'REGISTRO ABONOS'!$B$8:$BC$10041,54,0)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hidden="1" x14ac:dyDescent="0.2">
      <c r="B4550" s="31">
        <v>4541</v>
      </c>
      <c r="J4550">
        <f t="shared" si="76"/>
        <v>105000</v>
      </c>
      <c r="K4550" t="e">
        <f>VLOOKUP(B4550,'REGISTRO ABONOS'!$B$8:$BC$10041,54,0)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hidden="1" x14ac:dyDescent="0.2">
      <c r="B4551" s="31">
        <v>4542</v>
      </c>
      <c r="J4551">
        <f t="shared" si="76"/>
        <v>105000</v>
      </c>
      <c r="K4551" t="e">
        <f>VLOOKUP(B4551,'REGISTRO ABONOS'!$B$8:$BC$10041,54,0)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hidden="1" x14ac:dyDescent="0.2">
      <c r="B4552" s="31">
        <v>4543</v>
      </c>
      <c r="J4552">
        <f t="shared" si="76"/>
        <v>105000</v>
      </c>
      <c r="K4552" t="e">
        <f>VLOOKUP(B4552,'REGISTRO ABONOS'!$B$8:$BC$10041,54,0)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hidden="1" x14ac:dyDescent="0.2">
      <c r="B4553" s="31">
        <v>4544</v>
      </c>
      <c r="J4553">
        <f t="shared" si="76"/>
        <v>105000</v>
      </c>
      <c r="K4553" t="e">
        <f>VLOOKUP(B4553,'REGISTRO ABONOS'!$B$8:$BC$10041,54,0)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hidden="1" x14ac:dyDescent="0.2">
      <c r="B4554" s="31">
        <v>4545</v>
      </c>
      <c r="J4554">
        <f t="shared" si="76"/>
        <v>105000</v>
      </c>
      <c r="K4554" t="e">
        <f>VLOOKUP(B4554,'REGISTRO ABONOS'!$B$8:$BC$10041,54,0)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hidden="1" x14ac:dyDescent="0.2">
      <c r="B4555" s="31">
        <v>4546</v>
      </c>
      <c r="J4555">
        <f t="shared" si="76"/>
        <v>105000</v>
      </c>
      <c r="K4555" t="e">
        <f>VLOOKUP(B4555,'REGISTRO ABONOS'!$B$8:$BC$10041,54,0)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hidden="1" x14ac:dyDescent="0.2">
      <c r="B4556" s="31">
        <v>4547</v>
      </c>
      <c r="J4556">
        <f t="shared" si="76"/>
        <v>105000</v>
      </c>
      <c r="K4556" t="e">
        <f>VLOOKUP(B4556,'REGISTRO ABONOS'!$B$8:$BC$10041,54,0)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hidden="1" x14ac:dyDescent="0.2">
      <c r="B4557" s="31">
        <v>4548</v>
      </c>
      <c r="J4557">
        <f t="shared" si="76"/>
        <v>105000</v>
      </c>
      <c r="K4557" t="e">
        <f>VLOOKUP(B4557,'REGISTRO ABONOS'!$B$8:$BC$10041,54,0)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hidden="1" x14ac:dyDescent="0.2">
      <c r="B4558" s="31">
        <v>4549</v>
      </c>
      <c r="J4558">
        <f t="shared" si="76"/>
        <v>105000</v>
      </c>
      <c r="K4558" t="e">
        <f>VLOOKUP(B4558,'REGISTRO ABONOS'!$B$8:$BC$10041,54,0)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hidden="1" x14ac:dyDescent="0.2">
      <c r="B4559" s="31">
        <v>4550</v>
      </c>
      <c r="J4559">
        <f t="shared" si="76"/>
        <v>105000</v>
      </c>
      <c r="K4559" t="e">
        <f>VLOOKUP(B4559,'REGISTRO ABONOS'!$B$8:$BC$10041,54,0)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hidden="1" x14ac:dyDescent="0.2">
      <c r="B4560" s="31">
        <v>4551</v>
      </c>
      <c r="J4560">
        <f t="shared" si="76"/>
        <v>105000</v>
      </c>
      <c r="K4560" t="e">
        <f>VLOOKUP(B4560,'REGISTRO ABONOS'!$B$8:$BC$10041,54,0)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hidden="1" x14ac:dyDescent="0.2">
      <c r="B4561" s="31">
        <v>4552</v>
      </c>
      <c r="J4561">
        <f t="shared" si="76"/>
        <v>105000</v>
      </c>
      <c r="K4561" t="e">
        <f>VLOOKUP(B4561,'REGISTRO ABONOS'!$B$8:$BC$10041,54,0)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hidden="1" x14ac:dyDescent="0.2">
      <c r="B4562" s="31">
        <v>4553</v>
      </c>
      <c r="J4562">
        <f t="shared" si="76"/>
        <v>105000</v>
      </c>
      <c r="K4562" t="e">
        <f>VLOOKUP(B4562,'REGISTRO ABONOS'!$B$8:$BC$10041,54,0)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hidden="1" x14ac:dyDescent="0.2">
      <c r="B4563" s="31">
        <v>4554</v>
      </c>
      <c r="J4563">
        <f t="shared" si="76"/>
        <v>105000</v>
      </c>
      <c r="K4563" t="e">
        <f>VLOOKUP(B4563,'REGISTRO ABONOS'!$B$8:$BC$10041,54,0)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hidden="1" x14ac:dyDescent="0.2">
      <c r="B4564" s="31">
        <v>4555</v>
      </c>
      <c r="J4564">
        <f t="shared" si="76"/>
        <v>105000</v>
      </c>
      <c r="K4564" t="e">
        <f>VLOOKUP(B4564,'REGISTRO ABONOS'!$B$8:$BC$10041,54,0)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hidden="1" x14ac:dyDescent="0.2">
      <c r="B4565" s="31">
        <v>4556</v>
      </c>
      <c r="J4565">
        <f t="shared" si="76"/>
        <v>105000</v>
      </c>
      <c r="K4565" t="e">
        <f>VLOOKUP(B4565,'REGISTRO ABONOS'!$B$8:$BC$10041,54,0)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hidden="1" x14ac:dyDescent="0.2">
      <c r="B4566" s="31">
        <v>4557</v>
      </c>
      <c r="J4566">
        <f t="shared" si="76"/>
        <v>105000</v>
      </c>
      <c r="K4566" t="e">
        <f>VLOOKUP(B4566,'REGISTRO ABONOS'!$B$8:$BC$10041,54,0)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hidden="1" x14ac:dyDescent="0.2">
      <c r="B4567" s="31">
        <v>4558</v>
      </c>
      <c r="J4567">
        <f t="shared" si="76"/>
        <v>105000</v>
      </c>
      <c r="K4567" t="e">
        <f>VLOOKUP(B4567,'REGISTRO ABONOS'!$B$8:$BC$10041,54,0)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hidden="1" x14ac:dyDescent="0.2">
      <c r="B4568" s="31">
        <v>4559</v>
      </c>
      <c r="J4568">
        <f t="shared" si="76"/>
        <v>105000</v>
      </c>
      <c r="K4568" t="e">
        <f>VLOOKUP(B4568,'REGISTRO ABONOS'!$B$8:$BC$10041,54,0)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hidden="1" x14ac:dyDescent="0.2">
      <c r="B4569" s="31">
        <v>4560</v>
      </c>
      <c r="J4569">
        <f t="shared" si="76"/>
        <v>105000</v>
      </c>
      <c r="K4569" t="e">
        <f>VLOOKUP(B4569,'REGISTRO ABONOS'!$B$8:$BC$10041,54,0)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hidden="1" x14ac:dyDescent="0.2">
      <c r="B4570" s="31">
        <v>4561</v>
      </c>
      <c r="J4570">
        <f t="shared" si="76"/>
        <v>105000</v>
      </c>
      <c r="K4570" t="e">
        <f>VLOOKUP(B4570,'REGISTRO ABONOS'!$B$8:$BC$10041,54,0)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hidden="1" x14ac:dyDescent="0.2">
      <c r="B4571" s="31">
        <v>4562</v>
      </c>
      <c r="J4571">
        <f t="shared" si="76"/>
        <v>105000</v>
      </c>
      <c r="K4571" t="e">
        <f>VLOOKUP(B4571,'REGISTRO ABONOS'!$B$8:$BC$10041,54,0)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hidden="1" x14ac:dyDescent="0.2">
      <c r="B4572" s="31">
        <v>4563</v>
      </c>
      <c r="J4572">
        <f t="shared" si="76"/>
        <v>105000</v>
      </c>
      <c r="K4572" t="e">
        <f>VLOOKUP(B4572,'REGISTRO ABONOS'!$B$8:$BC$10041,54,0)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hidden="1" x14ac:dyDescent="0.2">
      <c r="B4573" s="31">
        <v>4564</v>
      </c>
      <c r="J4573">
        <f t="shared" si="76"/>
        <v>105000</v>
      </c>
      <c r="K4573" t="e">
        <f>VLOOKUP(B4573,'REGISTRO ABONOS'!$B$8:$BC$10041,54,0)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hidden="1" x14ac:dyDescent="0.2">
      <c r="B4574" s="31">
        <v>4565</v>
      </c>
      <c r="J4574">
        <f t="shared" si="76"/>
        <v>105000</v>
      </c>
      <c r="K4574" t="e">
        <f>VLOOKUP(B4574,'REGISTRO ABONOS'!$B$8:$BC$10041,54,0)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hidden="1" x14ac:dyDescent="0.2">
      <c r="B4575" s="31">
        <v>4566</v>
      </c>
      <c r="J4575">
        <f t="shared" si="76"/>
        <v>105000</v>
      </c>
      <c r="K4575" t="e">
        <f>VLOOKUP(B4575,'REGISTRO ABONOS'!$B$8:$BC$10041,54,0)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hidden="1" x14ac:dyDescent="0.2">
      <c r="B4576" s="31">
        <v>4567</v>
      </c>
      <c r="J4576">
        <f t="shared" si="76"/>
        <v>105000</v>
      </c>
      <c r="K4576" t="e">
        <f>VLOOKUP(B4576,'REGISTRO ABONOS'!$B$8:$BC$10041,54,0)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hidden="1" x14ac:dyDescent="0.2">
      <c r="B4577" s="31">
        <v>4568</v>
      </c>
      <c r="J4577">
        <f t="shared" si="76"/>
        <v>105000</v>
      </c>
      <c r="K4577" t="e">
        <f>VLOOKUP(B4577,'REGISTRO ABONOS'!$B$8:$BC$10041,54,0)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hidden="1" x14ac:dyDescent="0.2">
      <c r="B4578" s="31">
        <v>4569</v>
      </c>
      <c r="J4578">
        <f t="shared" si="76"/>
        <v>105000</v>
      </c>
      <c r="K4578" t="e">
        <f>VLOOKUP(B4578,'REGISTRO ABONOS'!$B$8:$BC$10041,54,0)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hidden="1" x14ac:dyDescent="0.2">
      <c r="B4579" s="31">
        <v>4570</v>
      </c>
      <c r="J4579">
        <f t="shared" si="76"/>
        <v>105000</v>
      </c>
      <c r="K4579" t="e">
        <f>VLOOKUP(B4579,'REGISTRO ABONOS'!$B$8:$BC$10041,54,0)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hidden="1" x14ac:dyDescent="0.2">
      <c r="B4580" s="31">
        <v>4571</v>
      </c>
      <c r="J4580">
        <f t="shared" si="76"/>
        <v>105000</v>
      </c>
      <c r="K4580" t="e">
        <f>VLOOKUP(B4580,'REGISTRO ABONOS'!$B$8:$BC$10041,54,0)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hidden="1" x14ac:dyDescent="0.2">
      <c r="B4581" s="31">
        <v>4572</v>
      </c>
      <c r="J4581">
        <f t="shared" si="76"/>
        <v>105000</v>
      </c>
      <c r="K4581" t="e">
        <f>VLOOKUP(B4581,'REGISTRO ABONOS'!$B$8:$BC$10041,54,0)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hidden="1" x14ac:dyDescent="0.2">
      <c r="B4582" s="31">
        <v>4573</v>
      </c>
      <c r="J4582">
        <f t="shared" si="76"/>
        <v>105000</v>
      </c>
      <c r="K4582" t="e">
        <f>VLOOKUP(B4582,'REGISTRO ABONOS'!$B$8:$BC$10041,54,0)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hidden="1" x14ac:dyDescent="0.2">
      <c r="B4583" s="31">
        <v>4574</v>
      </c>
      <c r="J4583">
        <f t="shared" si="76"/>
        <v>105000</v>
      </c>
      <c r="K4583" t="e">
        <f>VLOOKUP(B4583,'REGISTRO ABONOS'!$B$8:$BC$10041,54,0)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hidden="1" x14ac:dyDescent="0.2">
      <c r="B4584" s="31">
        <v>4575</v>
      </c>
      <c r="J4584">
        <f t="shared" si="76"/>
        <v>105000</v>
      </c>
      <c r="K4584" t="e">
        <f>VLOOKUP(B4584,'REGISTRO ABONOS'!$B$8:$BC$10041,54,0)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hidden="1" x14ac:dyDescent="0.2">
      <c r="B4585" s="31">
        <v>4576</v>
      </c>
      <c r="J4585">
        <f t="shared" si="76"/>
        <v>105000</v>
      </c>
      <c r="K4585" t="e">
        <f>VLOOKUP(B4585,'REGISTRO ABONOS'!$B$8:$BC$10041,54,0)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hidden="1" x14ac:dyDescent="0.2">
      <c r="B4586" s="31">
        <v>4577</v>
      </c>
      <c r="J4586">
        <f t="shared" si="76"/>
        <v>105000</v>
      </c>
      <c r="K4586" t="e">
        <f>VLOOKUP(B4586,'REGISTRO ABONOS'!$B$8:$BC$10041,54,0)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hidden="1" x14ac:dyDescent="0.2">
      <c r="B4587" s="31">
        <v>4578</v>
      </c>
      <c r="J4587">
        <f t="shared" si="76"/>
        <v>105000</v>
      </c>
      <c r="K4587" t="e">
        <f>VLOOKUP(B4587,'REGISTRO ABONOS'!$B$8:$BC$10041,54,0)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hidden="1" x14ac:dyDescent="0.2">
      <c r="B4588" s="31">
        <v>4579</v>
      </c>
      <c r="J4588">
        <f t="shared" si="76"/>
        <v>105000</v>
      </c>
      <c r="K4588" t="e">
        <f>VLOOKUP(B4588,'REGISTRO ABONOS'!$B$8:$BC$10041,54,0)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hidden="1" x14ac:dyDescent="0.2">
      <c r="B4589" s="31">
        <v>4580</v>
      </c>
      <c r="J4589">
        <f t="shared" si="76"/>
        <v>105000</v>
      </c>
      <c r="K4589" t="e">
        <f>VLOOKUP(B4589,'REGISTRO ABONOS'!$B$8:$BC$10041,54,0)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hidden="1" x14ac:dyDescent="0.2">
      <c r="B4590" s="31">
        <v>4581</v>
      </c>
      <c r="J4590">
        <f t="shared" si="76"/>
        <v>105000</v>
      </c>
      <c r="K4590" t="e">
        <f>VLOOKUP(B4590,'REGISTRO ABONOS'!$B$8:$BC$10041,54,0)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hidden="1" x14ac:dyDescent="0.2">
      <c r="B4591" s="31">
        <v>4582</v>
      </c>
      <c r="J4591">
        <f t="shared" si="76"/>
        <v>105000</v>
      </c>
      <c r="K4591" t="e">
        <f>VLOOKUP(B4591,'REGISTRO ABONOS'!$B$8:$BC$10041,54,0)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hidden="1" x14ac:dyDescent="0.2">
      <c r="B4592" s="31">
        <v>4583</v>
      </c>
      <c r="J4592">
        <f t="shared" si="76"/>
        <v>105000</v>
      </c>
      <c r="K4592" t="e">
        <f>VLOOKUP(B4592,'REGISTRO ABONOS'!$B$8:$BC$10041,54,0)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hidden="1" x14ac:dyDescent="0.2">
      <c r="B4593" s="31">
        <v>4584</v>
      </c>
      <c r="J4593">
        <f t="shared" si="76"/>
        <v>105000</v>
      </c>
      <c r="K4593" t="e">
        <f>VLOOKUP(B4593,'REGISTRO ABONOS'!$B$8:$BC$10041,54,0)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hidden="1" x14ac:dyDescent="0.2">
      <c r="B4594" s="31">
        <v>4585</v>
      </c>
      <c r="J4594">
        <f t="shared" si="76"/>
        <v>105000</v>
      </c>
      <c r="K4594" t="e">
        <f>VLOOKUP(B4594,'REGISTRO ABONOS'!$B$8:$BC$10041,54,0)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hidden="1" x14ac:dyDescent="0.2">
      <c r="B4595" s="31">
        <v>4586</v>
      </c>
      <c r="J4595">
        <f t="shared" si="76"/>
        <v>105000</v>
      </c>
      <c r="K4595" t="e">
        <f>VLOOKUP(B4595,'REGISTRO ABONOS'!$B$8:$BC$10041,54,0)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hidden="1" x14ac:dyDescent="0.2">
      <c r="B4596" s="31">
        <v>4587</v>
      </c>
      <c r="J4596">
        <f t="shared" si="76"/>
        <v>105000</v>
      </c>
      <c r="K4596" t="e">
        <f>VLOOKUP(B4596,'REGISTRO ABONOS'!$B$8:$BC$10041,54,0)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hidden="1" x14ac:dyDescent="0.2">
      <c r="B4597" s="31">
        <v>4588</v>
      </c>
      <c r="J4597">
        <f t="shared" si="76"/>
        <v>105000</v>
      </c>
      <c r="K4597" t="e">
        <f>VLOOKUP(B4597,'REGISTRO ABONOS'!$B$8:$BC$10041,54,0)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hidden="1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ABONOS'!$B$8:$BC$10041,54,0)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hidden="1" x14ac:dyDescent="0.2">
      <c r="B4599" s="31">
        <v>4590</v>
      </c>
      <c r="J4599">
        <f t="shared" si="77"/>
        <v>105000</v>
      </c>
      <c r="K4599" t="e">
        <f>VLOOKUP(B4599,'REGISTRO ABONOS'!$B$8:$BC$10041,54,0)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hidden="1" x14ac:dyDescent="0.2">
      <c r="B4600" s="31">
        <v>4591</v>
      </c>
      <c r="J4600">
        <f t="shared" si="77"/>
        <v>105000</v>
      </c>
      <c r="K4600" t="e">
        <f>VLOOKUP(B4600,'REGISTRO ABONOS'!$B$8:$BC$10041,54,0)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hidden="1" x14ac:dyDescent="0.2">
      <c r="B4601" s="31">
        <v>4592</v>
      </c>
      <c r="J4601">
        <f t="shared" si="77"/>
        <v>105000</v>
      </c>
      <c r="K4601" t="e">
        <f>VLOOKUP(B4601,'REGISTRO ABONOS'!$B$8:$BC$10041,54,0)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hidden="1" x14ac:dyDescent="0.2">
      <c r="B4602" s="31">
        <v>4593</v>
      </c>
      <c r="J4602">
        <f t="shared" si="77"/>
        <v>105000</v>
      </c>
      <c r="K4602" t="e">
        <f>VLOOKUP(B4602,'REGISTRO ABONOS'!$B$8:$BC$10041,54,0)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hidden="1" x14ac:dyDescent="0.2">
      <c r="B4603" s="31">
        <v>4594</v>
      </c>
      <c r="J4603">
        <f t="shared" si="77"/>
        <v>105000</v>
      </c>
      <c r="K4603" t="e">
        <f>VLOOKUP(B4603,'REGISTRO ABONOS'!$B$8:$BC$10041,54,0)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hidden="1" x14ac:dyDescent="0.2">
      <c r="B4604" s="31">
        <v>4595</v>
      </c>
      <c r="J4604">
        <f t="shared" si="77"/>
        <v>105000</v>
      </c>
      <c r="K4604" t="e">
        <f>VLOOKUP(B4604,'REGISTRO ABONOS'!$B$8:$BC$10041,54,0)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hidden="1" x14ac:dyDescent="0.2">
      <c r="B4605" s="31">
        <v>4596</v>
      </c>
      <c r="J4605">
        <f t="shared" si="77"/>
        <v>105000</v>
      </c>
      <c r="K4605" t="e">
        <f>VLOOKUP(B4605,'REGISTRO ABONOS'!$B$8:$BC$10041,54,0)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hidden="1" x14ac:dyDescent="0.2">
      <c r="B4606" s="31">
        <v>4597</v>
      </c>
      <c r="J4606">
        <f t="shared" si="77"/>
        <v>105000</v>
      </c>
      <c r="K4606" t="e">
        <f>VLOOKUP(B4606,'REGISTRO ABONOS'!$B$8:$BC$10041,54,0)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hidden="1" x14ac:dyDescent="0.2">
      <c r="B4607" s="31">
        <v>4598</v>
      </c>
      <c r="J4607">
        <f t="shared" si="77"/>
        <v>105000</v>
      </c>
      <c r="K4607" t="e">
        <f>VLOOKUP(B4607,'REGISTRO ABONOS'!$B$8:$BC$10041,54,0)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hidden="1" x14ac:dyDescent="0.2">
      <c r="B4608" s="31">
        <v>4599</v>
      </c>
      <c r="J4608">
        <f t="shared" si="77"/>
        <v>105000</v>
      </c>
      <c r="K4608" t="e">
        <f>VLOOKUP(B4608,'REGISTRO ABONOS'!$B$8:$BC$10041,54,0)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hidden="1" x14ac:dyDescent="0.2">
      <c r="B4609" s="31">
        <v>4600</v>
      </c>
      <c r="J4609">
        <f t="shared" si="77"/>
        <v>105000</v>
      </c>
      <c r="K4609" t="e">
        <f>VLOOKUP(B4609,'REGISTRO ABONOS'!$B$8:$BC$10041,54,0)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hidden="1" x14ac:dyDescent="0.2">
      <c r="B4610" s="31">
        <v>4601</v>
      </c>
      <c r="J4610">
        <f t="shared" si="77"/>
        <v>105000</v>
      </c>
      <c r="K4610" t="e">
        <f>VLOOKUP(B4610,'REGISTRO ABONOS'!$B$8:$BC$10041,54,0)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hidden="1" x14ac:dyDescent="0.2">
      <c r="B4611" s="31">
        <v>4602</v>
      </c>
      <c r="J4611">
        <f t="shared" si="77"/>
        <v>105000</v>
      </c>
      <c r="K4611" t="e">
        <f>VLOOKUP(B4611,'REGISTRO ABONOS'!$B$8:$BC$10041,54,0)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hidden="1" x14ac:dyDescent="0.2">
      <c r="B4612" s="31">
        <v>4603</v>
      </c>
      <c r="J4612">
        <f t="shared" si="77"/>
        <v>105000</v>
      </c>
      <c r="K4612" t="e">
        <f>VLOOKUP(B4612,'REGISTRO ABONOS'!$B$8:$BC$10041,54,0)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hidden="1" x14ac:dyDescent="0.2">
      <c r="B4613" s="31">
        <v>4604</v>
      </c>
      <c r="J4613">
        <f t="shared" si="77"/>
        <v>105000</v>
      </c>
      <c r="K4613" t="e">
        <f>VLOOKUP(B4613,'REGISTRO ABONOS'!$B$8:$BC$10041,54,0)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hidden="1" x14ac:dyDescent="0.2">
      <c r="B4614" s="31">
        <v>4605</v>
      </c>
      <c r="J4614">
        <f t="shared" si="77"/>
        <v>105000</v>
      </c>
      <c r="K4614" t="e">
        <f>VLOOKUP(B4614,'REGISTRO ABONOS'!$B$8:$BC$10041,54,0)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hidden="1" x14ac:dyDescent="0.2">
      <c r="B4615" s="31">
        <v>4606</v>
      </c>
      <c r="J4615">
        <f t="shared" si="77"/>
        <v>105000</v>
      </c>
      <c r="K4615" t="e">
        <f>VLOOKUP(B4615,'REGISTRO ABONOS'!$B$8:$BC$10041,54,0)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hidden="1" x14ac:dyDescent="0.2">
      <c r="B4616" s="31">
        <v>4607</v>
      </c>
      <c r="J4616">
        <f t="shared" si="77"/>
        <v>105000</v>
      </c>
      <c r="K4616" t="e">
        <f>VLOOKUP(B4616,'REGISTRO ABONOS'!$B$8:$BC$10041,54,0)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hidden="1" x14ac:dyDescent="0.2">
      <c r="B4617" s="31">
        <v>4608</v>
      </c>
      <c r="J4617">
        <f t="shared" si="77"/>
        <v>105000</v>
      </c>
      <c r="K4617" t="e">
        <f>VLOOKUP(B4617,'REGISTRO ABONOS'!$B$8:$BC$10041,54,0)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hidden="1" x14ac:dyDescent="0.2">
      <c r="B4618" s="31">
        <v>4609</v>
      </c>
      <c r="J4618">
        <f t="shared" si="77"/>
        <v>105000</v>
      </c>
      <c r="K4618" t="e">
        <f>VLOOKUP(B4618,'REGISTRO ABONOS'!$B$8:$BC$10041,54,0)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7"/>
        <v>105000</v>
      </c>
      <c r="K4619">
        <f>VLOOKUP(B4619,'REGISTRO ABONOS'!$B$8:$BC$10041,54,0)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hidden="1" x14ac:dyDescent="0.2">
      <c r="B4620" s="31">
        <v>4611</v>
      </c>
      <c r="J4620">
        <f t="shared" si="77"/>
        <v>105000</v>
      </c>
      <c r="K4620" t="e">
        <f>VLOOKUP(B4620,'REGISTRO ABONOS'!$B$8:$BC$10041,54,0)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hidden="1" x14ac:dyDescent="0.2">
      <c r="B4621" s="31">
        <v>4612</v>
      </c>
      <c r="J4621">
        <f t="shared" si="77"/>
        <v>105000</v>
      </c>
      <c r="K4621" t="e">
        <f>VLOOKUP(B4621,'REGISTRO ABONOS'!$B$8:$BC$10041,54,0)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hidden="1" x14ac:dyDescent="0.2">
      <c r="B4622" s="31">
        <v>4613</v>
      </c>
      <c r="J4622">
        <f t="shared" si="77"/>
        <v>105000</v>
      </c>
      <c r="K4622" t="e">
        <f>VLOOKUP(B4622,'REGISTRO ABONOS'!$B$8:$BC$10041,54,0)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hidden="1" x14ac:dyDescent="0.2">
      <c r="B4623" s="31">
        <v>4614</v>
      </c>
      <c r="J4623">
        <f t="shared" si="77"/>
        <v>105000</v>
      </c>
      <c r="K4623" t="e">
        <f>VLOOKUP(B4623,'REGISTRO ABONOS'!$B$8:$BC$10041,54,0)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hidden="1" x14ac:dyDescent="0.2">
      <c r="B4624" s="31">
        <v>4615</v>
      </c>
      <c r="J4624">
        <f t="shared" si="77"/>
        <v>105000</v>
      </c>
      <c r="K4624" t="e">
        <f>VLOOKUP(B4624,'REGISTRO ABONOS'!$B$8:$BC$10041,54,0)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hidden="1" x14ac:dyDescent="0.2">
      <c r="B4625" s="31">
        <v>4616</v>
      </c>
      <c r="J4625">
        <f t="shared" si="77"/>
        <v>105000</v>
      </c>
      <c r="K4625" t="e">
        <f>VLOOKUP(B4625,'REGISTRO ABONOS'!$B$8:$BC$10041,54,0)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hidden="1" x14ac:dyDescent="0.2">
      <c r="B4626" s="31">
        <v>4617</v>
      </c>
      <c r="J4626">
        <f t="shared" si="77"/>
        <v>105000</v>
      </c>
      <c r="K4626" t="e">
        <f>VLOOKUP(B4626,'REGISTRO ABONOS'!$B$8:$BC$10041,54,0)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hidden="1" x14ac:dyDescent="0.2">
      <c r="B4627" s="31">
        <v>4618</v>
      </c>
      <c r="J4627">
        <f t="shared" si="77"/>
        <v>105000</v>
      </c>
      <c r="K4627" t="e">
        <f>VLOOKUP(B4627,'REGISTRO ABONOS'!$B$8:$BC$10041,54,0)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hidden="1" x14ac:dyDescent="0.2">
      <c r="B4628" s="31">
        <v>4619</v>
      </c>
      <c r="J4628">
        <f t="shared" si="77"/>
        <v>105000</v>
      </c>
      <c r="K4628" t="e">
        <f>VLOOKUP(B4628,'REGISTRO ABONOS'!$B$8:$BC$10041,54,0)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hidden="1" x14ac:dyDescent="0.2">
      <c r="B4629" s="31">
        <v>4620</v>
      </c>
      <c r="J4629">
        <f t="shared" si="77"/>
        <v>105000</v>
      </c>
      <c r="K4629" t="e">
        <f>VLOOKUP(B4629,'REGISTRO ABONOS'!$B$8:$BC$10041,54,0)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hidden="1" x14ac:dyDescent="0.2">
      <c r="B4630" s="31">
        <v>4621</v>
      </c>
      <c r="J4630">
        <f t="shared" si="77"/>
        <v>105000</v>
      </c>
      <c r="K4630" t="e">
        <f>VLOOKUP(B4630,'REGISTRO ABONOS'!$B$8:$BC$10041,54,0)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hidden="1" x14ac:dyDescent="0.2">
      <c r="B4631" s="31">
        <v>4622</v>
      </c>
      <c r="J4631">
        <f t="shared" si="77"/>
        <v>105000</v>
      </c>
      <c r="K4631" t="e">
        <f>VLOOKUP(B4631,'REGISTRO ABONOS'!$B$8:$BC$10041,54,0)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hidden="1" x14ac:dyDescent="0.2">
      <c r="B4632" s="31">
        <v>4623</v>
      </c>
      <c r="J4632">
        <f t="shared" si="77"/>
        <v>105000</v>
      </c>
      <c r="K4632" t="e">
        <f>VLOOKUP(B4632,'REGISTRO ABONOS'!$B$8:$BC$10041,54,0)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hidden="1" x14ac:dyDescent="0.2">
      <c r="B4633" s="31">
        <v>4624</v>
      </c>
      <c r="J4633">
        <f t="shared" si="77"/>
        <v>105000</v>
      </c>
      <c r="K4633" t="e">
        <f>VLOOKUP(B4633,'REGISTRO ABONOS'!$B$8:$BC$10041,54,0)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hidden="1" x14ac:dyDescent="0.2">
      <c r="B4634" s="31">
        <v>4625</v>
      </c>
      <c r="J4634">
        <f t="shared" si="77"/>
        <v>105000</v>
      </c>
      <c r="K4634" t="e">
        <f>VLOOKUP(B4634,'REGISTRO ABONOS'!$B$8:$BC$10041,54,0)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hidden="1" x14ac:dyDescent="0.2">
      <c r="B4635" s="31">
        <v>4626</v>
      </c>
      <c r="J4635">
        <f t="shared" si="77"/>
        <v>105000</v>
      </c>
      <c r="K4635" t="e">
        <f>VLOOKUP(B4635,'REGISTRO ABONOS'!$B$8:$BC$10041,54,0)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hidden="1" x14ac:dyDescent="0.2">
      <c r="B4636" s="31">
        <v>4627</v>
      </c>
      <c r="J4636">
        <f t="shared" si="77"/>
        <v>105000</v>
      </c>
      <c r="K4636" t="e">
        <f>VLOOKUP(B4636,'REGISTRO ABONOS'!$B$8:$BC$10041,54,0)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hidden="1" x14ac:dyDescent="0.2">
      <c r="B4637" s="31">
        <v>4628</v>
      </c>
      <c r="J4637">
        <f t="shared" si="77"/>
        <v>105000</v>
      </c>
      <c r="K4637" t="e">
        <f>VLOOKUP(B4637,'REGISTRO ABONOS'!$B$8:$BC$10041,54,0)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hidden="1" x14ac:dyDescent="0.2">
      <c r="B4638" s="31">
        <v>4629</v>
      </c>
      <c r="J4638">
        <f t="shared" si="77"/>
        <v>105000</v>
      </c>
      <c r="K4638" t="e">
        <f>VLOOKUP(B4638,'REGISTRO ABONOS'!$B$8:$BC$10041,54,0)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hidden="1" x14ac:dyDescent="0.2">
      <c r="B4639" s="31">
        <v>4630</v>
      </c>
      <c r="J4639">
        <f t="shared" si="77"/>
        <v>105000</v>
      </c>
      <c r="K4639" t="e">
        <f>VLOOKUP(B4639,'REGISTRO ABONOS'!$B$8:$BC$10041,54,0)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hidden="1" x14ac:dyDescent="0.2">
      <c r="B4640" s="31">
        <v>4631</v>
      </c>
      <c r="J4640">
        <f t="shared" si="77"/>
        <v>105000</v>
      </c>
      <c r="K4640" t="e">
        <f>VLOOKUP(B4640,'REGISTRO ABONOS'!$B$8:$BC$10041,54,0)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hidden="1" x14ac:dyDescent="0.2">
      <c r="B4641" s="31">
        <v>4632</v>
      </c>
      <c r="J4641">
        <f t="shared" si="77"/>
        <v>105000</v>
      </c>
      <c r="K4641" t="e">
        <f>VLOOKUP(B4641,'REGISTRO ABONOS'!$B$8:$BC$10041,54,0)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hidden="1" x14ac:dyDescent="0.2">
      <c r="B4642" s="31">
        <v>4633</v>
      </c>
      <c r="J4642">
        <f t="shared" si="77"/>
        <v>105000</v>
      </c>
      <c r="K4642" t="e">
        <f>VLOOKUP(B4642,'REGISTRO ABONOS'!$B$8:$BC$10041,54,0)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hidden="1" x14ac:dyDescent="0.2">
      <c r="B4643" s="31">
        <v>4634</v>
      </c>
      <c r="J4643">
        <f t="shared" si="77"/>
        <v>105000</v>
      </c>
      <c r="K4643" t="e">
        <f>VLOOKUP(B4643,'REGISTRO ABONOS'!$B$8:$BC$10041,54,0)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hidden="1" x14ac:dyDescent="0.2">
      <c r="B4644" s="31">
        <v>4635</v>
      </c>
      <c r="J4644">
        <f t="shared" si="77"/>
        <v>105000</v>
      </c>
      <c r="K4644" t="e">
        <f>VLOOKUP(B4644,'REGISTRO ABONOS'!$B$8:$BC$10041,54,0)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hidden="1" x14ac:dyDescent="0.2">
      <c r="B4645" s="31">
        <v>4636</v>
      </c>
      <c r="J4645">
        <f t="shared" si="77"/>
        <v>105000</v>
      </c>
      <c r="K4645" t="e">
        <f>VLOOKUP(B4645,'REGISTRO ABONOS'!$B$8:$BC$10041,54,0)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hidden="1" x14ac:dyDescent="0.2">
      <c r="B4646" s="31">
        <v>4637</v>
      </c>
      <c r="J4646">
        <f t="shared" si="77"/>
        <v>105000</v>
      </c>
      <c r="K4646" t="e">
        <f>VLOOKUP(B4646,'REGISTRO ABONOS'!$B$8:$BC$10041,54,0)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hidden="1" x14ac:dyDescent="0.2">
      <c r="B4647" s="31">
        <v>4638</v>
      </c>
      <c r="J4647">
        <f t="shared" si="77"/>
        <v>105000</v>
      </c>
      <c r="K4647" t="e">
        <f>VLOOKUP(B4647,'REGISTRO ABONOS'!$B$8:$BC$10041,54,0)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hidden="1" x14ac:dyDescent="0.2">
      <c r="B4648" s="31">
        <v>4639</v>
      </c>
      <c r="J4648">
        <f t="shared" si="77"/>
        <v>105000</v>
      </c>
      <c r="K4648" t="e">
        <f>VLOOKUP(B4648,'REGISTRO ABONOS'!$B$8:$BC$10041,54,0)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hidden="1" x14ac:dyDescent="0.2">
      <c r="B4649" s="31">
        <v>4640</v>
      </c>
      <c r="J4649">
        <f t="shared" si="77"/>
        <v>105000</v>
      </c>
      <c r="K4649" t="e">
        <f>VLOOKUP(B4649,'REGISTRO ABONOS'!$B$8:$BC$10041,54,0)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hidden="1" x14ac:dyDescent="0.2">
      <c r="B4650" s="31">
        <v>4641</v>
      </c>
      <c r="J4650">
        <f t="shared" si="77"/>
        <v>105000</v>
      </c>
      <c r="K4650" t="e">
        <f>VLOOKUP(B4650,'REGISTRO ABONOS'!$B$8:$BC$10041,54,0)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hidden="1" x14ac:dyDescent="0.2">
      <c r="B4651" s="31">
        <v>4642</v>
      </c>
      <c r="J4651">
        <f t="shared" si="77"/>
        <v>105000</v>
      </c>
      <c r="K4651" t="e">
        <f>VLOOKUP(B4651,'REGISTRO ABONOS'!$B$8:$BC$10041,54,0)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hidden="1" x14ac:dyDescent="0.2">
      <c r="B4652" s="31">
        <v>4643</v>
      </c>
      <c r="J4652">
        <f t="shared" si="77"/>
        <v>105000</v>
      </c>
      <c r="K4652" t="e">
        <f>VLOOKUP(B4652,'REGISTRO ABONOS'!$B$8:$BC$10041,54,0)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hidden="1" x14ac:dyDescent="0.2">
      <c r="B4653" s="31">
        <v>4644</v>
      </c>
      <c r="J4653">
        <f t="shared" si="77"/>
        <v>105000</v>
      </c>
      <c r="K4653" t="e">
        <f>VLOOKUP(B4653,'REGISTRO ABONOS'!$B$8:$BC$10041,54,0)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hidden="1" x14ac:dyDescent="0.2">
      <c r="B4654" s="31">
        <v>4645</v>
      </c>
      <c r="J4654">
        <f t="shared" si="77"/>
        <v>105000</v>
      </c>
      <c r="K4654" t="e">
        <f>VLOOKUP(B4654,'REGISTRO ABONOS'!$B$8:$BC$10041,54,0)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hidden="1" x14ac:dyDescent="0.2">
      <c r="B4655" s="31">
        <v>4646</v>
      </c>
      <c r="J4655">
        <f t="shared" si="77"/>
        <v>105000</v>
      </c>
      <c r="K4655" t="e">
        <f>VLOOKUP(B4655,'REGISTRO ABONOS'!$B$8:$BC$10041,54,0)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hidden="1" x14ac:dyDescent="0.2">
      <c r="B4656" s="31">
        <v>4647</v>
      </c>
      <c r="J4656">
        <f t="shared" si="77"/>
        <v>105000</v>
      </c>
      <c r="K4656" t="e">
        <f>VLOOKUP(B4656,'REGISTRO ABONOS'!$B$8:$BC$10041,54,0)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hidden="1" x14ac:dyDescent="0.2">
      <c r="B4657" s="31">
        <v>4648</v>
      </c>
      <c r="J4657">
        <f t="shared" si="77"/>
        <v>105000</v>
      </c>
      <c r="K4657" t="e">
        <f>VLOOKUP(B4657,'REGISTRO ABONOS'!$B$8:$BC$10041,54,0)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hidden="1" x14ac:dyDescent="0.2">
      <c r="B4658" s="31">
        <v>4649</v>
      </c>
      <c r="J4658">
        <f t="shared" si="77"/>
        <v>105000</v>
      </c>
      <c r="K4658" t="e">
        <f>VLOOKUP(B4658,'REGISTRO ABONOS'!$B$8:$BC$10041,54,0)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hidden="1" x14ac:dyDescent="0.2">
      <c r="B4659" s="31">
        <v>4650</v>
      </c>
      <c r="J4659">
        <f t="shared" si="77"/>
        <v>105000</v>
      </c>
      <c r="K4659" t="e">
        <f>VLOOKUP(B4659,'REGISTRO ABONOS'!$B$8:$BC$10041,54,0)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hidden="1" x14ac:dyDescent="0.2">
      <c r="B4660" s="31">
        <v>4651</v>
      </c>
      <c r="J4660">
        <f t="shared" si="77"/>
        <v>105000</v>
      </c>
      <c r="K4660" t="e">
        <f>VLOOKUP(B4660,'REGISTRO ABONOS'!$B$8:$BC$10041,54,0)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hidden="1" x14ac:dyDescent="0.2">
      <c r="B4661" s="31">
        <v>4652</v>
      </c>
      <c r="J4661">
        <f t="shared" si="77"/>
        <v>105000</v>
      </c>
      <c r="K4661" t="e">
        <f>VLOOKUP(B4661,'REGISTRO ABONOS'!$B$8:$BC$10041,54,0)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hidden="1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ABONOS'!$B$8:$BC$10041,54,0)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hidden="1" x14ac:dyDescent="0.2">
      <c r="B4663" s="31">
        <v>4654</v>
      </c>
      <c r="J4663">
        <f t="shared" si="78"/>
        <v>105000</v>
      </c>
      <c r="K4663" t="e">
        <f>VLOOKUP(B4663,'REGISTRO ABONOS'!$B$8:$BC$10041,54,0)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hidden="1" x14ac:dyDescent="0.2">
      <c r="B4664" s="31">
        <v>4655</v>
      </c>
      <c r="J4664">
        <f t="shared" si="78"/>
        <v>105000</v>
      </c>
      <c r="K4664" t="e">
        <f>VLOOKUP(B4664,'REGISTRO ABONOS'!$B$8:$BC$10041,54,0)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hidden="1" x14ac:dyDescent="0.2">
      <c r="B4665" s="31">
        <v>4656</v>
      </c>
      <c r="J4665">
        <f t="shared" si="78"/>
        <v>105000</v>
      </c>
      <c r="K4665" t="e">
        <f>VLOOKUP(B4665,'REGISTRO ABONOS'!$B$8:$BC$10041,54,0)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hidden="1" x14ac:dyDescent="0.2">
      <c r="B4666" s="31">
        <v>4657</v>
      </c>
      <c r="J4666">
        <f t="shared" si="78"/>
        <v>105000</v>
      </c>
      <c r="K4666" t="e">
        <f>VLOOKUP(B4666,'REGISTRO ABONOS'!$B$8:$BC$10041,54,0)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hidden="1" x14ac:dyDescent="0.2">
      <c r="B4667" s="31">
        <v>4658</v>
      </c>
      <c r="J4667">
        <f t="shared" si="78"/>
        <v>105000</v>
      </c>
      <c r="K4667" t="e">
        <f>VLOOKUP(B4667,'REGISTRO ABONOS'!$B$8:$BC$10041,54,0)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hidden="1" x14ac:dyDescent="0.2">
      <c r="B4668" s="31">
        <v>4659</v>
      </c>
      <c r="J4668">
        <f t="shared" si="78"/>
        <v>105000</v>
      </c>
      <c r="K4668" t="e">
        <f>VLOOKUP(B4668,'REGISTRO ABONOS'!$B$8:$BC$10041,54,0)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hidden="1" x14ac:dyDescent="0.2">
      <c r="B4669" s="31">
        <v>4660</v>
      </c>
      <c r="J4669">
        <f t="shared" si="78"/>
        <v>105000</v>
      </c>
      <c r="K4669" t="e">
        <f>VLOOKUP(B4669,'REGISTRO ABONOS'!$B$8:$BC$10041,54,0)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hidden="1" x14ac:dyDescent="0.2">
      <c r="B4670" s="31">
        <v>4661</v>
      </c>
      <c r="J4670">
        <f t="shared" si="78"/>
        <v>105000</v>
      </c>
      <c r="K4670" t="e">
        <f>VLOOKUP(B4670,'REGISTRO ABONOS'!$B$8:$BC$10041,54,0)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hidden="1" x14ac:dyDescent="0.2">
      <c r="B4671" s="31">
        <v>4662</v>
      </c>
      <c r="J4671">
        <f t="shared" si="78"/>
        <v>105000</v>
      </c>
      <c r="K4671" t="e">
        <f>VLOOKUP(B4671,'REGISTRO ABONOS'!$B$8:$BC$10041,54,0)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hidden="1" x14ac:dyDescent="0.2">
      <c r="B4672" s="31">
        <v>4663</v>
      </c>
      <c r="J4672">
        <f t="shared" si="78"/>
        <v>105000</v>
      </c>
      <c r="K4672" t="e">
        <f>VLOOKUP(B4672,'REGISTRO ABONOS'!$B$8:$BC$10041,54,0)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hidden="1" x14ac:dyDescent="0.2">
      <c r="B4673" s="31">
        <v>4664</v>
      </c>
      <c r="J4673">
        <f t="shared" si="78"/>
        <v>105000</v>
      </c>
      <c r="K4673" t="e">
        <f>VLOOKUP(B4673,'REGISTRO ABONOS'!$B$8:$BC$10041,54,0)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hidden="1" x14ac:dyDescent="0.2">
      <c r="B4674" s="31">
        <v>4665</v>
      </c>
      <c r="J4674">
        <f t="shared" si="78"/>
        <v>105000</v>
      </c>
      <c r="K4674" t="e">
        <f>VLOOKUP(B4674,'REGISTRO ABONOS'!$B$8:$BC$10041,54,0)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hidden="1" x14ac:dyDescent="0.2">
      <c r="B4675" s="31">
        <v>4666</v>
      </c>
      <c r="J4675">
        <f t="shared" si="78"/>
        <v>105000</v>
      </c>
      <c r="K4675" t="e">
        <f>VLOOKUP(B4675,'REGISTRO ABONOS'!$B$8:$BC$10041,54,0)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hidden="1" x14ac:dyDescent="0.2">
      <c r="B4676" s="31">
        <v>4667</v>
      </c>
      <c r="J4676">
        <f t="shared" si="78"/>
        <v>105000</v>
      </c>
      <c r="K4676" t="e">
        <f>VLOOKUP(B4676,'REGISTRO ABONOS'!$B$8:$BC$10041,54,0)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hidden="1" x14ac:dyDescent="0.2">
      <c r="B4677" s="31">
        <v>4668</v>
      </c>
      <c r="J4677">
        <f t="shared" si="78"/>
        <v>105000</v>
      </c>
      <c r="K4677" t="e">
        <f>VLOOKUP(B4677,'REGISTRO ABONOS'!$B$8:$BC$10041,54,0)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hidden="1" x14ac:dyDescent="0.2">
      <c r="B4678" s="31">
        <v>4669</v>
      </c>
      <c r="J4678">
        <f t="shared" si="78"/>
        <v>105000</v>
      </c>
      <c r="K4678" t="e">
        <f>VLOOKUP(B4678,'REGISTRO ABONOS'!$B$8:$BC$10041,54,0)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hidden="1" x14ac:dyDescent="0.2">
      <c r="B4679" s="31">
        <v>4670</v>
      </c>
      <c r="J4679">
        <f t="shared" si="78"/>
        <v>105000</v>
      </c>
      <c r="K4679" t="e">
        <f>VLOOKUP(B4679,'REGISTRO ABONOS'!$B$8:$BC$10041,54,0)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hidden="1" x14ac:dyDescent="0.2">
      <c r="B4680" s="31">
        <v>4671</v>
      </c>
      <c r="J4680">
        <f t="shared" si="78"/>
        <v>105000</v>
      </c>
      <c r="K4680" t="e">
        <f>VLOOKUP(B4680,'REGISTRO ABONOS'!$B$8:$BC$10041,54,0)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hidden="1" x14ac:dyDescent="0.2">
      <c r="B4681" s="31">
        <v>4672</v>
      </c>
      <c r="J4681">
        <f t="shared" si="78"/>
        <v>105000</v>
      </c>
      <c r="K4681" t="e">
        <f>VLOOKUP(B4681,'REGISTRO ABONOS'!$B$8:$BC$10041,54,0)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hidden="1" x14ac:dyDescent="0.2">
      <c r="B4682" s="31">
        <v>4673</v>
      </c>
      <c r="J4682">
        <f t="shared" si="78"/>
        <v>105000</v>
      </c>
      <c r="K4682" t="e">
        <f>VLOOKUP(B4682,'REGISTRO ABONOS'!$B$8:$BC$10041,54,0)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hidden="1" x14ac:dyDescent="0.2">
      <c r="B4683" s="31">
        <v>4674</v>
      </c>
      <c r="J4683">
        <f t="shared" si="78"/>
        <v>105000</v>
      </c>
      <c r="K4683" t="e">
        <f>VLOOKUP(B4683,'REGISTRO ABONOS'!$B$8:$BC$10041,54,0)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hidden="1" x14ac:dyDescent="0.2">
      <c r="B4684" s="31">
        <v>4675</v>
      </c>
      <c r="J4684">
        <f t="shared" si="78"/>
        <v>105000</v>
      </c>
      <c r="K4684" t="e">
        <f>VLOOKUP(B4684,'REGISTRO ABONOS'!$B$8:$BC$10041,54,0)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hidden="1" x14ac:dyDescent="0.2">
      <c r="B4685" s="31">
        <v>4676</v>
      </c>
      <c r="J4685">
        <f t="shared" si="78"/>
        <v>105000</v>
      </c>
      <c r="K4685" t="e">
        <f>VLOOKUP(B4685,'REGISTRO ABONOS'!$B$8:$BC$10041,54,0)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hidden="1" x14ac:dyDescent="0.2">
      <c r="B4686" s="31">
        <v>4677</v>
      </c>
      <c r="J4686">
        <f t="shared" si="78"/>
        <v>105000</v>
      </c>
      <c r="K4686" t="e">
        <f>VLOOKUP(B4686,'REGISTRO ABONOS'!$B$8:$BC$10041,54,0)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hidden="1" x14ac:dyDescent="0.2">
      <c r="B4687" s="31">
        <v>4678</v>
      </c>
      <c r="J4687">
        <f t="shared" si="78"/>
        <v>105000</v>
      </c>
      <c r="K4687" t="e">
        <f>VLOOKUP(B4687,'REGISTRO ABONOS'!$B$8:$BC$10041,54,0)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hidden="1" x14ac:dyDescent="0.2">
      <c r="B4688" s="31">
        <v>4679</v>
      </c>
      <c r="J4688">
        <f t="shared" si="78"/>
        <v>105000</v>
      </c>
      <c r="K4688" t="e">
        <f>VLOOKUP(B4688,'REGISTRO ABONOS'!$B$8:$BC$10041,54,0)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hidden="1" x14ac:dyDescent="0.2">
      <c r="B4689" s="31">
        <v>4680</v>
      </c>
      <c r="J4689">
        <f t="shared" si="78"/>
        <v>105000</v>
      </c>
      <c r="K4689" t="e">
        <f>VLOOKUP(B4689,'REGISTRO ABONOS'!$B$8:$BC$10041,54,0)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hidden="1" x14ac:dyDescent="0.2">
      <c r="B4690" s="31">
        <v>4681</v>
      </c>
      <c r="J4690">
        <f t="shared" si="78"/>
        <v>105000</v>
      </c>
      <c r="K4690" t="e">
        <f>VLOOKUP(B4690,'REGISTRO ABONOS'!$B$8:$BC$10041,54,0)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hidden="1" x14ac:dyDescent="0.2">
      <c r="B4691" s="31">
        <v>4682</v>
      </c>
      <c r="J4691">
        <f t="shared" si="78"/>
        <v>105000</v>
      </c>
      <c r="K4691" t="e">
        <f>VLOOKUP(B4691,'REGISTRO ABONOS'!$B$8:$BC$10041,54,0)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hidden="1" x14ac:dyDescent="0.2">
      <c r="B4692" s="31">
        <v>4683</v>
      </c>
      <c r="J4692">
        <f t="shared" si="78"/>
        <v>105000</v>
      </c>
      <c r="K4692" t="e">
        <f>VLOOKUP(B4692,'REGISTRO ABONOS'!$B$8:$BC$10041,54,0)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hidden="1" x14ac:dyDescent="0.2">
      <c r="B4693" s="31">
        <v>4684</v>
      </c>
      <c r="J4693">
        <f t="shared" si="78"/>
        <v>105000</v>
      </c>
      <c r="K4693" t="e">
        <f>VLOOKUP(B4693,'REGISTRO ABONOS'!$B$8:$BC$10041,54,0)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hidden="1" x14ac:dyDescent="0.2">
      <c r="B4694" s="31">
        <v>4685</v>
      </c>
      <c r="J4694">
        <f t="shared" si="78"/>
        <v>105000</v>
      </c>
      <c r="K4694" t="e">
        <f>VLOOKUP(B4694,'REGISTRO ABONOS'!$B$8:$BC$10041,54,0)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hidden="1" x14ac:dyDescent="0.2">
      <c r="B4695" s="31">
        <v>4686</v>
      </c>
      <c r="J4695">
        <f t="shared" si="78"/>
        <v>105000</v>
      </c>
      <c r="K4695" t="e">
        <f>VLOOKUP(B4695,'REGISTRO ABONOS'!$B$8:$BC$10041,54,0)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hidden="1" x14ac:dyDescent="0.2">
      <c r="B4696" s="31">
        <v>4687</v>
      </c>
      <c r="J4696">
        <f t="shared" si="78"/>
        <v>105000</v>
      </c>
      <c r="K4696" t="e">
        <f>VLOOKUP(B4696,'REGISTRO ABONOS'!$B$8:$BC$10041,54,0)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hidden="1" x14ac:dyDescent="0.2">
      <c r="B4697" s="31">
        <v>4688</v>
      </c>
      <c r="J4697">
        <f t="shared" si="78"/>
        <v>105000</v>
      </c>
      <c r="K4697" t="e">
        <f>VLOOKUP(B4697,'REGISTRO ABONOS'!$B$8:$BC$10041,54,0)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hidden="1" x14ac:dyDescent="0.2">
      <c r="B4698" s="31">
        <v>4689</v>
      </c>
      <c r="J4698">
        <f t="shared" si="78"/>
        <v>105000</v>
      </c>
      <c r="K4698" t="e">
        <f>VLOOKUP(B4698,'REGISTRO ABONOS'!$B$8:$BC$10041,54,0)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hidden="1" x14ac:dyDescent="0.2">
      <c r="B4699" s="31">
        <v>4690</v>
      </c>
      <c r="J4699">
        <f t="shared" si="78"/>
        <v>105000</v>
      </c>
      <c r="K4699" t="e">
        <f>VLOOKUP(B4699,'REGISTRO ABONOS'!$B$8:$BC$10041,54,0)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hidden="1" x14ac:dyDescent="0.2">
      <c r="B4700" s="31">
        <v>4691</v>
      </c>
      <c r="J4700">
        <f t="shared" si="78"/>
        <v>105000</v>
      </c>
      <c r="K4700" t="e">
        <f>VLOOKUP(B4700,'REGISTRO ABONOS'!$B$8:$BC$10041,54,0)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hidden="1" x14ac:dyDescent="0.2">
      <c r="B4701" s="31">
        <v>4692</v>
      </c>
      <c r="J4701">
        <f t="shared" si="78"/>
        <v>105000</v>
      </c>
      <c r="K4701" t="e">
        <f>VLOOKUP(B4701,'REGISTRO ABONOS'!$B$8:$BC$10041,54,0)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hidden="1" x14ac:dyDescent="0.2">
      <c r="B4702" s="31">
        <v>4693</v>
      </c>
      <c r="J4702">
        <f t="shared" si="78"/>
        <v>105000</v>
      </c>
      <c r="K4702" t="e">
        <f>VLOOKUP(B4702,'REGISTRO ABONOS'!$B$8:$BC$10041,54,0)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hidden="1" x14ac:dyDescent="0.2">
      <c r="B4703" s="31">
        <v>4694</v>
      </c>
      <c r="J4703">
        <f t="shared" si="78"/>
        <v>105000</v>
      </c>
      <c r="K4703" t="e">
        <f>VLOOKUP(B4703,'REGISTRO ABONOS'!$B$8:$BC$10041,54,0)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hidden="1" x14ac:dyDescent="0.2">
      <c r="B4704" s="31">
        <v>4695</v>
      </c>
      <c r="J4704">
        <f t="shared" si="78"/>
        <v>105000</v>
      </c>
      <c r="K4704" t="e">
        <f>VLOOKUP(B4704,'REGISTRO ABONOS'!$B$8:$BC$10041,54,0)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hidden="1" x14ac:dyDescent="0.2">
      <c r="B4705" s="31">
        <v>4696</v>
      </c>
      <c r="J4705">
        <f t="shared" si="78"/>
        <v>105000</v>
      </c>
      <c r="K4705" t="e">
        <f>VLOOKUP(B4705,'REGISTRO ABONOS'!$B$8:$BC$10041,54,0)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hidden="1" x14ac:dyDescent="0.2">
      <c r="B4706" s="31">
        <v>4697</v>
      </c>
      <c r="J4706">
        <f t="shared" si="78"/>
        <v>105000</v>
      </c>
      <c r="K4706" t="e">
        <f>VLOOKUP(B4706,'REGISTRO ABONOS'!$B$8:$BC$10041,54,0)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hidden="1" x14ac:dyDescent="0.2">
      <c r="B4707" s="31">
        <v>4698</v>
      </c>
      <c r="J4707">
        <f t="shared" si="78"/>
        <v>105000</v>
      </c>
      <c r="K4707" t="e">
        <f>VLOOKUP(B4707,'REGISTRO ABONOS'!$B$8:$BC$10041,54,0)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hidden="1" x14ac:dyDescent="0.2">
      <c r="B4708" s="31">
        <v>4699</v>
      </c>
      <c r="J4708">
        <f t="shared" si="78"/>
        <v>105000</v>
      </c>
      <c r="K4708" t="e">
        <f>VLOOKUP(B4708,'REGISTRO ABONOS'!$B$8:$BC$10041,54,0)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hidden="1" x14ac:dyDescent="0.2">
      <c r="B4709" s="31">
        <v>4700</v>
      </c>
      <c r="J4709">
        <f t="shared" si="78"/>
        <v>105000</v>
      </c>
      <c r="K4709" t="e">
        <f>VLOOKUP(B4709,'REGISTRO ABONOS'!$B$8:$BC$10041,54,0)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hidden="1" x14ac:dyDescent="0.2">
      <c r="B4710" s="31">
        <v>4701</v>
      </c>
      <c r="J4710">
        <f t="shared" si="78"/>
        <v>105000</v>
      </c>
      <c r="K4710" t="e">
        <f>VLOOKUP(B4710,'REGISTRO ABONOS'!$B$8:$BC$10041,54,0)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hidden="1" x14ac:dyDescent="0.2">
      <c r="B4711" s="31">
        <v>4702</v>
      </c>
      <c r="J4711">
        <f t="shared" si="78"/>
        <v>105000</v>
      </c>
      <c r="K4711" t="e">
        <f>VLOOKUP(B4711,'REGISTRO ABONOS'!$B$8:$BC$10041,54,0)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hidden="1" x14ac:dyDescent="0.2">
      <c r="B4712" s="31">
        <v>4703</v>
      </c>
      <c r="J4712">
        <f t="shared" si="78"/>
        <v>105000</v>
      </c>
      <c r="K4712" t="e">
        <f>VLOOKUP(B4712,'REGISTRO ABONOS'!$B$8:$BC$10041,54,0)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hidden="1" x14ac:dyDescent="0.2">
      <c r="B4713" s="31">
        <v>4704</v>
      </c>
      <c r="J4713">
        <f t="shared" si="78"/>
        <v>105000</v>
      </c>
      <c r="K4713" t="e">
        <f>VLOOKUP(B4713,'REGISTRO ABONOS'!$B$8:$BC$10041,54,0)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hidden="1" x14ac:dyDescent="0.2">
      <c r="B4714" s="31">
        <v>4705</v>
      </c>
      <c r="J4714">
        <f t="shared" si="78"/>
        <v>105000</v>
      </c>
      <c r="K4714" t="e">
        <f>VLOOKUP(B4714,'REGISTRO ABONOS'!$B$8:$BC$10041,54,0)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hidden="1" x14ac:dyDescent="0.2">
      <c r="B4715" s="31">
        <v>4706</v>
      </c>
      <c r="J4715">
        <f t="shared" si="78"/>
        <v>105000</v>
      </c>
      <c r="K4715" t="e">
        <f>VLOOKUP(B4715,'REGISTRO ABONOS'!$B$8:$BC$10041,54,0)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hidden="1" x14ac:dyDescent="0.2">
      <c r="B4716" s="31">
        <v>4707</v>
      </c>
      <c r="J4716">
        <f t="shared" si="78"/>
        <v>105000</v>
      </c>
      <c r="K4716" t="e">
        <f>VLOOKUP(B4716,'REGISTRO ABONOS'!$B$8:$BC$10041,54,0)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hidden="1" x14ac:dyDescent="0.2">
      <c r="B4717" s="31">
        <v>4708</v>
      </c>
      <c r="J4717">
        <f t="shared" si="78"/>
        <v>105000</v>
      </c>
      <c r="K4717" t="e">
        <f>VLOOKUP(B4717,'REGISTRO ABONOS'!$B$8:$BC$10041,54,0)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hidden="1" x14ac:dyDescent="0.2">
      <c r="B4718" s="31">
        <v>4709</v>
      </c>
      <c r="J4718">
        <f t="shared" si="78"/>
        <v>105000</v>
      </c>
      <c r="K4718" t="e">
        <f>VLOOKUP(B4718,'REGISTRO ABONOS'!$B$8:$BC$10041,54,0)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hidden="1" x14ac:dyDescent="0.2">
      <c r="B4719" s="31">
        <v>4710</v>
      </c>
      <c r="J4719">
        <f t="shared" si="78"/>
        <v>105000</v>
      </c>
      <c r="K4719" t="e">
        <f>VLOOKUP(B4719,'REGISTRO ABONOS'!$B$8:$BC$10041,54,0)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hidden="1" x14ac:dyDescent="0.2">
      <c r="B4720" s="31">
        <v>4711</v>
      </c>
      <c r="J4720">
        <f t="shared" si="78"/>
        <v>105000</v>
      </c>
      <c r="K4720" t="e">
        <f>VLOOKUP(B4720,'REGISTRO ABONOS'!$B$8:$BC$10041,54,0)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hidden="1" x14ac:dyDescent="0.2">
      <c r="B4721" s="31">
        <v>4712</v>
      </c>
      <c r="J4721">
        <f t="shared" si="78"/>
        <v>105000</v>
      </c>
      <c r="K4721" t="e">
        <f>VLOOKUP(B4721,'REGISTRO ABONOS'!$B$8:$BC$10041,54,0)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hidden="1" x14ac:dyDescent="0.2">
      <c r="B4722" s="31">
        <v>4713</v>
      </c>
      <c r="J4722">
        <f t="shared" si="78"/>
        <v>105000</v>
      </c>
      <c r="K4722" t="e">
        <f>VLOOKUP(B4722,'REGISTRO ABONOS'!$B$8:$BC$10041,54,0)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hidden="1" x14ac:dyDescent="0.2">
      <c r="B4723" s="31">
        <v>4714</v>
      </c>
      <c r="J4723">
        <f t="shared" si="78"/>
        <v>105000</v>
      </c>
      <c r="K4723" t="e">
        <f>VLOOKUP(B4723,'REGISTRO ABONOS'!$B$8:$BC$10041,54,0)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hidden="1" x14ac:dyDescent="0.2">
      <c r="B4724" s="31">
        <v>4715</v>
      </c>
      <c r="J4724">
        <f t="shared" si="78"/>
        <v>105000</v>
      </c>
      <c r="K4724" t="e">
        <f>VLOOKUP(B4724,'REGISTRO ABONOS'!$B$8:$BC$10041,54,0)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hidden="1" x14ac:dyDescent="0.2">
      <c r="B4725" s="31">
        <v>4716</v>
      </c>
      <c r="J4725">
        <f t="shared" si="78"/>
        <v>105000</v>
      </c>
      <c r="K4725" t="e">
        <f>VLOOKUP(B4725,'REGISTRO ABONOS'!$B$8:$BC$10041,54,0)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hidden="1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ABONOS'!$B$8:$BC$10041,54,0)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hidden="1" x14ac:dyDescent="0.2">
      <c r="B4727" s="31">
        <v>4718</v>
      </c>
      <c r="J4727">
        <f t="shared" si="79"/>
        <v>105000</v>
      </c>
      <c r="K4727" t="e">
        <f>VLOOKUP(B4727,'REGISTRO ABONOS'!$B$8:$BC$10041,54,0)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hidden="1" x14ac:dyDescent="0.2">
      <c r="B4728" s="31">
        <v>4719</v>
      </c>
      <c r="J4728">
        <f t="shared" si="79"/>
        <v>105000</v>
      </c>
      <c r="K4728" t="e">
        <f>VLOOKUP(B4728,'REGISTRO ABONOS'!$B$8:$BC$10041,54,0)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hidden="1" x14ac:dyDescent="0.2">
      <c r="B4729" s="31">
        <v>4720</v>
      </c>
      <c r="J4729">
        <f t="shared" si="79"/>
        <v>105000</v>
      </c>
      <c r="K4729" t="e">
        <f>VLOOKUP(B4729,'REGISTRO ABONOS'!$B$8:$BC$10041,54,0)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hidden="1" x14ac:dyDescent="0.2">
      <c r="B4730" s="31">
        <v>4721</v>
      </c>
      <c r="J4730">
        <f t="shared" si="79"/>
        <v>105000</v>
      </c>
      <c r="K4730" t="e">
        <f>VLOOKUP(B4730,'REGISTRO ABONOS'!$B$8:$BC$10041,54,0)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hidden="1" x14ac:dyDescent="0.2">
      <c r="B4731" s="31">
        <v>4722</v>
      </c>
      <c r="J4731">
        <f t="shared" si="79"/>
        <v>105000</v>
      </c>
      <c r="K4731" t="e">
        <f>VLOOKUP(B4731,'REGISTRO ABONOS'!$B$8:$BC$10041,54,0)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hidden="1" x14ac:dyDescent="0.2">
      <c r="B4732" s="31">
        <v>4723</v>
      </c>
      <c r="J4732">
        <f t="shared" si="79"/>
        <v>105000</v>
      </c>
      <c r="K4732" t="e">
        <f>VLOOKUP(B4732,'REGISTRO ABONOS'!$B$8:$BC$10041,54,0)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hidden="1" x14ac:dyDescent="0.2">
      <c r="B4733" s="31">
        <v>4724</v>
      </c>
      <c r="J4733">
        <f t="shared" si="79"/>
        <v>105000</v>
      </c>
      <c r="K4733" t="e">
        <f>VLOOKUP(B4733,'REGISTRO ABONOS'!$B$8:$BC$10041,54,0)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hidden="1" x14ac:dyDescent="0.2">
      <c r="B4734" s="31">
        <v>4725</v>
      </c>
      <c r="J4734">
        <f t="shared" si="79"/>
        <v>105000</v>
      </c>
      <c r="K4734" t="e">
        <f>VLOOKUP(B4734,'REGISTRO ABONOS'!$B$8:$BC$10041,54,0)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hidden="1" x14ac:dyDescent="0.2">
      <c r="B4735" s="31">
        <v>4726</v>
      </c>
      <c r="J4735">
        <f t="shared" si="79"/>
        <v>105000</v>
      </c>
      <c r="K4735" t="e">
        <f>VLOOKUP(B4735,'REGISTRO ABONOS'!$B$8:$BC$10041,54,0)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hidden="1" x14ac:dyDescent="0.2">
      <c r="B4736" s="31">
        <v>4727</v>
      </c>
      <c r="J4736">
        <f t="shared" si="79"/>
        <v>105000</v>
      </c>
      <c r="K4736" t="e">
        <f>VLOOKUP(B4736,'REGISTRO ABONOS'!$B$8:$BC$10041,54,0)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hidden="1" x14ac:dyDescent="0.2">
      <c r="B4737" s="31">
        <v>4728</v>
      </c>
      <c r="J4737">
        <f t="shared" si="79"/>
        <v>105000</v>
      </c>
      <c r="K4737" t="e">
        <f>VLOOKUP(B4737,'REGISTRO ABONOS'!$B$8:$BC$10041,54,0)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hidden="1" x14ac:dyDescent="0.2">
      <c r="B4738" s="31">
        <v>4729</v>
      </c>
      <c r="J4738">
        <f t="shared" si="79"/>
        <v>105000</v>
      </c>
      <c r="K4738" t="e">
        <f>VLOOKUP(B4738,'REGISTRO ABONOS'!$B$8:$BC$10041,54,0)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hidden="1" x14ac:dyDescent="0.2">
      <c r="B4739" s="31">
        <v>4730</v>
      </c>
      <c r="J4739">
        <f t="shared" si="79"/>
        <v>105000</v>
      </c>
      <c r="K4739" t="e">
        <f>VLOOKUP(B4739,'REGISTRO ABONOS'!$B$8:$BC$10041,54,0)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hidden="1" x14ac:dyDescent="0.2">
      <c r="B4740" s="31">
        <v>4731</v>
      </c>
      <c r="J4740">
        <f t="shared" si="79"/>
        <v>105000</v>
      </c>
      <c r="K4740" t="e">
        <f>VLOOKUP(B4740,'REGISTRO ABONOS'!$B$8:$BC$10041,54,0)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hidden="1" x14ac:dyDescent="0.2">
      <c r="B4741" s="31">
        <v>4732</v>
      </c>
      <c r="J4741">
        <f t="shared" si="79"/>
        <v>105000</v>
      </c>
      <c r="K4741" t="e">
        <f>VLOOKUP(B4741,'REGISTRO ABONOS'!$B$8:$BC$10041,54,0)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hidden="1" x14ac:dyDescent="0.2">
      <c r="B4742" s="31">
        <v>4733</v>
      </c>
      <c r="J4742">
        <f t="shared" si="79"/>
        <v>105000</v>
      </c>
      <c r="K4742" t="e">
        <f>VLOOKUP(B4742,'REGISTRO ABONOS'!$B$8:$BC$10041,54,0)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hidden="1" x14ac:dyDescent="0.2">
      <c r="B4743" s="31">
        <v>4734</v>
      </c>
      <c r="J4743">
        <f t="shared" si="79"/>
        <v>105000</v>
      </c>
      <c r="K4743" t="e">
        <f>VLOOKUP(B4743,'REGISTRO ABONOS'!$B$8:$BC$10041,54,0)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hidden="1" x14ac:dyDescent="0.2">
      <c r="B4744" s="31">
        <v>4735</v>
      </c>
      <c r="J4744">
        <f t="shared" si="79"/>
        <v>105000</v>
      </c>
      <c r="K4744" t="e">
        <f>VLOOKUP(B4744,'REGISTRO ABONOS'!$B$8:$BC$10041,54,0)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hidden="1" x14ac:dyDescent="0.2">
      <c r="B4745" s="31">
        <v>4736</v>
      </c>
      <c r="J4745">
        <f t="shared" si="79"/>
        <v>105000</v>
      </c>
      <c r="K4745" t="e">
        <f>VLOOKUP(B4745,'REGISTRO ABONOS'!$B$8:$BC$10041,54,0)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hidden="1" x14ac:dyDescent="0.2">
      <c r="B4746" s="31">
        <v>4737</v>
      </c>
      <c r="J4746">
        <f t="shared" si="79"/>
        <v>105000</v>
      </c>
      <c r="K4746" t="e">
        <f>VLOOKUP(B4746,'REGISTRO ABONOS'!$B$8:$BC$10041,54,0)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hidden="1" x14ac:dyDescent="0.2">
      <c r="B4747" s="31">
        <v>4738</v>
      </c>
      <c r="J4747">
        <f t="shared" si="79"/>
        <v>105000</v>
      </c>
      <c r="K4747" t="e">
        <f>VLOOKUP(B4747,'REGISTRO ABONOS'!$B$8:$BC$10041,54,0)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hidden="1" x14ac:dyDescent="0.2">
      <c r="B4748" s="31">
        <v>4739</v>
      </c>
      <c r="J4748">
        <f t="shared" si="79"/>
        <v>105000</v>
      </c>
      <c r="K4748" t="e">
        <f>VLOOKUP(B4748,'REGISTRO ABONOS'!$B$8:$BC$10041,54,0)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hidden="1" x14ac:dyDescent="0.2">
      <c r="B4749" s="31">
        <v>4740</v>
      </c>
      <c r="J4749">
        <f t="shared" si="79"/>
        <v>105000</v>
      </c>
      <c r="K4749" t="e">
        <f>VLOOKUP(B4749,'REGISTRO ABONOS'!$B$8:$BC$10041,54,0)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hidden="1" x14ac:dyDescent="0.2">
      <c r="B4750" s="31">
        <v>4741</v>
      </c>
      <c r="J4750">
        <f t="shared" si="79"/>
        <v>105000</v>
      </c>
      <c r="K4750" t="e">
        <f>VLOOKUP(B4750,'REGISTRO ABONOS'!$B$8:$BC$10041,54,0)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hidden="1" x14ac:dyDescent="0.2">
      <c r="B4751" s="31">
        <v>4742</v>
      </c>
      <c r="J4751">
        <f t="shared" si="79"/>
        <v>105000</v>
      </c>
      <c r="K4751" t="e">
        <f>VLOOKUP(B4751,'REGISTRO ABONOS'!$B$8:$BC$10041,54,0)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hidden="1" x14ac:dyDescent="0.2">
      <c r="B4752" s="31">
        <v>4743</v>
      </c>
      <c r="J4752">
        <f t="shared" si="79"/>
        <v>105000</v>
      </c>
      <c r="K4752" t="e">
        <f>VLOOKUP(B4752,'REGISTRO ABONOS'!$B$8:$BC$10041,54,0)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hidden="1" x14ac:dyDescent="0.2">
      <c r="B4753" s="31">
        <v>4744</v>
      </c>
      <c r="J4753">
        <f t="shared" si="79"/>
        <v>105000</v>
      </c>
      <c r="K4753" t="e">
        <f>VLOOKUP(B4753,'REGISTRO ABONOS'!$B$8:$BC$10041,54,0)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hidden="1" x14ac:dyDescent="0.2">
      <c r="B4754" s="31">
        <v>4745</v>
      </c>
      <c r="J4754">
        <f t="shared" si="79"/>
        <v>105000</v>
      </c>
      <c r="K4754" t="e">
        <f>VLOOKUP(B4754,'REGISTRO ABONOS'!$B$8:$BC$10041,54,0)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hidden="1" x14ac:dyDescent="0.2">
      <c r="B4755" s="31">
        <v>4746</v>
      </c>
      <c r="J4755">
        <f t="shared" si="79"/>
        <v>105000</v>
      </c>
      <c r="K4755" t="e">
        <f>VLOOKUP(B4755,'REGISTRO ABONOS'!$B$8:$BC$10041,54,0)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hidden="1" x14ac:dyDescent="0.2">
      <c r="B4756" s="31">
        <v>4747</v>
      </c>
      <c r="J4756">
        <f t="shared" si="79"/>
        <v>105000</v>
      </c>
      <c r="K4756" t="e">
        <f>VLOOKUP(B4756,'REGISTRO ABONOS'!$B$8:$BC$10041,54,0)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hidden="1" x14ac:dyDescent="0.2">
      <c r="B4757" s="31">
        <v>4748</v>
      </c>
      <c r="J4757">
        <f t="shared" si="79"/>
        <v>105000</v>
      </c>
      <c r="K4757" t="e">
        <f>VLOOKUP(B4757,'REGISTRO ABONOS'!$B$8:$BC$10041,54,0)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hidden="1" x14ac:dyDescent="0.2">
      <c r="B4758" s="31">
        <v>4749</v>
      </c>
      <c r="J4758">
        <f t="shared" si="79"/>
        <v>105000</v>
      </c>
      <c r="K4758" t="e">
        <f>VLOOKUP(B4758,'REGISTRO ABONOS'!$B$8:$BC$10041,54,0)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hidden="1" x14ac:dyDescent="0.2">
      <c r="B4759" s="31">
        <v>4750</v>
      </c>
      <c r="J4759">
        <f t="shared" si="79"/>
        <v>105000</v>
      </c>
      <c r="K4759" t="e">
        <f>VLOOKUP(B4759,'REGISTRO ABONOS'!$B$8:$BC$10041,54,0)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hidden="1" x14ac:dyDescent="0.2">
      <c r="B4760" s="31">
        <v>4751</v>
      </c>
      <c r="J4760">
        <f t="shared" si="79"/>
        <v>105000</v>
      </c>
      <c r="K4760" t="e">
        <f>VLOOKUP(B4760,'REGISTRO ABONOS'!$B$8:$BC$10041,54,0)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hidden="1" x14ac:dyDescent="0.2">
      <c r="B4761" s="31">
        <v>4752</v>
      </c>
      <c r="J4761">
        <f t="shared" si="79"/>
        <v>105000</v>
      </c>
      <c r="K4761" t="e">
        <f>VLOOKUP(B4761,'REGISTRO ABONOS'!$B$8:$BC$10041,54,0)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hidden="1" x14ac:dyDescent="0.2">
      <c r="B4762" s="31">
        <v>4753</v>
      </c>
      <c r="J4762">
        <f t="shared" si="79"/>
        <v>105000</v>
      </c>
      <c r="K4762" t="e">
        <f>VLOOKUP(B4762,'REGISTRO ABONOS'!$B$8:$BC$10041,54,0)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hidden="1" x14ac:dyDescent="0.2">
      <c r="B4763" s="31">
        <v>4754</v>
      </c>
      <c r="J4763">
        <f t="shared" si="79"/>
        <v>105000</v>
      </c>
      <c r="K4763" t="e">
        <f>VLOOKUP(B4763,'REGISTRO ABONOS'!$B$8:$BC$10041,54,0)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hidden="1" x14ac:dyDescent="0.2">
      <c r="B4764" s="31">
        <v>4755</v>
      </c>
      <c r="J4764">
        <f t="shared" si="79"/>
        <v>105000</v>
      </c>
      <c r="K4764" t="e">
        <f>VLOOKUP(B4764,'REGISTRO ABONOS'!$B$8:$BC$10041,54,0)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hidden="1" x14ac:dyDescent="0.2">
      <c r="B4765" s="31">
        <v>4756</v>
      </c>
      <c r="J4765">
        <f t="shared" si="79"/>
        <v>105000</v>
      </c>
      <c r="K4765" t="e">
        <f>VLOOKUP(B4765,'REGISTRO ABONOS'!$B$8:$BC$10041,54,0)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9"/>
        <v>105000</v>
      </c>
      <c r="K4766" t="e">
        <f>VLOOKUP(B4766,'REGISTRO ABONOS'!$B$8:$BC$10041,54,0)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hidden="1" x14ac:dyDescent="0.2">
      <c r="B4767" s="31">
        <v>4758</v>
      </c>
      <c r="J4767">
        <f t="shared" si="79"/>
        <v>105000</v>
      </c>
      <c r="K4767" t="e">
        <f>VLOOKUP(B4767,'REGISTRO ABONOS'!$B$8:$BC$10041,54,0)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hidden="1" x14ac:dyDescent="0.2">
      <c r="B4768" s="31">
        <v>4759</v>
      </c>
      <c r="J4768">
        <f t="shared" si="79"/>
        <v>105000</v>
      </c>
      <c r="K4768" t="e">
        <f>VLOOKUP(B4768,'REGISTRO ABONOS'!$B$8:$BC$10041,54,0)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hidden="1" x14ac:dyDescent="0.2">
      <c r="B4769" s="31">
        <v>4760</v>
      </c>
      <c r="J4769">
        <f t="shared" si="79"/>
        <v>105000</v>
      </c>
      <c r="K4769" t="e">
        <f>VLOOKUP(B4769,'REGISTRO ABONOS'!$B$8:$BC$10041,54,0)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hidden="1" x14ac:dyDescent="0.2">
      <c r="B4770" s="31">
        <v>4761</v>
      </c>
      <c r="J4770">
        <f t="shared" si="79"/>
        <v>105000</v>
      </c>
      <c r="K4770" t="e">
        <f>VLOOKUP(B4770,'REGISTRO ABONOS'!$B$8:$BC$10041,54,0)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hidden="1" x14ac:dyDescent="0.2">
      <c r="B4771" s="31">
        <v>4762</v>
      </c>
      <c r="J4771">
        <f t="shared" si="79"/>
        <v>105000</v>
      </c>
      <c r="K4771" t="e">
        <f>VLOOKUP(B4771,'REGISTRO ABONOS'!$B$8:$BC$10041,54,0)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hidden="1" x14ac:dyDescent="0.2">
      <c r="B4772" s="31">
        <v>4763</v>
      </c>
      <c r="J4772">
        <f t="shared" si="79"/>
        <v>105000</v>
      </c>
      <c r="K4772" t="e">
        <f>VLOOKUP(B4772,'REGISTRO ABONOS'!$B$8:$BC$10041,54,0)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hidden="1" x14ac:dyDescent="0.2">
      <c r="B4773" s="31">
        <v>4764</v>
      </c>
      <c r="J4773">
        <f t="shared" si="79"/>
        <v>105000</v>
      </c>
      <c r="K4773" t="e">
        <f>VLOOKUP(B4773,'REGISTRO ABONOS'!$B$8:$BC$10041,54,0)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hidden="1" x14ac:dyDescent="0.2">
      <c r="B4774" s="31">
        <v>4765</v>
      </c>
      <c r="J4774">
        <f t="shared" si="79"/>
        <v>105000</v>
      </c>
      <c r="K4774" t="e">
        <f>VLOOKUP(B4774,'REGISTRO ABONOS'!$B$8:$BC$10041,54,0)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hidden="1" x14ac:dyDescent="0.2">
      <c r="B4775" s="31">
        <v>4766</v>
      </c>
      <c r="J4775">
        <f t="shared" si="79"/>
        <v>105000</v>
      </c>
      <c r="K4775" t="e">
        <f>VLOOKUP(B4775,'REGISTRO ABONOS'!$B$8:$BC$10041,54,0)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hidden="1" x14ac:dyDescent="0.2">
      <c r="B4776" s="31">
        <v>4767</v>
      </c>
      <c r="J4776">
        <f t="shared" si="79"/>
        <v>105000</v>
      </c>
      <c r="K4776" t="e">
        <f>VLOOKUP(B4776,'REGISTRO ABONOS'!$B$8:$BC$10041,54,0)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hidden="1" x14ac:dyDescent="0.2">
      <c r="B4777" s="31">
        <v>4768</v>
      </c>
      <c r="J4777">
        <f t="shared" si="79"/>
        <v>105000</v>
      </c>
      <c r="K4777" t="e">
        <f>VLOOKUP(B4777,'REGISTRO ABONOS'!$B$8:$BC$10041,54,0)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hidden="1" x14ac:dyDescent="0.2">
      <c r="B4778" s="31">
        <v>4769</v>
      </c>
      <c r="J4778">
        <f t="shared" si="79"/>
        <v>105000</v>
      </c>
      <c r="K4778" t="e">
        <f>VLOOKUP(B4778,'REGISTRO ABONOS'!$B$8:$BC$10041,54,0)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hidden="1" x14ac:dyDescent="0.2">
      <c r="B4779" s="31">
        <v>4770</v>
      </c>
      <c r="J4779">
        <f t="shared" si="79"/>
        <v>105000</v>
      </c>
      <c r="K4779" t="e">
        <f>VLOOKUP(B4779,'REGISTRO ABONOS'!$B$8:$BC$10041,54,0)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hidden="1" x14ac:dyDescent="0.2">
      <c r="B4780" s="31">
        <v>4771</v>
      </c>
      <c r="J4780">
        <f t="shared" si="79"/>
        <v>105000</v>
      </c>
      <c r="K4780" t="e">
        <f>VLOOKUP(B4780,'REGISTRO ABONOS'!$B$8:$BC$10041,54,0)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hidden="1" x14ac:dyDescent="0.2">
      <c r="B4781" s="31">
        <v>4772</v>
      </c>
      <c r="J4781">
        <f t="shared" si="79"/>
        <v>105000</v>
      </c>
      <c r="K4781" t="e">
        <f>VLOOKUP(B4781,'REGISTRO ABONOS'!$B$8:$BC$10041,54,0)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hidden="1" x14ac:dyDescent="0.2">
      <c r="B4782" s="31">
        <v>4773</v>
      </c>
      <c r="J4782">
        <f t="shared" si="79"/>
        <v>105000</v>
      </c>
      <c r="K4782" t="e">
        <f>VLOOKUP(B4782,'REGISTRO ABONOS'!$B$8:$BC$10041,54,0)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hidden="1" x14ac:dyDescent="0.2">
      <c r="B4783" s="31">
        <v>4774</v>
      </c>
      <c r="J4783">
        <f t="shared" si="79"/>
        <v>105000</v>
      </c>
      <c r="K4783" t="e">
        <f>VLOOKUP(B4783,'REGISTRO ABONOS'!$B$8:$BC$10041,54,0)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hidden="1" x14ac:dyDescent="0.2">
      <c r="B4784" s="31">
        <v>4775</v>
      </c>
      <c r="J4784">
        <f t="shared" si="79"/>
        <v>105000</v>
      </c>
      <c r="K4784" t="e">
        <f>VLOOKUP(B4784,'REGISTRO ABONOS'!$B$8:$BC$10041,54,0)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hidden="1" x14ac:dyDescent="0.2">
      <c r="B4785" s="31">
        <v>4776</v>
      </c>
      <c r="J4785">
        <f t="shared" si="79"/>
        <v>105000</v>
      </c>
      <c r="K4785" t="e">
        <f>VLOOKUP(B4785,'REGISTRO ABONOS'!$B$8:$BC$10041,54,0)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hidden="1" x14ac:dyDescent="0.2">
      <c r="B4786" s="31">
        <v>4777</v>
      </c>
      <c r="J4786">
        <f t="shared" si="79"/>
        <v>105000</v>
      </c>
      <c r="K4786" t="e">
        <f>VLOOKUP(B4786,'REGISTRO ABONOS'!$B$8:$BC$10041,54,0)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hidden="1" x14ac:dyDescent="0.2">
      <c r="B4787" s="31">
        <v>4778</v>
      </c>
      <c r="J4787">
        <f t="shared" si="79"/>
        <v>105000</v>
      </c>
      <c r="K4787" t="e">
        <f>VLOOKUP(B4787,'REGISTRO ABONOS'!$B$8:$BC$10041,54,0)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hidden="1" x14ac:dyDescent="0.2">
      <c r="B4788" s="31">
        <v>4779</v>
      </c>
      <c r="J4788">
        <f t="shared" si="79"/>
        <v>105000</v>
      </c>
      <c r="K4788" t="e">
        <f>VLOOKUP(B4788,'REGISTRO ABONOS'!$B$8:$BC$10041,54,0)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hidden="1" x14ac:dyDescent="0.2">
      <c r="B4789" s="31">
        <v>4780</v>
      </c>
      <c r="J4789">
        <f t="shared" si="79"/>
        <v>105000</v>
      </c>
      <c r="K4789" t="e">
        <f>VLOOKUP(B4789,'REGISTRO ABONOS'!$B$8:$BC$10041,54,0)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hidden="1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ABONOS'!$B$8:$BC$10041,54,0)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hidden="1" x14ac:dyDescent="0.2">
      <c r="B4791" s="31">
        <v>4782</v>
      </c>
      <c r="J4791">
        <f t="shared" si="80"/>
        <v>105000</v>
      </c>
      <c r="K4791" t="e">
        <f>VLOOKUP(B4791,'REGISTRO ABONOS'!$B$8:$BC$10041,54,0)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hidden="1" x14ac:dyDescent="0.2">
      <c r="B4792" s="31">
        <v>4783</v>
      </c>
      <c r="J4792">
        <f t="shared" si="80"/>
        <v>105000</v>
      </c>
      <c r="K4792" t="e">
        <f>VLOOKUP(B4792,'REGISTRO ABONOS'!$B$8:$BC$10041,54,0)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hidden="1" x14ac:dyDescent="0.2">
      <c r="B4793" s="31">
        <v>4784</v>
      </c>
      <c r="J4793">
        <f t="shared" si="80"/>
        <v>105000</v>
      </c>
      <c r="K4793" t="e">
        <f>VLOOKUP(B4793,'REGISTRO ABONOS'!$B$8:$BC$10041,54,0)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hidden="1" x14ac:dyDescent="0.2">
      <c r="B4794" s="31">
        <v>4785</v>
      </c>
      <c r="J4794">
        <f t="shared" si="80"/>
        <v>105000</v>
      </c>
      <c r="K4794" t="e">
        <f>VLOOKUP(B4794,'REGISTRO ABONOS'!$B$8:$BC$10041,54,0)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hidden="1" x14ac:dyDescent="0.2">
      <c r="B4795" s="31">
        <v>4786</v>
      </c>
      <c r="J4795">
        <f t="shared" si="80"/>
        <v>105000</v>
      </c>
      <c r="K4795" t="e">
        <f>VLOOKUP(B4795,'REGISTRO ABONOS'!$B$8:$BC$10041,54,0)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hidden="1" x14ac:dyDescent="0.2">
      <c r="B4796" s="31">
        <v>4787</v>
      </c>
      <c r="J4796">
        <f t="shared" si="80"/>
        <v>105000</v>
      </c>
      <c r="K4796" t="e">
        <f>VLOOKUP(B4796,'REGISTRO ABONOS'!$B$8:$BC$10041,54,0)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hidden="1" x14ac:dyDescent="0.2">
      <c r="B4797" s="31">
        <v>4788</v>
      </c>
      <c r="J4797">
        <f t="shared" si="80"/>
        <v>105000</v>
      </c>
      <c r="K4797" t="e">
        <f>VLOOKUP(B4797,'REGISTRO ABONOS'!$B$8:$BC$10041,54,0)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hidden="1" x14ac:dyDescent="0.2">
      <c r="B4798" s="31">
        <v>4789</v>
      </c>
      <c r="J4798">
        <f t="shared" si="80"/>
        <v>105000</v>
      </c>
      <c r="K4798" t="e">
        <f>VLOOKUP(B4798,'REGISTRO ABONOS'!$B$8:$BC$10041,54,0)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hidden="1" x14ac:dyDescent="0.2">
      <c r="B4799" s="31">
        <v>4790</v>
      </c>
      <c r="J4799">
        <f t="shared" si="80"/>
        <v>105000</v>
      </c>
      <c r="K4799" t="e">
        <f>VLOOKUP(B4799,'REGISTRO ABONOS'!$B$8:$BC$10041,54,0)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hidden="1" x14ac:dyDescent="0.2">
      <c r="B4800" s="31">
        <v>4791</v>
      </c>
      <c r="J4800">
        <f t="shared" si="80"/>
        <v>105000</v>
      </c>
      <c r="K4800" t="e">
        <f>VLOOKUP(B4800,'REGISTRO ABONOS'!$B$8:$BC$10041,54,0)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hidden="1" x14ac:dyDescent="0.2">
      <c r="B4801" s="31">
        <v>4792</v>
      </c>
      <c r="J4801">
        <f t="shared" si="80"/>
        <v>105000</v>
      </c>
      <c r="K4801" t="e">
        <f>VLOOKUP(B4801,'REGISTRO ABONOS'!$B$8:$BC$10041,54,0)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hidden="1" x14ac:dyDescent="0.2">
      <c r="B4802" s="31">
        <v>4793</v>
      </c>
      <c r="J4802">
        <f t="shared" si="80"/>
        <v>105000</v>
      </c>
      <c r="K4802" t="e">
        <f>VLOOKUP(B4802,'REGISTRO ABONOS'!$B$8:$BC$10041,54,0)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hidden="1" x14ac:dyDescent="0.2">
      <c r="B4803" s="31">
        <v>4794</v>
      </c>
      <c r="J4803">
        <f t="shared" si="80"/>
        <v>105000</v>
      </c>
      <c r="K4803" t="e">
        <f>VLOOKUP(B4803,'REGISTRO ABONOS'!$B$8:$BC$10041,54,0)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hidden="1" x14ac:dyDescent="0.2">
      <c r="B4804" s="31">
        <v>4795</v>
      </c>
      <c r="J4804">
        <f t="shared" si="80"/>
        <v>105000</v>
      </c>
      <c r="K4804" t="e">
        <f>VLOOKUP(B4804,'REGISTRO ABONOS'!$B$8:$BC$10041,54,0)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hidden="1" x14ac:dyDescent="0.2">
      <c r="B4805" s="31">
        <v>4796</v>
      </c>
      <c r="J4805">
        <f t="shared" si="80"/>
        <v>105000</v>
      </c>
      <c r="K4805" t="e">
        <f>VLOOKUP(B4805,'REGISTRO ABONOS'!$B$8:$BC$10041,54,0)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hidden="1" x14ac:dyDescent="0.2">
      <c r="B4806" s="31">
        <v>4797</v>
      </c>
      <c r="J4806">
        <f t="shared" si="80"/>
        <v>105000</v>
      </c>
      <c r="K4806" t="e">
        <f>VLOOKUP(B4806,'REGISTRO ABONOS'!$B$8:$BC$10041,54,0)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hidden="1" x14ac:dyDescent="0.2">
      <c r="B4807" s="31">
        <v>4798</v>
      </c>
      <c r="J4807">
        <f t="shared" si="80"/>
        <v>105000</v>
      </c>
      <c r="K4807" t="e">
        <f>VLOOKUP(B4807,'REGISTRO ABONOS'!$B$8:$BC$10041,54,0)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hidden="1" x14ac:dyDescent="0.2">
      <c r="B4808" s="31">
        <v>4799</v>
      </c>
      <c r="J4808">
        <f t="shared" si="80"/>
        <v>105000</v>
      </c>
      <c r="K4808" t="e">
        <f>VLOOKUP(B4808,'REGISTRO ABONOS'!$B$8:$BC$10041,54,0)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hidden="1" x14ac:dyDescent="0.2">
      <c r="B4809" s="31">
        <v>4800</v>
      </c>
      <c r="J4809">
        <f t="shared" si="80"/>
        <v>105000</v>
      </c>
      <c r="K4809" t="e">
        <f>VLOOKUP(B4809,'REGISTRO ABONOS'!$B$8:$BC$10041,54,0)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hidden="1" x14ac:dyDescent="0.2">
      <c r="B4810" s="31">
        <v>4801</v>
      </c>
      <c r="J4810">
        <f t="shared" si="80"/>
        <v>105000</v>
      </c>
      <c r="K4810" t="e">
        <f>VLOOKUP(B4810,'REGISTRO ABONOS'!$B$8:$BC$10041,54,0)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hidden="1" x14ac:dyDescent="0.2">
      <c r="B4811" s="31">
        <v>4802</v>
      </c>
      <c r="J4811">
        <f t="shared" si="80"/>
        <v>105000</v>
      </c>
      <c r="K4811" t="e">
        <f>VLOOKUP(B4811,'REGISTRO ABONOS'!$B$8:$BC$10041,54,0)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hidden="1" x14ac:dyDescent="0.2">
      <c r="B4812" s="31">
        <v>4803</v>
      </c>
      <c r="J4812">
        <f t="shared" si="80"/>
        <v>105000</v>
      </c>
      <c r="K4812" t="e">
        <f>VLOOKUP(B4812,'REGISTRO ABONOS'!$B$8:$BC$10041,54,0)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hidden="1" x14ac:dyDescent="0.2">
      <c r="B4813" s="31">
        <v>4804</v>
      </c>
      <c r="J4813">
        <f t="shared" si="80"/>
        <v>105000</v>
      </c>
      <c r="K4813" t="e">
        <f>VLOOKUP(B4813,'REGISTRO ABONOS'!$B$8:$BC$10041,54,0)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hidden="1" x14ac:dyDescent="0.2">
      <c r="B4814" s="31">
        <v>4805</v>
      </c>
      <c r="J4814">
        <f t="shared" si="80"/>
        <v>105000</v>
      </c>
      <c r="K4814" t="e">
        <f>VLOOKUP(B4814,'REGISTRO ABONOS'!$B$8:$BC$10041,54,0)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hidden="1" x14ac:dyDescent="0.2">
      <c r="B4815" s="31">
        <v>4806</v>
      </c>
      <c r="J4815">
        <f t="shared" si="80"/>
        <v>105000</v>
      </c>
      <c r="K4815" t="e">
        <f>VLOOKUP(B4815,'REGISTRO ABONOS'!$B$8:$BC$10041,54,0)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hidden="1" x14ac:dyDescent="0.2">
      <c r="B4816" s="31">
        <v>4807</v>
      </c>
      <c r="J4816">
        <f t="shared" si="80"/>
        <v>105000</v>
      </c>
      <c r="K4816" t="e">
        <f>VLOOKUP(B4816,'REGISTRO ABONOS'!$B$8:$BC$10041,54,0)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hidden="1" x14ac:dyDescent="0.2">
      <c r="B4817" s="31">
        <v>4808</v>
      </c>
      <c r="J4817">
        <f t="shared" si="80"/>
        <v>105000</v>
      </c>
      <c r="K4817" t="e">
        <f>VLOOKUP(B4817,'REGISTRO ABONOS'!$B$8:$BC$10041,54,0)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hidden="1" x14ac:dyDescent="0.2">
      <c r="B4818" s="31">
        <v>4809</v>
      </c>
      <c r="J4818">
        <f t="shared" si="80"/>
        <v>105000</v>
      </c>
      <c r="K4818" t="e">
        <f>VLOOKUP(B4818,'REGISTRO ABONOS'!$B$8:$BC$10041,54,0)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hidden="1" x14ac:dyDescent="0.2">
      <c r="B4819" s="31">
        <v>4810</v>
      </c>
      <c r="J4819">
        <f t="shared" si="80"/>
        <v>105000</v>
      </c>
      <c r="K4819" t="e">
        <f>VLOOKUP(B4819,'REGISTRO ABONOS'!$B$8:$BC$10041,54,0)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hidden="1" x14ac:dyDescent="0.2">
      <c r="B4820" s="31">
        <v>4811</v>
      </c>
      <c r="J4820">
        <f t="shared" si="80"/>
        <v>105000</v>
      </c>
      <c r="K4820" t="e">
        <f>VLOOKUP(B4820,'REGISTRO ABONOS'!$B$8:$BC$10041,54,0)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hidden="1" x14ac:dyDescent="0.2">
      <c r="B4821" s="31">
        <v>4812</v>
      </c>
      <c r="J4821">
        <f t="shared" si="80"/>
        <v>105000</v>
      </c>
      <c r="K4821" t="e">
        <f>VLOOKUP(B4821,'REGISTRO ABONOS'!$B$8:$BC$10041,54,0)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hidden="1" x14ac:dyDescent="0.2">
      <c r="B4822" s="31">
        <v>4813</v>
      </c>
      <c r="J4822">
        <f t="shared" si="80"/>
        <v>105000</v>
      </c>
      <c r="K4822" t="e">
        <f>VLOOKUP(B4822,'REGISTRO ABONOS'!$B$8:$BC$10041,54,0)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hidden="1" x14ac:dyDescent="0.2">
      <c r="B4823" s="31">
        <v>4814</v>
      </c>
      <c r="J4823">
        <f t="shared" si="80"/>
        <v>105000</v>
      </c>
      <c r="K4823" t="e">
        <f>VLOOKUP(B4823,'REGISTRO ABONOS'!$B$8:$BC$10041,54,0)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hidden="1" x14ac:dyDescent="0.2">
      <c r="B4824" s="31">
        <v>4815</v>
      </c>
      <c r="J4824">
        <f t="shared" si="80"/>
        <v>105000</v>
      </c>
      <c r="K4824" t="e">
        <f>VLOOKUP(B4824,'REGISTRO ABONOS'!$B$8:$BC$10041,54,0)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hidden="1" x14ac:dyDescent="0.2">
      <c r="B4825" s="31">
        <v>4816</v>
      </c>
      <c r="J4825">
        <f t="shared" si="80"/>
        <v>105000</v>
      </c>
      <c r="K4825" t="e">
        <f>VLOOKUP(B4825,'REGISTRO ABONOS'!$B$8:$BC$10041,54,0)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80"/>
        <v>105000</v>
      </c>
      <c r="K4826" t="e">
        <f>VLOOKUP(B4826,'REGISTRO ABONOS'!$B$8:$BC$10041,54,0)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hidden="1" x14ac:dyDescent="0.2">
      <c r="B4827" s="31">
        <v>4818</v>
      </c>
      <c r="J4827">
        <f t="shared" si="80"/>
        <v>105000</v>
      </c>
      <c r="K4827" t="e">
        <f>VLOOKUP(B4827,'REGISTRO ABONOS'!$B$8:$BC$10041,54,0)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hidden="1" x14ac:dyDescent="0.2">
      <c r="B4828" s="31">
        <v>4819</v>
      </c>
      <c r="J4828">
        <f t="shared" si="80"/>
        <v>105000</v>
      </c>
      <c r="K4828" t="e">
        <f>VLOOKUP(B4828,'REGISTRO ABONOS'!$B$8:$BC$10041,54,0)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hidden="1" x14ac:dyDescent="0.2">
      <c r="B4829" s="31">
        <v>4820</v>
      </c>
      <c r="J4829">
        <f t="shared" si="80"/>
        <v>105000</v>
      </c>
      <c r="K4829" t="e">
        <f>VLOOKUP(B4829,'REGISTRO ABONOS'!$B$8:$BC$10041,54,0)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hidden="1" x14ac:dyDescent="0.2">
      <c r="B4830" s="31">
        <v>4821</v>
      </c>
      <c r="J4830">
        <f t="shared" si="80"/>
        <v>105000</v>
      </c>
      <c r="K4830" t="e">
        <f>VLOOKUP(B4830,'REGISTRO ABONOS'!$B$8:$BC$10041,54,0)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hidden="1" x14ac:dyDescent="0.2">
      <c r="B4831" s="31">
        <v>4822</v>
      </c>
      <c r="J4831">
        <f t="shared" si="80"/>
        <v>105000</v>
      </c>
      <c r="K4831" t="e">
        <f>VLOOKUP(B4831,'REGISTRO ABONOS'!$B$8:$BC$10041,54,0)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hidden="1" x14ac:dyDescent="0.2">
      <c r="B4832" s="31">
        <v>4823</v>
      </c>
      <c r="J4832">
        <f t="shared" si="80"/>
        <v>105000</v>
      </c>
      <c r="K4832" t="e">
        <f>VLOOKUP(B4832,'REGISTRO ABONOS'!$B$8:$BC$10041,54,0)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hidden="1" x14ac:dyDescent="0.2">
      <c r="B4833" s="31">
        <v>4824</v>
      </c>
      <c r="J4833">
        <f t="shared" si="80"/>
        <v>105000</v>
      </c>
      <c r="K4833" t="e">
        <f>VLOOKUP(B4833,'REGISTRO ABONOS'!$B$8:$BC$10041,54,0)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hidden="1" x14ac:dyDescent="0.2">
      <c r="B4834" s="31">
        <v>4825</v>
      </c>
      <c r="J4834">
        <f t="shared" si="80"/>
        <v>105000</v>
      </c>
      <c r="K4834" t="e">
        <f>VLOOKUP(B4834,'REGISTRO ABONOS'!$B$8:$BC$10041,54,0)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hidden="1" x14ac:dyDescent="0.2">
      <c r="B4835" s="31">
        <v>4826</v>
      </c>
      <c r="J4835">
        <f t="shared" si="80"/>
        <v>105000</v>
      </c>
      <c r="K4835" t="e">
        <f>VLOOKUP(B4835,'REGISTRO ABONOS'!$B$8:$BC$10041,54,0)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hidden="1" x14ac:dyDescent="0.2">
      <c r="B4836" s="31">
        <v>4827</v>
      </c>
      <c r="J4836">
        <f t="shared" si="80"/>
        <v>105000</v>
      </c>
      <c r="K4836" t="e">
        <f>VLOOKUP(B4836,'REGISTRO ABONOS'!$B$8:$BC$10041,54,0)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hidden="1" x14ac:dyDescent="0.2">
      <c r="B4837" s="31">
        <v>4828</v>
      </c>
      <c r="J4837">
        <f t="shared" si="80"/>
        <v>105000</v>
      </c>
      <c r="K4837" t="e">
        <f>VLOOKUP(B4837,'REGISTRO ABONOS'!$B$8:$BC$10041,54,0)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hidden="1" x14ac:dyDescent="0.2">
      <c r="B4838" s="31">
        <v>4829</v>
      </c>
      <c r="J4838">
        <f t="shared" si="80"/>
        <v>105000</v>
      </c>
      <c r="K4838" t="e">
        <f>VLOOKUP(B4838,'REGISTRO ABONOS'!$B$8:$BC$10041,54,0)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hidden="1" x14ac:dyDescent="0.2">
      <c r="B4839" s="31">
        <v>4830</v>
      </c>
      <c r="J4839">
        <f t="shared" si="80"/>
        <v>105000</v>
      </c>
      <c r="K4839" t="e">
        <f>VLOOKUP(B4839,'REGISTRO ABONOS'!$B$8:$BC$10041,54,0)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hidden="1" x14ac:dyDescent="0.2">
      <c r="B4840" s="31">
        <v>4831</v>
      </c>
      <c r="J4840">
        <f t="shared" si="80"/>
        <v>105000</v>
      </c>
      <c r="K4840" t="e">
        <f>VLOOKUP(B4840,'REGISTRO ABONOS'!$B$8:$BC$10041,54,0)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hidden="1" x14ac:dyDescent="0.2">
      <c r="B4841" s="31">
        <v>4832</v>
      </c>
      <c r="J4841">
        <f t="shared" si="80"/>
        <v>105000</v>
      </c>
      <c r="K4841" t="e">
        <f>VLOOKUP(B4841,'REGISTRO ABONOS'!$B$8:$BC$10041,54,0)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hidden="1" x14ac:dyDescent="0.2">
      <c r="B4842" s="31">
        <v>4833</v>
      </c>
      <c r="J4842">
        <f t="shared" si="80"/>
        <v>105000</v>
      </c>
      <c r="K4842" t="e">
        <f>VLOOKUP(B4842,'REGISTRO ABONOS'!$B$8:$BC$10041,54,0)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hidden="1" x14ac:dyDescent="0.2">
      <c r="B4843" s="31">
        <v>4834</v>
      </c>
      <c r="J4843">
        <f t="shared" si="80"/>
        <v>105000</v>
      </c>
      <c r="K4843" t="e">
        <f>VLOOKUP(B4843,'REGISTRO ABONOS'!$B$8:$BC$10041,54,0)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hidden="1" x14ac:dyDescent="0.2">
      <c r="B4844" s="31">
        <v>4835</v>
      </c>
      <c r="J4844">
        <f t="shared" si="80"/>
        <v>105000</v>
      </c>
      <c r="K4844" t="e">
        <f>VLOOKUP(B4844,'REGISTRO ABONOS'!$B$8:$BC$10041,54,0)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hidden="1" x14ac:dyDescent="0.2">
      <c r="B4845" s="31">
        <v>4836</v>
      </c>
      <c r="J4845">
        <f t="shared" si="80"/>
        <v>105000</v>
      </c>
      <c r="K4845" t="e">
        <f>VLOOKUP(B4845,'REGISTRO ABONOS'!$B$8:$BC$10041,54,0)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hidden="1" x14ac:dyDescent="0.2">
      <c r="B4846" s="31">
        <v>4837</v>
      </c>
      <c r="J4846">
        <f t="shared" si="80"/>
        <v>105000</v>
      </c>
      <c r="K4846" t="e">
        <f>VLOOKUP(B4846,'REGISTRO ABONOS'!$B$8:$BC$10041,54,0)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hidden="1" x14ac:dyDescent="0.2">
      <c r="B4847" s="31">
        <v>4838</v>
      </c>
      <c r="J4847">
        <f t="shared" si="80"/>
        <v>105000</v>
      </c>
      <c r="K4847" t="e">
        <f>VLOOKUP(B4847,'REGISTRO ABONOS'!$B$8:$BC$10041,54,0)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hidden="1" x14ac:dyDescent="0.2">
      <c r="B4848" s="31">
        <v>4839</v>
      </c>
      <c r="J4848">
        <f t="shared" si="80"/>
        <v>105000</v>
      </c>
      <c r="K4848" t="e">
        <f>VLOOKUP(B4848,'REGISTRO ABONOS'!$B$8:$BC$10041,54,0)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hidden="1" x14ac:dyDescent="0.2">
      <c r="B4849" s="31">
        <v>4840</v>
      </c>
      <c r="J4849">
        <f t="shared" si="80"/>
        <v>105000</v>
      </c>
      <c r="K4849" t="e">
        <f>VLOOKUP(B4849,'REGISTRO ABONOS'!$B$8:$BC$10041,54,0)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hidden="1" x14ac:dyDescent="0.2">
      <c r="B4850" s="31">
        <v>4841</v>
      </c>
      <c r="J4850">
        <f t="shared" si="80"/>
        <v>105000</v>
      </c>
      <c r="K4850" t="e">
        <f>VLOOKUP(B4850,'REGISTRO ABONOS'!$B$8:$BC$10041,54,0)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hidden="1" x14ac:dyDescent="0.2">
      <c r="B4851" s="31">
        <v>4842</v>
      </c>
      <c r="J4851">
        <f t="shared" si="80"/>
        <v>105000</v>
      </c>
      <c r="K4851" t="e">
        <f>VLOOKUP(B4851,'REGISTRO ABONOS'!$B$8:$BC$10041,54,0)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hidden="1" x14ac:dyDescent="0.2">
      <c r="B4852" s="31">
        <v>4843</v>
      </c>
      <c r="J4852">
        <f t="shared" si="80"/>
        <v>105000</v>
      </c>
      <c r="K4852" t="e">
        <f>VLOOKUP(B4852,'REGISTRO ABONOS'!$B$8:$BC$10041,54,0)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hidden="1" x14ac:dyDescent="0.2">
      <c r="B4853" s="31">
        <v>4844</v>
      </c>
      <c r="J4853">
        <f t="shared" si="80"/>
        <v>105000</v>
      </c>
      <c r="K4853" t="e">
        <f>VLOOKUP(B4853,'REGISTRO ABONOS'!$B$8:$BC$10041,54,0)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hidden="1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ABONOS'!$B$8:$BC$10041,54,0)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hidden="1" x14ac:dyDescent="0.2">
      <c r="B4855" s="31">
        <v>4846</v>
      </c>
      <c r="J4855">
        <f t="shared" si="81"/>
        <v>105000</v>
      </c>
      <c r="K4855" t="e">
        <f>VLOOKUP(B4855,'REGISTRO ABONOS'!$B$8:$BC$10041,54,0)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hidden="1" x14ac:dyDescent="0.2">
      <c r="B4856" s="31">
        <v>4847</v>
      </c>
      <c r="J4856">
        <f t="shared" si="81"/>
        <v>105000</v>
      </c>
      <c r="K4856" t="e">
        <f>VLOOKUP(B4856,'REGISTRO ABONOS'!$B$8:$BC$10041,54,0)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hidden="1" x14ac:dyDescent="0.2">
      <c r="B4857" s="31">
        <v>4848</v>
      </c>
      <c r="J4857">
        <f t="shared" si="81"/>
        <v>105000</v>
      </c>
      <c r="K4857" t="e">
        <f>VLOOKUP(B4857,'REGISTRO ABONOS'!$B$8:$BC$10041,54,0)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hidden="1" x14ac:dyDescent="0.2">
      <c r="B4858" s="31">
        <v>4849</v>
      </c>
      <c r="J4858">
        <f t="shared" si="81"/>
        <v>105000</v>
      </c>
      <c r="K4858" t="e">
        <f>VLOOKUP(B4858,'REGISTRO ABONOS'!$B$8:$BC$10041,54,0)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hidden="1" x14ac:dyDescent="0.2">
      <c r="B4859" s="31">
        <v>4850</v>
      </c>
      <c r="J4859">
        <f t="shared" si="81"/>
        <v>105000</v>
      </c>
      <c r="K4859" t="e">
        <f>VLOOKUP(B4859,'REGISTRO ABONOS'!$B$8:$BC$10041,54,0)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hidden="1" x14ac:dyDescent="0.2">
      <c r="B4860" s="31">
        <v>4851</v>
      </c>
      <c r="J4860">
        <f t="shared" si="81"/>
        <v>105000</v>
      </c>
      <c r="K4860" t="e">
        <f>VLOOKUP(B4860,'REGISTRO ABONOS'!$B$8:$BC$10041,54,0)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1"/>
        <v>105000</v>
      </c>
      <c r="K4861">
        <f>VLOOKUP(B4861,'REGISTRO ABONOS'!$B$8:$BC$10041,54,0)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hidden="1" x14ac:dyDescent="0.2">
      <c r="B4862" s="31">
        <v>4853</v>
      </c>
      <c r="J4862">
        <f t="shared" si="81"/>
        <v>105000</v>
      </c>
      <c r="K4862" t="e">
        <f>VLOOKUP(B4862,'REGISTRO ABONOS'!$B$8:$BC$10041,54,0)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hidden="1" x14ac:dyDescent="0.2">
      <c r="B4863" s="31">
        <v>4854</v>
      </c>
      <c r="J4863">
        <f t="shared" si="81"/>
        <v>105000</v>
      </c>
      <c r="K4863" t="e">
        <f>VLOOKUP(B4863,'REGISTRO ABONOS'!$B$8:$BC$10041,54,0)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hidden="1" x14ac:dyDescent="0.2">
      <c r="B4864" s="31">
        <v>4855</v>
      </c>
      <c r="J4864">
        <f t="shared" si="81"/>
        <v>105000</v>
      </c>
      <c r="K4864" t="e">
        <f>VLOOKUP(B4864,'REGISTRO ABONOS'!$B$8:$BC$10041,54,0)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hidden="1" x14ac:dyDescent="0.2">
      <c r="B4865" s="31">
        <v>4856</v>
      </c>
      <c r="J4865">
        <f t="shared" si="81"/>
        <v>105000</v>
      </c>
      <c r="K4865" t="e">
        <f>VLOOKUP(B4865,'REGISTRO ABONOS'!$B$8:$BC$10041,54,0)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hidden="1" x14ac:dyDescent="0.2">
      <c r="B4866" s="31">
        <v>4857</v>
      </c>
      <c r="J4866">
        <f t="shared" si="81"/>
        <v>105000</v>
      </c>
      <c r="K4866" t="e">
        <f>VLOOKUP(B4866,'REGISTRO ABONOS'!$B$8:$BC$10041,54,0)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hidden="1" x14ac:dyDescent="0.2">
      <c r="B4867" s="31">
        <v>4858</v>
      </c>
      <c r="J4867">
        <f t="shared" si="81"/>
        <v>105000</v>
      </c>
      <c r="K4867" t="e">
        <f>VLOOKUP(B4867,'REGISTRO ABONOS'!$B$8:$BC$10041,54,0)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hidden="1" x14ac:dyDescent="0.2">
      <c r="B4868" s="31">
        <v>4859</v>
      </c>
      <c r="J4868">
        <f t="shared" si="81"/>
        <v>105000</v>
      </c>
      <c r="K4868" t="e">
        <f>VLOOKUP(B4868,'REGISTRO ABONOS'!$B$8:$BC$10041,54,0)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hidden="1" x14ac:dyDescent="0.2">
      <c r="B4869" s="31">
        <v>4860</v>
      </c>
      <c r="J4869">
        <f t="shared" si="81"/>
        <v>105000</v>
      </c>
      <c r="K4869" t="e">
        <f>VLOOKUP(B4869,'REGISTRO ABONOS'!$B$8:$BC$10041,54,0)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hidden="1" x14ac:dyDescent="0.2">
      <c r="B4870" s="31">
        <v>4861</v>
      </c>
      <c r="J4870">
        <f t="shared" si="81"/>
        <v>105000</v>
      </c>
      <c r="K4870" t="e">
        <f>VLOOKUP(B4870,'REGISTRO ABONOS'!$B$8:$BC$10041,54,0)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hidden="1" x14ac:dyDescent="0.2">
      <c r="B4871" s="31">
        <v>4862</v>
      </c>
      <c r="J4871">
        <f t="shared" si="81"/>
        <v>105000</v>
      </c>
      <c r="K4871" t="e">
        <f>VLOOKUP(B4871,'REGISTRO ABONOS'!$B$8:$BC$10041,54,0)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hidden="1" x14ac:dyDescent="0.2">
      <c r="B4872" s="31">
        <v>4863</v>
      </c>
      <c r="J4872">
        <f t="shared" si="81"/>
        <v>105000</v>
      </c>
      <c r="K4872" t="e">
        <f>VLOOKUP(B4872,'REGISTRO ABONOS'!$B$8:$BC$10041,54,0)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hidden="1" x14ac:dyDescent="0.2">
      <c r="B4873" s="31">
        <v>4864</v>
      </c>
      <c r="J4873">
        <f t="shared" si="81"/>
        <v>105000</v>
      </c>
      <c r="K4873" t="e">
        <f>VLOOKUP(B4873,'REGISTRO ABONOS'!$B$8:$BC$10041,54,0)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hidden="1" x14ac:dyDescent="0.2">
      <c r="B4874" s="31">
        <v>4865</v>
      </c>
      <c r="J4874">
        <f t="shared" si="81"/>
        <v>105000</v>
      </c>
      <c r="K4874" t="e">
        <f>VLOOKUP(B4874,'REGISTRO ABONOS'!$B$8:$BC$10041,54,0)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hidden="1" x14ac:dyDescent="0.2">
      <c r="B4875" s="31">
        <v>4866</v>
      </c>
      <c r="J4875">
        <f t="shared" si="81"/>
        <v>105000</v>
      </c>
      <c r="K4875" t="e">
        <f>VLOOKUP(B4875,'REGISTRO ABONOS'!$B$8:$BC$10041,54,0)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hidden="1" x14ac:dyDescent="0.2">
      <c r="B4876" s="31">
        <v>4867</v>
      </c>
      <c r="J4876">
        <f t="shared" si="81"/>
        <v>105000</v>
      </c>
      <c r="K4876" t="e">
        <f>VLOOKUP(B4876,'REGISTRO ABONOS'!$B$8:$BC$10041,54,0)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hidden="1" x14ac:dyDescent="0.2">
      <c r="B4877" s="31">
        <v>4868</v>
      </c>
      <c r="J4877">
        <f t="shared" si="81"/>
        <v>105000</v>
      </c>
      <c r="K4877" t="e">
        <f>VLOOKUP(B4877,'REGISTRO ABONOS'!$B$8:$BC$10041,54,0)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hidden="1" x14ac:dyDescent="0.2">
      <c r="B4878" s="31">
        <v>4869</v>
      </c>
      <c r="J4878">
        <f t="shared" si="81"/>
        <v>105000</v>
      </c>
      <c r="K4878" t="e">
        <f>VLOOKUP(B4878,'REGISTRO ABONOS'!$B$8:$BC$10041,54,0)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hidden="1" x14ac:dyDescent="0.2">
      <c r="B4879" s="31">
        <v>4870</v>
      </c>
      <c r="J4879">
        <f t="shared" si="81"/>
        <v>105000</v>
      </c>
      <c r="K4879" t="e">
        <f>VLOOKUP(B4879,'REGISTRO ABONOS'!$B$8:$BC$10041,54,0)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hidden="1" x14ac:dyDescent="0.2">
      <c r="B4880" s="31">
        <v>4871</v>
      </c>
      <c r="J4880">
        <f t="shared" si="81"/>
        <v>105000</v>
      </c>
      <c r="K4880" t="e">
        <f>VLOOKUP(B4880,'REGISTRO ABONOS'!$B$8:$BC$10041,54,0)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hidden="1" x14ac:dyDescent="0.2">
      <c r="B4881" s="31">
        <v>4872</v>
      </c>
      <c r="J4881">
        <f t="shared" si="81"/>
        <v>105000</v>
      </c>
      <c r="K4881" t="e">
        <f>VLOOKUP(B4881,'REGISTRO ABONOS'!$B$8:$BC$10041,54,0)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hidden="1" x14ac:dyDescent="0.2">
      <c r="B4882" s="31">
        <v>4873</v>
      </c>
      <c r="J4882">
        <f t="shared" si="81"/>
        <v>105000</v>
      </c>
      <c r="K4882" t="e">
        <f>VLOOKUP(B4882,'REGISTRO ABONOS'!$B$8:$BC$10041,54,0)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hidden="1" x14ac:dyDescent="0.2">
      <c r="B4883" s="31">
        <v>4874</v>
      </c>
      <c r="J4883">
        <f t="shared" si="81"/>
        <v>105000</v>
      </c>
      <c r="K4883" t="e">
        <f>VLOOKUP(B4883,'REGISTRO ABONOS'!$B$8:$BC$10041,54,0)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hidden="1" x14ac:dyDescent="0.2">
      <c r="B4884" s="31">
        <v>4875</v>
      </c>
      <c r="J4884">
        <f t="shared" si="81"/>
        <v>105000</v>
      </c>
      <c r="K4884" t="e">
        <f>VLOOKUP(B4884,'REGISTRO ABONOS'!$B$8:$BC$10041,54,0)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hidden="1" x14ac:dyDescent="0.2">
      <c r="B4885" s="31">
        <v>4876</v>
      </c>
      <c r="J4885">
        <f t="shared" si="81"/>
        <v>105000</v>
      </c>
      <c r="K4885" t="e">
        <f>VLOOKUP(B4885,'REGISTRO ABONOS'!$B$8:$BC$10041,54,0)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hidden="1" x14ac:dyDescent="0.2">
      <c r="B4886" s="31">
        <v>4877</v>
      </c>
      <c r="J4886">
        <f t="shared" si="81"/>
        <v>105000</v>
      </c>
      <c r="K4886" t="e">
        <f>VLOOKUP(B4886,'REGISTRO ABONOS'!$B$8:$BC$10041,54,0)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hidden="1" x14ac:dyDescent="0.2">
      <c r="B4887" s="31">
        <v>4878</v>
      </c>
      <c r="J4887">
        <f t="shared" si="81"/>
        <v>105000</v>
      </c>
      <c r="K4887" t="e">
        <f>VLOOKUP(B4887,'REGISTRO ABONOS'!$B$8:$BC$10041,54,0)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hidden="1" x14ac:dyDescent="0.2">
      <c r="B4888" s="31">
        <v>4879</v>
      </c>
      <c r="J4888">
        <f t="shared" si="81"/>
        <v>105000</v>
      </c>
      <c r="K4888" t="e">
        <f>VLOOKUP(B4888,'REGISTRO ABONOS'!$B$8:$BC$10041,54,0)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hidden="1" x14ac:dyDescent="0.2">
      <c r="B4889" s="31">
        <v>4880</v>
      </c>
      <c r="J4889">
        <f t="shared" si="81"/>
        <v>105000</v>
      </c>
      <c r="K4889" t="e">
        <f>VLOOKUP(B4889,'REGISTRO ABONOS'!$B$8:$BC$10041,54,0)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hidden="1" x14ac:dyDescent="0.2">
      <c r="B4890" s="31">
        <v>4881</v>
      </c>
      <c r="J4890">
        <f t="shared" si="81"/>
        <v>105000</v>
      </c>
      <c r="K4890" t="e">
        <f>VLOOKUP(B4890,'REGISTRO ABONOS'!$B$8:$BC$10041,54,0)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hidden="1" x14ac:dyDescent="0.2">
      <c r="B4891" s="31">
        <v>4882</v>
      </c>
      <c r="J4891">
        <f t="shared" si="81"/>
        <v>105000</v>
      </c>
      <c r="K4891" t="e">
        <f>VLOOKUP(B4891,'REGISTRO ABONOS'!$B$8:$BC$10041,54,0)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hidden="1" x14ac:dyDescent="0.2">
      <c r="B4892" s="31">
        <v>4883</v>
      </c>
      <c r="J4892">
        <f t="shared" si="81"/>
        <v>105000</v>
      </c>
      <c r="K4892" t="e">
        <f>VLOOKUP(B4892,'REGISTRO ABONOS'!$B$8:$BC$10041,54,0)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hidden="1" x14ac:dyDescent="0.2">
      <c r="B4893" s="31">
        <v>4884</v>
      </c>
      <c r="J4893">
        <f t="shared" si="81"/>
        <v>105000</v>
      </c>
      <c r="K4893" t="e">
        <f>VLOOKUP(B4893,'REGISTRO ABONOS'!$B$8:$BC$10041,54,0)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hidden="1" x14ac:dyDescent="0.2">
      <c r="B4894" s="31">
        <v>4885</v>
      </c>
      <c r="J4894">
        <f t="shared" si="81"/>
        <v>105000</v>
      </c>
      <c r="K4894" t="e">
        <f>VLOOKUP(B4894,'REGISTRO ABONOS'!$B$8:$BC$10041,54,0)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hidden="1" x14ac:dyDescent="0.2">
      <c r="B4895" s="31">
        <v>4886</v>
      </c>
      <c r="J4895">
        <f t="shared" si="81"/>
        <v>105000</v>
      </c>
      <c r="K4895" t="e">
        <f>VLOOKUP(B4895,'REGISTRO ABONOS'!$B$8:$BC$10041,54,0)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hidden="1" x14ac:dyDescent="0.2">
      <c r="B4896" s="31">
        <v>4887</v>
      </c>
      <c r="J4896">
        <f t="shared" si="81"/>
        <v>105000</v>
      </c>
      <c r="K4896" t="e">
        <f>VLOOKUP(B4896,'REGISTRO ABONOS'!$B$8:$BC$10041,54,0)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hidden="1" x14ac:dyDescent="0.2">
      <c r="B4897" s="31">
        <v>4888</v>
      </c>
      <c r="J4897">
        <f t="shared" si="81"/>
        <v>105000</v>
      </c>
      <c r="K4897" t="e">
        <f>VLOOKUP(B4897,'REGISTRO ABONOS'!$B$8:$BC$10041,54,0)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hidden="1" x14ac:dyDescent="0.2">
      <c r="B4898" s="31">
        <v>4889</v>
      </c>
      <c r="J4898">
        <f t="shared" si="81"/>
        <v>105000</v>
      </c>
      <c r="K4898" t="e">
        <f>VLOOKUP(B4898,'REGISTRO ABONOS'!$B$8:$BC$10041,54,0)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hidden="1" x14ac:dyDescent="0.2">
      <c r="B4899" s="31">
        <v>4890</v>
      </c>
      <c r="J4899">
        <f t="shared" si="81"/>
        <v>105000</v>
      </c>
      <c r="K4899" t="e">
        <f>VLOOKUP(B4899,'REGISTRO ABONOS'!$B$8:$BC$10041,54,0)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hidden="1" x14ac:dyDescent="0.2">
      <c r="B4900" s="31">
        <v>4891</v>
      </c>
      <c r="J4900">
        <f t="shared" si="81"/>
        <v>105000</v>
      </c>
      <c r="K4900" t="e">
        <f>VLOOKUP(B4900,'REGISTRO ABONOS'!$B$8:$BC$10041,54,0)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hidden="1" x14ac:dyDescent="0.2">
      <c r="B4901" s="31">
        <v>4892</v>
      </c>
      <c r="J4901">
        <f t="shared" si="81"/>
        <v>105000</v>
      </c>
      <c r="K4901" t="e">
        <f>VLOOKUP(B4901,'REGISTRO ABONOS'!$B$8:$BC$10041,54,0)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hidden="1" x14ac:dyDescent="0.2">
      <c r="B4902" s="31">
        <v>4893</v>
      </c>
      <c r="J4902">
        <f t="shared" si="81"/>
        <v>105000</v>
      </c>
      <c r="K4902" t="e">
        <f>VLOOKUP(B4902,'REGISTRO ABONOS'!$B$8:$BC$10041,54,0)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hidden="1" x14ac:dyDescent="0.2">
      <c r="B4903" s="31">
        <v>4894</v>
      </c>
      <c r="J4903">
        <f t="shared" si="81"/>
        <v>105000</v>
      </c>
      <c r="K4903" t="e">
        <f>VLOOKUP(B4903,'REGISTRO ABONOS'!$B$8:$BC$10041,54,0)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hidden="1" x14ac:dyDescent="0.2">
      <c r="B4904" s="31">
        <v>4895</v>
      </c>
      <c r="J4904">
        <f t="shared" si="81"/>
        <v>105000</v>
      </c>
      <c r="K4904" t="e">
        <f>VLOOKUP(B4904,'REGISTRO ABONOS'!$B$8:$BC$10041,54,0)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hidden="1" x14ac:dyDescent="0.2">
      <c r="B4905" s="31">
        <v>4896</v>
      </c>
      <c r="J4905">
        <f t="shared" si="81"/>
        <v>105000</v>
      </c>
      <c r="K4905" t="e">
        <f>VLOOKUP(B4905,'REGISTRO ABONOS'!$B$8:$BC$10041,54,0)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hidden="1" x14ac:dyDescent="0.2">
      <c r="B4906" s="31">
        <v>4897</v>
      </c>
      <c r="J4906">
        <f t="shared" si="81"/>
        <v>105000</v>
      </c>
      <c r="K4906" t="e">
        <f>VLOOKUP(B4906,'REGISTRO ABONOS'!$B$8:$BC$10041,54,0)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hidden="1" x14ac:dyDescent="0.2">
      <c r="B4907" s="31">
        <v>4898</v>
      </c>
      <c r="J4907">
        <f t="shared" si="81"/>
        <v>105000</v>
      </c>
      <c r="K4907" t="e">
        <f>VLOOKUP(B4907,'REGISTRO ABONOS'!$B$8:$BC$10041,54,0)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81"/>
        <v>105000</v>
      </c>
      <c r="K4908">
        <f>VLOOKUP(B4908,'REGISTRO ABONOS'!$B$8:$BC$10041,54,0)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hidden="1" x14ac:dyDescent="0.2">
      <c r="B4909" s="31">
        <v>4900</v>
      </c>
      <c r="J4909">
        <f t="shared" si="81"/>
        <v>105000</v>
      </c>
      <c r="K4909" t="e">
        <f>VLOOKUP(B4909,'REGISTRO ABONOS'!$B$8:$BC$10041,54,0)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hidden="1" x14ac:dyDescent="0.2">
      <c r="B4910" s="31">
        <v>4901</v>
      </c>
      <c r="J4910">
        <f t="shared" si="81"/>
        <v>105000</v>
      </c>
      <c r="K4910" t="e">
        <f>VLOOKUP(B4910,'REGISTRO ABONOS'!$B$8:$BC$10041,54,0)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hidden="1" x14ac:dyDescent="0.2">
      <c r="B4911" s="31">
        <v>4902</v>
      </c>
      <c r="J4911">
        <f t="shared" si="81"/>
        <v>105000</v>
      </c>
      <c r="K4911" t="e">
        <f>VLOOKUP(B4911,'REGISTRO ABONOS'!$B$8:$BC$10041,54,0)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hidden="1" x14ac:dyDescent="0.2">
      <c r="B4912" s="31">
        <v>4903</v>
      </c>
      <c r="J4912">
        <f t="shared" si="81"/>
        <v>105000</v>
      </c>
      <c r="K4912" t="e">
        <f>VLOOKUP(B4912,'REGISTRO ABONOS'!$B$8:$BC$10041,54,0)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hidden="1" x14ac:dyDescent="0.2">
      <c r="B4913" s="31">
        <v>4904</v>
      </c>
      <c r="J4913">
        <f t="shared" si="81"/>
        <v>105000</v>
      </c>
      <c r="K4913" t="e">
        <f>VLOOKUP(B4913,'REGISTRO ABONOS'!$B$8:$BC$10041,54,0)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hidden="1" x14ac:dyDescent="0.2">
      <c r="B4914" s="31">
        <v>4905</v>
      </c>
      <c r="J4914">
        <f t="shared" si="81"/>
        <v>105000</v>
      </c>
      <c r="K4914" t="e">
        <f>VLOOKUP(B4914,'REGISTRO ABONOS'!$B$8:$BC$10041,54,0)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hidden="1" x14ac:dyDescent="0.2">
      <c r="B4915" s="31">
        <v>4906</v>
      </c>
      <c r="J4915">
        <f t="shared" si="81"/>
        <v>105000</v>
      </c>
      <c r="K4915" t="e">
        <f>VLOOKUP(B4915,'REGISTRO ABONOS'!$B$8:$BC$10041,54,0)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hidden="1" x14ac:dyDescent="0.2">
      <c r="B4916" s="31">
        <v>4907</v>
      </c>
      <c r="J4916">
        <f t="shared" si="81"/>
        <v>105000</v>
      </c>
      <c r="K4916" t="e">
        <f>VLOOKUP(B4916,'REGISTRO ABONOS'!$B$8:$BC$10041,54,0)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hidden="1" x14ac:dyDescent="0.2">
      <c r="B4917" s="31">
        <v>4908</v>
      </c>
      <c r="J4917">
        <f t="shared" si="81"/>
        <v>105000</v>
      </c>
      <c r="K4917" t="e">
        <f>VLOOKUP(B4917,'REGISTRO ABONOS'!$B$8:$BC$10041,54,0)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hidden="1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ABONOS'!$B$8:$BC$10041,54,0)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hidden="1" x14ac:dyDescent="0.2">
      <c r="B4919" s="31">
        <v>4910</v>
      </c>
      <c r="J4919">
        <f t="shared" si="82"/>
        <v>105000</v>
      </c>
      <c r="K4919" t="e">
        <f>VLOOKUP(B4919,'REGISTRO ABONOS'!$B$8:$BC$10041,54,0)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hidden="1" x14ac:dyDescent="0.2">
      <c r="B4920" s="31">
        <v>4911</v>
      </c>
      <c r="J4920">
        <f t="shared" si="82"/>
        <v>105000</v>
      </c>
      <c r="K4920" t="e">
        <f>VLOOKUP(B4920,'REGISTRO ABONOS'!$B$8:$BC$10041,54,0)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hidden="1" x14ac:dyDescent="0.2">
      <c r="B4921" s="31">
        <v>4912</v>
      </c>
      <c r="J4921">
        <f t="shared" si="82"/>
        <v>105000</v>
      </c>
      <c r="K4921" t="e">
        <f>VLOOKUP(B4921,'REGISTRO ABONOS'!$B$8:$BC$10041,54,0)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hidden="1" x14ac:dyDescent="0.2">
      <c r="B4922" s="31">
        <v>4913</v>
      </c>
      <c r="J4922">
        <f t="shared" si="82"/>
        <v>105000</v>
      </c>
      <c r="K4922" t="e">
        <f>VLOOKUP(B4922,'REGISTRO ABONOS'!$B$8:$BC$10041,54,0)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hidden="1" x14ac:dyDescent="0.2">
      <c r="B4923" s="31">
        <v>4914</v>
      </c>
      <c r="J4923">
        <f t="shared" si="82"/>
        <v>105000</v>
      </c>
      <c r="K4923" t="e">
        <f>VLOOKUP(B4923,'REGISTRO ABONOS'!$B$8:$BC$10041,54,0)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hidden="1" x14ac:dyDescent="0.2">
      <c r="B4924" s="31">
        <v>4915</v>
      </c>
      <c r="J4924">
        <f t="shared" si="82"/>
        <v>105000</v>
      </c>
      <c r="K4924" t="e">
        <f>VLOOKUP(B4924,'REGISTRO ABONOS'!$B$8:$BC$10041,54,0)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hidden="1" x14ac:dyDescent="0.2">
      <c r="B4925" s="31">
        <v>4916</v>
      </c>
      <c r="J4925">
        <f t="shared" si="82"/>
        <v>105000</v>
      </c>
      <c r="K4925" t="e">
        <f>VLOOKUP(B4925,'REGISTRO ABONOS'!$B$8:$BC$10041,54,0)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hidden="1" x14ac:dyDescent="0.2">
      <c r="B4926" s="31">
        <v>4917</v>
      </c>
      <c r="J4926">
        <f t="shared" si="82"/>
        <v>105000</v>
      </c>
      <c r="K4926" t="e">
        <f>VLOOKUP(B4926,'REGISTRO ABONOS'!$B$8:$BC$10041,54,0)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hidden="1" x14ac:dyDescent="0.2">
      <c r="B4927" s="31">
        <v>4918</v>
      </c>
      <c r="J4927">
        <f t="shared" si="82"/>
        <v>105000</v>
      </c>
      <c r="K4927" t="e">
        <f>VLOOKUP(B4927,'REGISTRO ABONOS'!$B$8:$BC$10041,54,0)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hidden="1" x14ac:dyDescent="0.2">
      <c r="B4928" s="31">
        <v>4919</v>
      </c>
      <c r="J4928">
        <f t="shared" si="82"/>
        <v>105000</v>
      </c>
      <c r="K4928" t="e">
        <f>VLOOKUP(B4928,'REGISTRO ABONOS'!$B$8:$BC$10041,54,0)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hidden="1" x14ac:dyDescent="0.2">
      <c r="B4929" s="31">
        <v>4920</v>
      </c>
      <c r="J4929">
        <f t="shared" si="82"/>
        <v>105000</v>
      </c>
      <c r="K4929" t="e">
        <f>VLOOKUP(B4929,'REGISTRO ABONOS'!$B$8:$BC$10041,54,0)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hidden="1" x14ac:dyDescent="0.2">
      <c r="B4930" s="31">
        <v>4921</v>
      </c>
      <c r="J4930">
        <f t="shared" si="82"/>
        <v>105000</v>
      </c>
      <c r="K4930" t="e">
        <f>VLOOKUP(B4930,'REGISTRO ABONOS'!$B$8:$BC$10041,54,0)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hidden="1" x14ac:dyDescent="0.2">
      <c r="B4931" s="31">
        <v>4922</v>
      </c>
      <c r="J4931">
        <f t="shared" si="82"/>
        <v>105000</v>
      </c>
      <c r="K4931" t="e">
        <f>VLOOKUP(B4931,'REGISTRO ABONOS'!$B$8:$BC$10041,54,0)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hidden="1" x14ac:dyDescent="0.2">
      <c r="B4932" s="31">
        <v>4923</v>
      </c>
      <c r="J4932">
        <f t="shared" si="82"/>
        <v>105000</v>
      </c>
      <c r="K4932" t="e">
        <f>VLOOKUP(B4932,'REGISTRO ABONOS'!$B$8:$BC$10041,54,0)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hidden="1" x14ac:dyDescent="0.2">
      <c r="B4933" s="31">
        <v>4924</v>
      </c>
      <c r="J4933">
        <f t="shared" si="82"/>
        <v>105000</v>
      </c>
      <c r="K4933" t="e">
        <f>VLOOKUP(B4933,'REGISTRO ABONOS'!$B$8:$BC$10041,54,0)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hidden="1" x14ac:dyDescent="0.2">
      <c r="B4934" s="31">
        <v>4925</v>
      </c>
      <c r="J4934">
        <f t="shared" si="82"/>
        <v>105000</v>
      </c>
      <c r="K4934" t="e">
        <f>VLOOKUP(B4934,'REGISTRO ABONOS'!$B$8:$BC$10041,54,0)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hidden="1" x14ac:dyDescent="0.2">
      <c r="B4935" s="31">
        <v>4926</v>
      </c>
      <c r="J4935">
        <f t="shared" si="82"/>
        <v>105000</v>
      </c>
      <c r="K4935" t="e">
        <f>VLOOKUP(B4935,'REGISTRO ABONOS'!$B$8:$BC$10041,54,0)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hidden="1" x14ac:dyDescent="0.2">
      <c r="B4936" s="31">
        <v>4927</v>
      </c>
      <c r="J4936">
        <f t="shared" si="82"/>
        <v>105000</v>
      </c>
      <c r="K4936" t="e">
        <f>VLOOKUP(B4936,'REGISTRO ABONOS'!$B$8:$BC$10041,54,0)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hidden="1" x14ac:dyDescent="0.2">
      <c r="B4937" s="31">
        <v>4928</v>
      </c>
      <c r="J4937">
        <f t="shared" si="82"/>
        <v>105000</v>
      </c>
      <c r="K4937" t="e">
        <f>VLOOKUP(B4937,'REGISTRO ABONOS'!$B$8:$BC$10041,54,0)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hidden="1" x14ac:dyDescent="0.2">
      <c r="B4938" s="31">
        <v>4929</v>
      </c>
      <c r="J4938">
        <f t="shared" si="82"/>
        <v>105000</v>
      </c>
      <c r="K4938" t="e">
        <f>VLOOKUP(B4938,'REGISTRO ABONOS'!$B$8:$BC$10041,54,0)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hidden="1" x14ac:dyDescent="0.2">
      <c r="B4939" s="31">
        <v>4930</v>
      </c>
      <c r="J4939">
        <f t="shared" si="82"/>
        <v>105000</v>
      </c>
      <c r="K4939" t="e">
        <f>VLOOKUP(B4939,'REGISTRO ABONOS'!$B$8:$BC$10041,54,0)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hidden="1" x14ac:dyDescent="0.2">
      <c r="B4940" s="31">
        <v>4931</v>
      </c>
      <c r="J4940">
        <f t="shared" si="82"/>
        <v>105000</v>
      </c>
      <c r="K4940" t="e">
        <f>VLOOKUP(B4940,'REGISTRO ABONOS'!$B$8:$BC$10041,54,0)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hidden="1" x14ac:dyDescent="0.2">
      <c r="B4941" s="31">
        <v>4932</v>
      </c>
      <c r="J4941">
        <f t="shared" si="82"/>
        <v>105000</v>
      </c>
      <c r="K4941" t="e">
        <f>VLOOKUP(B4941,'REGISTRO ABONOS'!$B$8:$BC$10041,54,0)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hidden="1" x14ac:dyDescent="0.2">
      <c r="B4942" s="31">
        <v>4933</v>
      </c>
      <c r="J4942">
        <f t="shared" si="82"/>
        <v>105000</v>
      </c>
      <c r="K4942" t="e">
        <f>VLOOKUP(B4942,'REGISTRO ABONOS'!$B$8:$BC$10041,54,0)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hidden="1" x14ac:dyDescent="0.2">
      <c r="B4943" s="31">
        <v>4934</v>
      </c>
      <c r="J4943">
        <f t="shared" si="82"/>
        <v>105000</v>
      </c>
      <c r="K4943" t="e">
        <f>VLOOKUP(B4943,'REGISTRO ABONOS'!$B$8:$BC$10041,54,0)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hidden="1" x14ac:dyDescent="0.2">
      <c r="B4944" s="31">
        <v>4935</v>
      </c>
      <c r="J4944">
        <f t="shared" si="82"/>
        <v>105000</v>
      </c>
      <c r="K4944" t="e">
        <f>VLOOKUP(B4944,'REGISTRO ABONOS'!$B$8:$BC$10041,54,0)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hidden="1" x14ac:dyDescent="0.2">
      <c r="B4945" s="31">
        <v>4936</v>
      </c>
      <c r="J4945">
        <f t="shared" si="82"/>
        <v>105000</v>
      </c>
      <c r="K4945" t="e">
        <f>VLOOKUP(B4945,'REGISTRO ABONOS'!$B$8:$BC$10041,54,0)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hidden="1" x14ac:dyDescent="0.2">
      <c r="B4946" s="31">
        <v>4937</v>
      </c>
      <c r="J4946">
        <f t="shared" si="82"/>
        <v>105000</v>
      </c>
      <c r="K4946" t="e">
        <f>VLOOKUP(B4946,'REGISTRO ABONOS'!$B$8:$BC$10041,54,0)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hidden="1" x14ac:dyDescent="0.2">
      <c r="B4947" s="31">
        <v>4938</v>
      </c>
      <c r="J4947">
        <f t="shared" si="82"/>
        <v>105000</v>
      </c>
      <c r="K4947" t="e">
        <f>VLOOKUP(B4947,'REGISTRO ABONOS'!$B$8:$BC$10041,54,0)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hidden="1" x14ac:dyDescent="0.2">
      <c r="B4948" s="31">
        <v>4939</v>
      </c>
      <c r="J4948">
        <f t="shared" si="82"/>
        <v>105000</v>
      </c>
      <c r="K4948" t="e">
        <f>VLOOKUP(B4948,'REGISTRO ABONOS'!$B$8:$BC$10041,54,0)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hidden="1" x14ac:dyDescent="0.2">
      <c r="B4949" s="31">
        <v>4940</v>
      </c>
      <c r="J4949">
        <f t="shared" si="82"/>
        <v>105000</v>
      </c>
      <c r="K4949" t="e">
        <f>VLOOKUP(B4949,'REGISTRO ABONOS'!$B$8:$BC$10041,54,0)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hidden="1" x14ac:dyDescent="0.2">
      <c r="B4950" s="31">
        <v>4941</v>
      </c>
      <c r="J4950">
        <f t="shared" si="82"/>
        <v>105000</v>
      </c>
      <c r="K4950" t="e">
        <f>VLOOKUP(B4950,'REGISTRO ABONOS'!$B$8:$BC$10041,54,0)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hidden="1" x14ac:dyDescent="0.2">
      <c r="B4951" s="31">
        <v>4942</v>
      </c>
      <c r="J4951">
        <f t="shared" si="82"/>
        <v>105000</v>
      </c>
      <c r="K4951" t="e">
        <f>VLOOKUP(B4951,'REGISTRO ABONOS'!$B$8:$BC$10041,54,0)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hidden="1" x14ac:dyDescent="0.2">
      <c r="B4952" s="31">
        <v>4943</v>
      </c>
      <c r="J4952">
        <f t="shared" si="82"/>
        <v>105000</v>
      </c>
      <c r="K4952" t="e">
        <f>VLOOKUP(B4952,'REGISTRO ABONOS'!$B$8:$BC$10041,54,0)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hidden="1" x14ac:dyDescent="0.2">
      <c r="B4953" s="31">
        <v>4944</v>
      </c>
      <c r="J4953">
        <f t="shared" si="82"/>
        <v>105000</v>
      </c>
      <c r="K4953" t="e">
        <f>VLOOKUP(B4953,'REGISTRO ABONOS'!$B$8:$BC$10041,54,0)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hidden="1" x14ac:dyDescent="0.2">
      <c r="B4954" s="31">
        <v>4945</v>
      </c>
      <c r="J4954">
        <f t="shared" si="82"/>
        <v>105000</v>
      </c>
      <c r="K4954" t="e">
        <f>VLOOKUP(B4954,'REGISTRO ABONOS'!$B$8:$BC$10041,54,0)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hidden="1" x14ac:dyDescent="0.2">
      <c r="B4955" s="31">
        <v>4946</v>
      </c>
      <c r="J4955">
        <f t="shared" si="82"/>
        <v>105000</v>
      </c>
      <c r="K4955" t="e">
        <f>VLOOKUP(B4955,'REGISTRO ABONOS'!$B$8:$BC$10041,54,0)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hidden="1" x14ac:dyDescent="0.2">
      <c r="B4956" s="31">
        <v>4947</v>
      </c>
      <c r="J4956">
        <f t="shared" si="82"/>
        <v>105000</v>
      </c>
      <c r="K4956" t="e">
        <f>VLOOKUP(B4956,'REGISTRO ABONOS'!$B$8:$BC$10041,54,0)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hidden="1" x14ac:dyDescent="0.2">
      <c r="B4957" s="31">
        <v>4948</v>
      </c>
      <c r="J4957">
        <f t="shared" si="82"/>
        <v>105000</v>
      </c>
      <c r="K4957" t="e">
        <f>VLOOKUP(B4957,'REGISTRO ABONOS'!$B$8:$BC$10041,54,0)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hidden="1" x14ac:dyDescent="0.2">
      <c r="B4958" s="31">
        <v>4949</v>
      </c>
      <c r="J4958">
        <f t="shared" si="82"/>
        <v>105000</v>
      </c>
      <c r="K4958" t="e">
        <f>VLOOKUP(B4958,'REGISTRO ABONOS'!$B$8:$BC$10041,54,0)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hidden="1" x14ac:dyDescent="0.2">
      <c r="B4959" s="31">
        <v>4950</v>
      </c>
      <c r="J4959">
        <f t="shared" si="82"/>
        <v>105000</v>
      </c>
      <c r="K4959" t="e">
        <f>VLOOKUP(B4959,'REGISTRO ABONOS'!$B$8:$BC$10041,54,0)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hidden="1" x14ac:dyDescent="0.2">
      <c r="B4960" s="31">
        <v>4951</v>
      </c>
      <c r="J4960">
        <f t="shared" si="82"/>
        <v>105000</v>
      </c>
      <c r="K4960" t="e">
        <f>VLOOKUP(B4960,'REGISTRO ABONOS'!$B$8:$BC$10041,54,0)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hidden="1" x14ac:dyDescent="0.2">
      <c r="B4961" s="31">
        <v>4952</v>
      </c>
      <c r="J4961">
        <f t="shared" si="82"/>
        <v>105000</v>
      </c>
      <c r="K4961" t="e">
        <f>VLOOKUP(B4961,'REGISTRO ABONOS'!$B$8:$BC$10041,54,0)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hidden="1" x14ac:dyDescent="0.2">
      <c r="B4962" s="31">
        <v>4953</v>
      </c>
      <c r="J4962">
        <f t="shared" si="82"/>
        <v>105000</v>
      </c>
      <c r="K4962" t="e">
        <f>VLOOKUP(B4962,'REGISTRO ABONOS'!$B$8:$BC$10041,54,0)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hidden="1" x14ac:dyDescent="0.2">
      <c r="B4963" s="31">
        <v>4954</v>
      </c>
      <c r="J4963">
        <f t="shared" si="82"/>
        <v>105000</v>
      </c>
      <c r="K4963" t="e">
        <f>VLOOKUP(B4963,'REGISTRO ABONOS'!$B$8:$BC$10041,54,0)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hidden="1" x14ac:dyDescent="0.2">
      <c r="B4964" s="31">
        <v>4955</v>
      </c>
      <c r="J4964">
        <f t="shared" si="82"/>
        <v>105000</v>
      </c>
      <c r="K4964" t="e">
        <f>VLOOKUP(B4964,'REGISTRO ABONOS'!$B$8:$BC$10041,54,0)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hidden="1" x14ac:dyDescent="0.2">
      <c r="B4965" s="31">
        <v>4956</v>
      </c>
      <c r="J4965">
        <f t="shared" si="82"/>
        <v>105000</v>
      </c>
      <c r="K4965" t="e">
        <f>VLOOKUP(B4965,'REGISTRO ABONOS'!$B$8:$BC$10041,54,0)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hidden="1" x14ac:dyDescent="0.2">
      <c r="B4966" s="31">
        <v>4957</v>
      </c>
      <c r="J4966">
        <f t="shared" si="82"/>
        <v>105000</v>
      </c>
      <c r="K4966" t="e">
        <f>VLOOKUP(B4966,'REGISTRO ABONOS'!$B$8:$BC$10041,54,0)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hidden="1" x14ac:dyDescent="0.2">
      <c r="B4967" s="31">
        <v>4958</v>
      </c>
      <c r="J4967">
        <f t="shared" si="82"/>
        <v>105000</v>
      </c>
      <c r="K4967" t="e">
        <f>VLOOKUP(B4967,'REGISTRO ABONOS'!$B$8:$BC$10041,54,0)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hidden="1" x14ac:dyDescent="0.2">
      <c r="B4968" s="31">
        <v>4959</v>
      </c>
      <c r="J4968">
        <f t="shared" si="82"/>
        <v>105000</v>
      </c>
      <c r="K4968" t="e">
        <f>VLOOKUP(B4968,'REGISTRO ABONOS'!$B$8:$BC$10041,54,0)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hidden="1" x14ac:dyDescent="0.2">
      <c r="B4969" s="31">
        <v>4960</v>
      </c>
      <c r="J4969">
        <f t="shared" si="82"/>
        <v>105000</v>
      </c>
      <c r="K4969" t="e">
        <f>VLOOKUP(B4969,'REGISTRO ABONOS'!$B$8:$BC$10041,54,0)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hidden="1" x14ac:dyDescent="0.2">
      <c r="B4970" s="31">
        <v>4961</v>
      </c>
      <c r="J4970">
        <f t="shared" si="82"/>
        <v>105000</v>
      </c>
      <c r="K4970" t="e">
        <f>VLOOKUP(B4970,'REGISTRO ABONOS'!$B$8:$BC$10041,54,0)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hidden="1" x14ac:dyDescent="0.2">
      <c r="B4971" s="31">
        <v>4962</v>
      </c>
      <c r="J4971">
        <f t="shared" si="82"/>
        <v>105000</v>
      </c>
      <c r="K4971" t="e">
        <f>VLOOKUP(B4971,'REGISTRO ABONOS'!$B$8:$BC$10041,54,0)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hidden="1" x14ac:dyDescent="0.2">
      <c r="B4972" s="31">
        <v>4963</v>
      </c>
      <c r="J4972">
        <f t="shared" si="82"/>
        <v>105000</v>
      </c>
      <c r="K4972" t="e">
        <f>VLOOKUP(B4972,'REGISTRO ABONOS'!$B$8:$BC$10041,54,0)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hidden="1" x14ac:dyDescent="0.2">
      <c r="B4973" s="31">
        <v>4964</v>
      </c>
      <c r="J4973">
        <f t="shared" si="82"/>
        <v>105000</v>
      </c>
      <c r="K4973" t="e">
        <f>VLOOKUP(B4973,'REGISTRO ABONOS'!$B$8:$BC$10041,54,0)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hidden="1" x14ac:dyDescent="0.2">
      <c r="B4974" s="31">
        <v>4965</v>
      </c>
      <c r="J4974">
        <f t="shared" si="82"/>
        <v>105000</v>
      </c>
      <c r="K4974" t="e">
        <f>VLOOKUP(B4974,'REGISTRO ABONOS'!$B$8:$BC$10041,54,0)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hidden="1" x14ac:dyDescent="0.2">
      <c r="B4975" s="31">
        <v>4966</v>
      </c>
      <c r="J4975">
        <f t="shared" si="82"/>
        <v>105000</v>
      </c>
      <c r="K4975" t="e">
        <f>VLOOKUP(B4975,'REGISTRO ABONOS'!$B$8:$BC$10041,54,0)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hidden="1" x14ac:dyDescent="0.2">
      <c r="B4976" s="31">
        <v>4967</v>
      </c>
      <c r="J4976">
        <f t="shared" si="82"/>
        <v>105000</v>
      </c>
      <c r="K4976" t="e">
        <f>VLOOKUP(B4976,'REGISTRO ABONOS'!$B$8:$BC$10041,54,0)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hidden="1" x14ac:dyDescent="0.2">
      <c r="B4977" s="31">
        <v>4968</v>
      </c>
      <c r="J4977">
        <f t="shared" si="82"/>
        <v>105000</v>
      </c>
      <c r="K4977" t="e">
        <f>VLOOKUP(B4977,'REGISTRO ABONOS'!$B$8:$BC$10041,54,0)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hidden="1" x14ac:dyDescent="0.2">
      <c r="B4978" s="31">
        <v>4969</v>
      </c>
      <c r="J4978">
        <f t="shared" si="82"/>
        <v>105000</v>
      </c>
      <c r="K4978" t="e">
        <f>VLOOKUP(B4978,'REGISTRO ABONOS'!$B$8:$BC$10041,54,0)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hidden="1" x14ac:dyDescent="0.2">
      <c r="B4979" s="31">
        <v>4970</v>
      </c>
      <c r="J4979">
        <f t="shared" si="82"/>
        <v>105000</v>
      </c>
      <c r="K4979" t="e">
        <f>VLOOKUP(B4979,'REGISTRO ABONOS'!$B$8:$BC$10041,54,0)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hidden="1" x14ac:dyDescent="0.2">
      <c r="B4980" s="31">
        <v>4971</v>
      </c>
      <c r="J4980">
        <f t="shared" si="82"/>
        <v>105000</v>
      </c>
      <c r="K4980" t="e">
        <f>VLOOKUP(B4980,'REGISTRO ABONOS'!$B$8:$BC$10041,54,0)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hidden="1" x14ac:dyDescent="0.2">
      <c r="B4981" s="31">
        <v>4972</v>
      </c>
      <c r="J4981">
        <f t="shared" si="82"/>
        <v>105000</v>
      </c>
      <c r="K4981" t="e">
        <f>VLOOKUP(B4981,'REGISTRO ABONOS'!$B$8:$BC$10041,54,0)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hidden="1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ABONOS'!$B$8:$BC$10041,54,0)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hidden="1" x14ac:dyDescent="0.2">
      <c r="B4983" s="31">
        <v>4974</v>
      </c>
      <c r="J4983">
        <f t="shared" si="83"/>
        <v>105000</v>
      </c>
      <c r="K4983" t="e">
        <f>VLOOKUP(B4983,'REGISTRO ABONOS'!$B$8:$BC$10041,54,0)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hidden="1" x14ac:dyDescent="0.2">
      <c r="B4984" s="31">
        <v>4975</v>
      </c>
      <c r="J4984">
        <f t="shared" si="83"/>
        <v>105000</v>
      </c>
      <c r="K4984" t="e">
        <f>VLOOKUP(B4984,'REGISTRO ABONOS'!$B$8:$BC$10041,54,0)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hidden="1" x14ac:dyDescent="0.2">
      <c r="B4985" s="31">
        <v>4976</v>
      </c>
      <c r="J4985">
        <f t="shared" si="83"/>
        <v>105000</v>
      </c>
      <c r="K4985" t="e">
        <f>VLOOKUP(B4985,'REGISTRO ABONOS'!$B$8:$BC$10041,54,0)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hidden="1" x14ac:dyDescent="0.2">
      <c r="B4986" s="31">
        <v>4977</v>
      </c>
      <c r="J4986">
        <f t="shared" si="83"/>
        <v>105000</v>
      </c>
      <c r="K4986" t="e">
        <f>VLOOKUP(B4986,'REGISTRO ABONOS'!$B$8:$BC$10041,54,0)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3"/>
        <v>105000</v>
      </c>
      <c r="K4987" t="e">
        <f>VLOOKUP(B4987,'REGISTRO ABONOS'!$B$8:$BC$10041,54,0)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hidden="1" x14ac:dyDescent="0.2">
      <c r="B4988" s="31">
        <v>4979</v>
      </c>
      <c r="J4988">
        <f t="shared" si="83"/>
        <v>105000</v>
      </c>
      <c r="K4988" t="e">
        <f>VLOOKUP(B4988,'REGISTRO ABONOS'!$B$8:$BC$10041,54,0)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hidden="1" x14ac:dyDescent="0.2">
      <c r="B4989" s="31">
        <v>4980</v>
      </c>
      <c r="J4989">
        <f t="shared" si="83"/>
        <v>105000</v>
      </c>
      <c r="K4989" t="e">
        <f>VLOOKUP(B4989,'REGISTRO ABONOS'!$B$8:$BC$10041,54,0)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hidden="1" x14ac:dyDescent="0.2">
      <c r="B4990" s="31">
        <v>4981</v>
      </c>
      <c r="J4990">
        <f t="shared" si="83"/>
        <v>105000</v>
      </c>
      <c r="K4990" t="e">
        <f>VLOOKUP(B4990,'REGISTRO ABONOS'!$B$8:$BC$10041,54,0)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hidden="1" x14ac:dyDescent="0.2">
      <c r="B4991" s="31">
        <v>4982</v>
      </c>
      <c r="J4991">
        <f t="shared" si="83"/>
        <v>105000</v>
      </c>
      <c r="K4991" t="e">
        <f>VLOOKUP(B4991,'REGISTRO ABONOS'!$B$8:$BC$10041,54,0)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hidden="1" x14ac:dyDescent="0.2">
      <c r="B4992" s="31">
        <v>4983</v>
      </c>
      <c r="J4992">
        <f t="shared" si="83"/>
        <v>105000</v>
      </c>
      <c r="K4992" t="e">
        <f>VLOOKUP(B4992,'REGISTRO ABONOS'!$B$8:$BC$10041,54,0)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hidden="1" x14ac:dyDescent="0.2">
      <c r="B4993" s="31">
        <v>4984</v>
      </c>
      <c r="J4993">
        <f t="shared" si="83"/>
        <v>105000</v>
      </c>
      <c r="K4993" t="e">
        <f>VLOOKUP(B4993,'REGISTRO ABONOS'!$B$8:$BC$10041,54,0)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hidden="1" x14ac:dyDescent="0.2">
      <c r="B4994" s="31">
        <v>4985</v>
      </c>
      <c r="J4994">
        <f t="shared" si="83"/>
        <v>105000</v>
      </c>
      <c r="K4994" t="e">
        <f>VLOOKUP(B4994,'REGISTRO ABONOS'!$B$8:$BC$10041,54,0)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hidden="1" x14ac:dyDescent="0.2">
      <c r="B4995" s="31">
        <v>4986</v>
      </c>
      <c r="J4995">
        <f t="shared" si="83"/>
        <v>105000</v>
      </c>
      <c r="K4995" t="e">
        <f>VLOOKUP(B4995,'REGISTRO ABONOS'!$B$8:$BC$10041,54,0)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hidden="1" x14ac:dyDescent="0.2">
      <c r="B4996" s="31">
        <v>4987</v>
      </c>
      <c r="J4996">
        <f t="shared" si="83"/>
        <v>105000</v>
      </c>
      <c r="K4996" t="e">
        <f>VLOOKUP(B4996,'REGISTRO ABONOS'!$B$8:$BC$10041,54,0)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3"/>
        <v>105000</v>
      </c>
      <c r="K4997" t="e">
        <f>VLOOKUP(B4997,'REGISTRO ABONOS'!$B$8:$BC$10041,54,0)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hidden="1" x14ac:dyDescent="0.2">
      <c r="B4998" s="31">
        <v>4989</v>
      </c>
      <c r="J4998">
        <f t="shared" si="83"/>
        <v>105000</v>
      </c>
      <c r="K4998" t="e">
        <f>VLOOKUP(B4998,'REGISTRO ABONOS'!$B$8:$BC$10041,54,0)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hidden="1" x14ac:dyDescent="0.2">
      <c r="B4999" s="31">
        <v>4990</v>
      </c>
      <c r="J4999">
        <f t="shared" si="83"/>
        <v>105000</v>
      </c>
      <c r="K4999" t="e">
        <f>VLOOKUP(B4999,'REGISTRO ABONOS'!$B$8:$BC$10041,54,0)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hidden="1" x14ac:dyDescent="0.2">
      <c r="B5000" s="31">
        <v>4991</v>
      </c>
      <c r="J5000">
        <f t="shared" si="83"/>
        <v>105000</v>
      </c>
      <c r="K5000" t="e">
        <f>VLOOKUP(B5000,'REGISTRO ABONOS'!$B$8:$BC$10041,54,0)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hidden="1" x14ac:dyDescent="0.2">
      <c r="B5001" s="31">
        <v>4992</v>
      </c>
      <c r="J5001">
        <f t="shared" si="83"/>
        <v>105000</v>
      </c>
      <c r="K5001" t="e">
        <f>VLOOKUP(B5001,'REGISTRO ABONOS'!$B$8:$BC$10041,54,0)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hidden="1" x14ac:dyDescent="0.2">
      <c r="B5002" s="31">
        <v>4993</v>
      </c>
      <c r="J5002">
        <f t="shared" si="83"/>
        <v>105000</v>
      </c>
      <c r="K5002" t="e">
        <f>VLOOKUP(B5002,'REGISTRO ABONOS'!$B$8:$BC$10041,54,0)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hidden="1" x14ac:dyDescent="0.2">
      <c r="B5003" s="31">
        <v>4994</v>
      </c>
      <c r="J5003">
        <f t="shared" si="83"/>
        <v>105000</v>
      </c>
      <c r="K5003" t="e">
        <f>VLOOKUP(B5003,'REGISTRO ABONOS'!$B$8:$BC$10041,54,0)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hidden="1" x14ac:dyDescent="0.2">
      <c r="B5004" s="31">
        <v>4995</v>
      </c>
      <c r="J5004">
        <f t="shared" si="83"/>
        <v>105000</v>
      </c>
      <c r="K5004" t="e">
        <f>VLOOKUP(B5004,'REGISTRO ABONOS'!$B$8:$BC$10041,54,0)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hidden="1" x14ac:dyDescent="0.2">
      <c r="B5005" s="31">
        <v>4996</v>
      </c>
      <c r="J5005">
        <f t="shared" si="83"/>
        <v>105000</v>
      </c>
      <c r="K5005" t="e">
        <f>VLOOKUP(B5005,'REGISTRO ABONOS'!$B$8:$BC$10041,54,0)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hidden="1" x14ac:dyDescent="0.2">
      <c r="B5006" s="31">
        <v>4997</v>
      </c>
      <c r="J5006">
        <f t="shared" si="83"/>
        <v>105000</v>
      </c>
      <c r="K5006" t="e">
        <f>VLOOKUP(B5006,'REGISTRO ABONOS'!$B$8:$BC$10041,54,0)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hidden="1" x14ac:dyDescent="0.2">
      <c r="B5007" s="31">
        <v>4998</v>
      </c>
      <c r="J5007">
        <f t="shared" si="83"/>
        <v>105000</v>
      </c>
      <c r="K5007" t="e">
        <f>VLOOKUP(B5007,'REGISTRO ABONOS'!$B$8:$BC$10041,54,0)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hidden="1" x14ac:dyDescent="0.2">
      <c r="B5008" s="31">
        <v>4999</v>
      </c>
      <c r="J5008">
        <f t="shared" si="83"/>
        <v>105000</v>
      </c>
      <c r="K5008" t="e">
        <f>VLOOKUP(B5008,'REGISTRO ABONOS'!$B$8:$BC$10041,54,0)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hidden="1" x14ac:dyDescent="0.2">
      <c r="B5009" s="31">
        <v>5000</v>
      </c>
      <c r="J5009">
        <f t="shared" si="83"/>
        <v>105000</v>
      </c>
      <c r="K5009" t="e">
        <f>VLOOKUP(B5009,'REGISTRO ABONOS'!$B$8:$BC$10041,54,0)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hidden="1" x14ac:dyDescent="0.2">
      <c r="B5010" s="31">
        <v>5001</v>
      </c>
      <c r="J5010">
        <f t="shared" si="83"/>
        <v>105000</v>
      </c>
      <c r="K5010" t="e">
        <f>VLOOKUP(B5010,'REGISTRO ABONOS'!$B$8:$BC$10041,54,0)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hidden="1" x14ac:dyDescent="0.2">
      <c r="B5011" s="31">
        <v>5002</v>
      </c>
      <c r="J5011">
        <f t="shared" si="83"/>
        <v>105000</v>
      </c>
      <c r="K5011" t="e">
        <f>VLOOKUP(B5011,'REGISTRO ABONOS'!$B$8:$BC$10041,54,0)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hidden="1" x14ac:dyDescent="0.2">
      <c r="B5012" s="31">
        <v>5003</v>
      </c>
      <c r="J5012">
        <f t="shared" si="83"/>
        <v>105000</v>
      </c>
      <c r="K5012" t="e">
        <f>VLOOKUP(B5012,'REGISTRO ABONOS'!$B$8:$BC$10041,54,0)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hidden="1" x14ac:dyDescent="0.2">
      <c r="B5013" s="31">
        <v>5004</v>
      </c>
      <c r="J5013">
        <f t="shared" si="83"/>
        <v>105000</v>
      </c>
      <c r="K5013" t="e">
        <f>VLOOKUP(B5013,'REGISTRO ABONOS'!$B$8:$BC$10041,54,0)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hidden="1" x14ac:dyDescent="0.2">
      <c r="B5014" s="31">
        <v>5005</v>
      </c>
      <c r="J5014">
        <f t="shared" si="83"/>
        <v>105000</v>
      </c>
      <c r="K5014" t="e">
        <f>VLOOKUP(B5014,'REGISTRO ABONOS'!$B$8:$BC$10041,54,0)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hidden="1" x14ac:dyDescent="0.2">
      <c r="B5015" s="31">
        <v>5006</v>
      </c>
      <c r="J5015">
        <f t="shared" si="83"/>
        <v>105000</v>
      </c>
      <c r="K5015" t="e">
        <f>VLOOKUP(B5015,'REGISTRO ABONOS'!$B$8:$BC$10041,54,0)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hidden="1" x14ac:dyDescent="0.2">
      <c r="B5016" s="31">
        <v>5007</v>
      </c>
      <c r="J5016">
        <f t="shared" si="83"/>
        <v>105000</v>
      </c>
      <c r="K5016" t="e">
        <f>VLOOKUP(B5016,'REGISTRO ABONOS'!$B$8:$BC$10041,54,0)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hidden="1" x14ac:dyDescent="0.2">
      <c r="B5017" s="31">
        <v>5008</v>
      </c>
      <c r="J5017">
        <f t="shared" si="83"/>
        <v>105000</v>
      </c>
      <c r="K5017" t="e">
        <f>VLOOKUP(B5017,'REGISTRO ABONOS'!$B$8:$BC$10041,54,0)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hidden="1" x14ac:dyDescent="0.2">
      <c r="B5018" s="31">
        <v>5009</v>
      </c>
      <c r="J5018">
        <f t="shared" si="83"/>
        <v>105000</v>
      </c>
      <c r="K5018" t="e">
        <f>VLOOKUP(B5018,'REGISTRO ABONOS'!$B$8:$BC$10041,54,0)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hidden="1" x14ac:dyDescent="0.2">
      <c r="B5019" s="31">
        <v>5010</v>
      </c>
      <c r="J5019">
        <f t="shared" si="83"/>
        <v>105000</v>
      </c>
      <c r="K5019" t="e">
        <f>VLOOKUP(B5019,'REGISTRO ABONOS'!$B$8:$BC$10041,54,0)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hidden="1" x14ac:dyDescent="0.2">
      <c r="B5020" s="31">
        <v>5011</v>
      </c>
      <c r="J5020">
        <f t="shared" si="83"/>
        <v>105000</v>
      </c>
      <c r="K5020" t="e">
        <f>VLOOKUP(B5020,'REGISTRO ABONOS'!$B$8:$BC$10041,54,0)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hidden="1" x14ac:dyDescent="0.2">
      <c r="B5021" s="31">
        <v>5012</v>
      </c>
      <c r="J5021">
        <f t="shared" si="83"/>
        <v>105000</v>
      </c>
      <c r="K5021" t="e">
        <f>VLOOKUP(B5021,'REGISTRO ABONOS'!$B$8:$BC$10041,54,0)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hidden="1" x14ac:dyDescent="0.2">
      <c r="B5022" s="31">
        <v>5013</v>
      </c>
      <c r="J5022">
        <f t="shared" si="83"/>
        <v>105000</v>
      </c>
      <c r="K5022" t="e">
        <f>VLOOKUP(B5022,'REGISTRO ABONOS'!$B$8:$BC$10041,54,0)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hidden="1" x14ac:dyDescent="0.2">
      <c r="B5023" s="31">
        <v>5014</v>
      </c>
      <c r="J5023">
        <f t="shared" si="83"/>
        <v>105000</v>
      </c>
      <c r="K5023" t="e">
        <f>VLOOKUP(B5023,'REGISTRO ABONOS'!$B$8:$BC$10041,54,0)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hidden="1" x14ac:dyDescent="0.2">
      <c r="B5024" s="31">
        <v>5015</v>
      </c>
      <c r="J5024">
        <f t="shared" si="83"/>
        <v>105000</v>
      </c>
      <c r="K5024" t="e">
        <f>VLOOKUP(B5024,'REGISTRO ABONOS'!$B$8:$BC$10041,54,0)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hidden="1" x14ac:dyDescent="0.2">
      <c r="B5025" s="31">
        <v>5016</v>
      </c>
      <c r="J5025">
        <f t="shared" si="83"/>
        <v>105000</v>
      </c>
      <c r="K5025" t="e">
        <f>VLOOKUP(B5025,'REGISTRO ABONOS'!$B$8:$BC$10041,54,0)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hidden="1" x14ac:dyDescent="0.2">
      <c r="B5026" s="31">
        <v>5017</v>
      </c>
      <c r="J5026">
        <f t="shared" si="83"/>
        <v>105000</v>
      </c>
      <c r="K5026" t="e">
        <f>VLOOKUP(B5026,'REGISTRO ABONOS'!$B$8:$BC$10041,54,0)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hidden="1" x14ac:dyDescent="0.2">
      <c r="B5027" s="31">
        <v>5018</v>
      </c>
      <c r="J5027">
        <f t="shared" si="83"/>
        <v>105000</v>
      </c>
      <c r="K5027" t="e">
        <f>VLOOKUP(B5027,'REGISTRO ABONOS'!$B$8:$BC$10041,54,0)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hidden="1" x14ac:dyDescent="0.2">
      <c r="B5028" s="31">
        <v>5019</v>
      </c>
      <c r="J5028">
        <f t="shared" si="83"/>
        <v>105000</v>
      </c>
      <c r="K5028" t="e">
        <f>VLOOKUP(B5028,'REGISTRO ABONOS'!$B$8:$BC$10041,54,0)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hidden="1" x14ac:dyDescent="0.2">
      <c r="B5029" s="31">
        <v>5020</v>
      </c>
      <c r="J5029">
        <f t="shared" si="83"/>
        <v>105000</v>
      </c>
      <c r="K5029" t="e">
        <f>VLOOKUP(B5029,'REGISTRO ABONOS'!$B$8:$BC$10041,54,0)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hidden="1" x14ac:dyDescent="0.2">
      <c r="B5030" s="31">
        <v>5021</v>
      </c>
      <c r="J5030">
        <f t="shared" si="83"/>
        <v>105000</v>
      </c>
      <c r="K5030" t="e">
        <f>VLOOKUP(B5030,'REGISTRO ABONOS'!$B$8:$BC$10041,54,0)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hidden="1" x14ac:dyDescent="0.2">
      <c r="B5031" s="31">
        <v>5022</v>
      </c>
      <c r="J5031">
        <f t="shared" si="83"/>
        <v>105000</v>
      </c>
      <c r="K5031" t="e">
        <f>VLOOKUP(B5031,'REGISTRO ABONOS'!$B$8:$BC$10041,54,0)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hidden="1" x14ac:dyDescent="0.2">
      <c r="B5032" s="31">
        <v>5023</v>
      </c>
      <c r="J5032">
        <f t="shared" si="83"/>
        <v>105000</v>
      </c>
      <c r="K5032" t="e">
        <f>VLOOKUP(B5032,'REGISTRO ABONOS'!$B$8:$BC$10041,54,0)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hidden="1" x14ac:dyDescent="0.2">
      <c r="B5033" s="31">
        <v>5024</v>
      </c>
      <c r="J5033">
        <f t="shared" si="83"/>
        <v>105000</v>
      </c>
      <c r="K5033" t="e">
        <f>VLOOKUP(B5033,'REGISTRO ABONOS'!$B$8:$BC$10041,54,0)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hidden="1" x14ac:dyDescent="0.2">
      <c r="B5034" s="31">
        <v>5025</v>
      </c>
      <c r="J5034">
        <f t="shared" si="83"/>
        <v>105000</v>
      </c>
      <c r="K5034" t="e">
        <f>VLOOKUP(B5034,'REGISTRO ABONOS'!$B$8:$BC$10041,54,0)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hidden="1" x14ac:dyDescent="0.2">
      <c r="B5035" s="31">
        <v>5026</v>
      </c>
      <c r="J5035">
        <f t="shared" si="83"/>
        <v>105000</v>
      </c>
      <c r="K5035" t="e">
        <f>VLOOKUP(B5035,'REGISTRO ABONOS'!$B$8:$BC$10041,54,0)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hidden="1" x14ac:dyDescent="0.2">
      <c r="B5036" s="31">
        <v>5027</v>
      </c>
      <c r="J5036">
        <f t="shared" si="83"/>
        <v>105000</v>
      </c>
      <c r="K5036" t="e">
        <f>VLOOKUP(B5036,'REGISTRO ABONOS'!$B$8:$BC$10041,54,0)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hidden="1" x14ac:dyDescent="0.2">
      <c r="B5037" s="31">
        <v>5028</v>
      </c>
      <c r="J5037">
        <f t="shared" si="83"/>
        <v>105000</v>
      </c>
      <c r="K5037" t="e">
        <f>VLOOKUP(B5037,'REGISTRO ABONOS'!$B$8:$BC$10041,54,0)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hidden="1" x14ac:dyDescent="0.2">
      <c r="B5038" s="31">
        <v>5029</v>
      </c>
      <c r="J5038">
        <f t="shared" si="83"/>
        <v>105000</v>
      </c>
      <c r="K5038" t="e">
        <f>VLOOKUP(B5038,'REGISTRO ABONOS'!$B$8:$BC$10041,54,0)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hidden="1" x14ac:dyDescent="0.2">
      <c r="B5039" s="31">
        <v>5030</v>
      </c>
      <c r="J5039">
        <f t="shared" si="83"/>
        <v>105000</v>
      </c>
      <c r="K5039" t="e">
        <f>VLOOKUP(B5039,'REGISTRO ABONOS'!$B$8:$BC$10041,54,0)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hidden="1" x14ac:dyDescent="0.2">
      <c r="B5040" s="31">
        <v>5031</v>
      </c>
      <c r="J5040">
        <f t="shared" si="83"/>
        <v>105000</v>
      </c>
      <c r="K5040" t="e">
        <f>VLOOKUP(B5040,'REGISTRO ABONOS'!$B$8:$BC$10041,54,0)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hidden="1" x14ac:dyDescent="0.2">
      <c r="B5041" s="31">
        <v>5032</v>
      </c>
      <c r="J5041">
        <f t="shared" si="83"/>
        <v>105000</v>
      </c>
      <c r="K5041" t="e">
        <f>VLOOKUP(B5041,'REGISTRO ABONOS'!$B$8:$BC$10041,54,0)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hidden="1" x14ac:dyDescent="0.2">
      <c r="B5042" s="31">
        <v>5033</v>
      </c>
      <c r="J5042">
        <f t="shared" si="83"/>
        <v>105000</v>
      </c>
      <c r="K5042" t="e">
        <f>VLOOKUP(B5042,'REGISTRO ABONOS'!$B$8:$BC$10041,54,0)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hidden="1" x14ac:dyDescent="0.2">
      <c r="B5043" s="31">
        <v>5034</v>
      </c>
      <c r="J5043">
        <f t="shared" si="83"/>
        <v>105000</v>
      </c>
      <c r="K5043" t="e">
        <f>VLOOKUP(B5043,'REGISTRO ABONOS'!$B$8:$BC$10041,54,0)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hidden="1" x14ac:dyDescent="0.2">
      <c r="B5044" s="31">
        <v>5035</v>
      </c>
      <c r="J5044">
        <f t="shared" si="83"/>
        <v>105000</v>
      </c>
      <c r="K5044" t="e">
        <f>VLOOKUP(B5044,'REGISTRO ABONOS'!$B$8:$BC$10041,54,0)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hidden="1" x14ac:dyDescent="0.2">
      <c r="B5045" s="31">
        <v>5036</v>
      </c>
      <c r="J5045">
        <f t="shared" si="83"/>
        <v>105000</v>
      </c>
      <c r="K5045" t="e">
        <f>VLOOKUP(B5045,'REGISTRO ABONOS'!$B$8:$BC$10041,54,0)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hidden="1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ABONOS'!$B$8:$BC$10041,54,0)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hidden="1" x14ac:dyDescent="0.2">
      <c r="B5047" s="31">
        <v>5038</v>
      </c>
      <c r="J5047">
        <f t="shared" si="84"/>
        <v>105000</v>
      </c>
      <c r="K5047" t="e">
        <f>VLOOKUP(B5047,'REGISTRO ABONOS'!$B$8:$BC$10041,54,0)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hidden="1" x14ac:dyDescent="0.2">
      <c r="B5048" s="31">
        <v>5039</v>
      </c>
      <c r="J5048">
        <f t="shared" si="84"/>
        <v>105000</v>
      </c>
      <c r="K5048" t="e">
        <f>VLOOKUP(B5048,'REGISTRO ABONOS'!$B$8:$BC$10041,54,0)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hidden="1" x14ac:dyDescent="0.2">
      <c r="B5049" s="31">
        <v>5040</v>
      </c>
      <c r="J5049">
        <f t="shared" si="84"/>
        <v>105000</v>
      </c>
      <c r="K5049" t="e">
        <f>VLOOKUP(B5049,'REGISTRO ABONOS'!$B$8:$BC$10041,54,0)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hidden="1" x14ac:dyDescent="0.2">
      <c r="B5050" s="31">
        <v>5041</v>
      </c>
      <c r="J5050">
        <f t="shared" si="84"/>
        <v>105000</v>
      </c>
      <c r="K5050" t="e">
        <f>VLOOKUP(B5050,'REGISTRO ABONOS'!$B$8:$BC$10041,54,0)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hidden="1" x14ac:dyDescent="0.2">
      <c r="B5051" s="31">
        <v>5042</v>
      </c>
      <c r="J5051">
        <f t="shared" si="84"/>
        <v>105000</v>
      </c>
      <c r="K5051" t="e">
        <f>VLOOKUP(B5051,'REGISTRO ABONOS'!$B$8:$BC$10041,54,0)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hidden="1" x14ac:dyDescent="0.2">
      <c r="B5052" s="31">
        <v>5043</v>
      </c>
      <c r="J5052">
        <f t="shared" si="84"/>
        <v>105000</v>
      </c>
      <c r="K5052" t="e">
        <f>VLOOKUP(B5052,'REGISTRO ABONOS'!$B$8:$BC$10041,54,0)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hidden="1" x14ac:dyDescent="0.2">
      <c r="B5053" s="31">
        <v>5044</v>
      </c>
      <c r="J5053">
        <f t="shared" si="84"/>
        <v>105000</v>
      </c>
      <c r="K5053" t="e">
        <f>VLOOKUP(B5053,'REGISTRO ABONOS'!$B$8:$BC$10041,54,0)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hidden="1" x14ac:dyDescent="0.2">
      <c r="B5054" s="31">
        <v>5045</v>
      </c>
      <c r="J5054">
        <f t="shared" si="84"/>
        <v>105000</v>
      </c>
      <c r="K5054" t="e">
        <f>VLOOKUP(B5054,'REGISTRO ABONOS'!$B$8:$BC$10041,54,0)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hidden="1" x14ac:dyDescent="0.2">
      <c r="B5055" s="31">
        <v>5046</v>
      </c>
      <c r="J5055">
        <f t="shared" si="84"/>
        <v>105000</v>
      </c>
      <c r="K5055" t="e">
        <f>VLOOKUP(B5055,'REGISTRO ABONOS'!$B$8:$BC$10041,54,0)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hidden="1" x14ac:dyDescent="0.2">
      <c r="B5056" s="31">
        <v>5047</v>
      </c>
      <c r="J5056">
        <f t="shared" si="84"/>
        <v>105000</v>
      </c>
      <c r="K5056" t="e">
        <f>VLOOKUP(B5056,'REGISTRO ABONOS'!$B$8:$BC$10041,54,0)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hidden="1" x14ac:dyDescent="0.2">
      <c r="B5057" s="31">
        <v>5048</v>
      </c>
      <c r="J5057">
        <f t="shared" si="84"/>
        <v>105000</v>
      </c>
      <c r="K5057" t="e">
        <f>VLOOKUP(B5057,'REGISTRO ABONOS'!$B$8:$BC$10041,54,0)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hidden="1" x14ac:dyDescent="0.2">
      <c r="B5058" s="31">
        <v>5049</v>
      </c>
      <c r="J5058">
        <f t="shared" si="84"/>
        <v>105000</v>
      </c>
      <c r="K5058" t="e">
        <f>VLOOKUP(B5058,'REGISTRO ABONOS'!$B$8:$BC$10041,54,0)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hidden="1" x14ac:dyDescent="0.2">
      <c r="B5059" s="31">
        <v>5050</v>
      </c>
      <c r="J5059">
        <f t="shared" si="84"/>
        <v>105000</v>
      </c>
      <c r="K5059" t="e">
        <f>VLOOKUP(B5059,'REGISTRO ABONOS'!$B$8:$BC$10041,54,0)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hidden="1" x14ac:dyDescent="0.2">
      <c r="B5060" s="31">
        <v>5051</v>
      </c>
      <c r="J5060">
        <f t="shared" si="84"/>
        <v>105000</v>
      </c>
      <c r="K5060" t="e">
        <f>VLOOKUP(B5060,'REGISTRO ABONOS'!$B$8:$BC$10041,54,0)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hidden="1" x14ac:dyDescent="0.2">
      <c r="B5061" s="31">
        <v>5052</v>
      </c>
      <c r="J5061">
        <f t="shared" si="84"/>
        <v>105000</v>
      </c>
      <c r="K5061" t="e">
        <f>VLOOKUP(B5061,'REGISTRO ABONOS'!$B$8:$BC$10041,54,0)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hidden="1" x14ac:dyDescent="0.2">
      <c r="B5062" s="31">
        <v>5053</v>
      </c>
      <c r="J5062">
        <f t="shared" si="84"/>
        <v>105000</v>
      </c>
      <c r="K5062" t="e">
        <f>VLOOKUP(B5062,'REGISTRO ABONOS'!$B$8:$BC$10041,54,0)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hidden="1" x14ac:dyDescent="0.2">
      <c r="B5063" s="31">
        <v>5054</v>
      </c>
      <c r="J5063">
        <f t="shared" si="84"/>
        <v>105000</v>
      </c>
      <c r="K5063" t="e">
        <f>VLOOKUP(B5063,'REGISTRO ABONOS'!$B$8:$BC$10041,54,0)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hidden="1" x14ac:dyDescent="0.2">
      <c r="B5064" s="31">
        <v>5055</v>
      </c>
      <c r="J5064">
        <f t="shared" si="84"/>
        <v>105000</v>
      </c>
      <c r="K5064" t="e">
        <f>VLOOKUP(B5064,'REGISTRO ABONOS'!$B$8:$BC$10041,54,0)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hidden="1" x14ac:dyDescent="0.2">
      <c r="B5065" s="31">
        <v>5056</v>
      </c>
      <c r="J5065">
        <f t="shared" si="84"/>
        <v>105000</v>
      </c>
      <c r="K5065" t="e">
        <f>VLOOKUP(B5065,'REGISTRO ABONOS'!$B$8:$BC$10041,54,0)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hidden="1" x14ac:dyDescent="0.2">
      <c r="B5066" s="31">
        <v>5057</v>
      </c>
      <c r="J5066">
        <f t="shared" si="84"/>
        <v>105000</v>
      </c>
      <c r="K5066" t="e">
        <f>VLOOKUP(B5066,'REGISTRO ABONOS'!$B$8:$BC$10041,54,0)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hidden="1" x14ac:dyDescent="0.2">
      <c r="B5067" s="31">
        <v>5058</v>
      </c>
      <c r="J5067">
        <f t="shared" si="84"/>
        <v>105000</v>
      </c>
      <c r="K5067" t="e">
        <f>VLOOKUP(B5067,'REGISTRO ABONOS'!$B$8:$BC$10041,54,0)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hidden="1" x14ac:dyDescent="0.2">
      <c r="B5068" s="31">
        <v>5059</v>
      </c>
      <c r="J5068">
        <f t="shared" si="84"/>
        <v>105000</v>
      </c>
      <c r="K5068" t="e">
        <f>VLOOKUP(B5068,'REGISTRO ABONOS'!$B$8:$BC$10041,54,0)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hidden="1" x14ac:dyDescent="0.2">
      <c r="B5069" s="31">
        <v>5060</v>
      </c>
      <c r="J5069">
        <f t="shared" si="84"/>
        <v>105000</v>
      </c>
      <c r="K5069" t="e">
        <f>VLOOKUP(B5069,'REGISTRO ABONOS'!$B$8:$BC$10041,54,0)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hidden="1" x14ac:dyDescent="0.2">
      <c r="B5070" s="31">
        <v>5061</v>
      </c>
      <c r="J5070">
        <f t="shared" si="84"/>
        <v>105000</v>
      </c>
      <c r="K5070" t="e">
        <f>VLOOKUP(B5070,'REGISTRO ABONOS'!$B$8:$BC$10041,54,0)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hidden="1" x14ac:dyDescent="0.2">
      <c r="B5071" s="31">
        <v>5062</v>
      </c>
      <c r="J5071">
        <f t="shared" si="84"/>
        <v>105000</v>
      </c>
      <c r="K5071" t="e">
        <f>VLOOKUP(B5071,'REGISTRO ABONOS'!$B$8:$BC$10041,54,0)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hidden="1" x14ac:dyDescent="0.2">
      <c r="B5072" s="31">
        <v>5063</v>
      </c>
      <c r="J5072">
        <f t="shared" si="84"/>
        <v>105000</v>
      </c>
      <c r="K5072" t="e">
        <f>VLOOKUP(B5072,'REGISTRO ABONOS'!$B$8:$BC$10041,54,0)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hidden="1" x14ac:dyDescent="0.2">
      <c r="B5073" s="31">
        <v>5064</v>
      </c>
      <c r="J5073">
        <f t="shared" si="84"/>
        <v>105000</v>
      </c>
      <c r="K5073" t="e">
        <f>VLOOKUP(B5073,'REGISTRO ABONOS'!$B$8:$BC$10041,54,0)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hidden="1" x14ac:dyDescent="0.2">
      <c r="B5074" s="31">
        <v>5065</v>
      </c>
      <c r="J5074">
        <f t="shared" si="84"/>
        <v>105000</v>
      </c>
      <c r="K5074" t="e">
        <f>VLOOKUP(B5074,'REGISTRO ABONOS'!$B$8:$BC$10041,54,0)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hidden="1" x14ac:dyDescent="0.2">
      <c r="B5075" s="31">
        <v>5066</v>
      </c>
      <c r="J5075">
        <f t="shared" si="84"/>
        <v>105000</v>
      </c>
      <c r="K5075" t="e">
        <f>VLOOKUP(B5075,'REGISTRO ABONOS'!$B$8:$BC$10041,54,0)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hidden="1" x14ac:dyDescent="0.2">
      <c r="B5076" s="31">
        <v>5067</v>
      </c>
      <c r="J5076">
        <f t="shared" si="84"/>
        <v>105000</v>
      </c>
      <c r="K5076" t="e">
        <f>VLOOKUP(B5076,'REGISTRO ABONOS'!$B$8:$BC$10041,54,0)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hidden="1" x14ac:dyDescent="0.2">
      <c r="B5077" s="31">
        <v>5068</v>
      </c>
      <c r="J5077">
        <f t="shared" si="84"/>
        <v>105000</v>
      </c>
      <c r="K5077" t="e">
        <f>VLOOKUP(B5077,'REGISTRO ABONOS'!$B$8:$BC$10041,54,0)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hidden="1" x14ac:dyDescent="0.2">
      <c r="B5078" s="31">
        <v>5069</v>
      </c>
      <c r="J5078">
        <f t="shared" si="84"/>
        <v>105000</v>
      </c>
      <c r="K5078" t="e">
        <f>VLOOKUP(B5078,'REGISTRO ABONOS'!$B$8:$BC$10041,54,0)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hidden="1" x14ac:dyDescent="0.2">
      <c r="B5079" s="31">
        <v>5070</v>
      </c>
      <c r="J5079">
        <f t="shared" si="84"/>
        <v>105000</v>
      </c>
      <c r="K5079" t="e">
        <f>VLOOKUP(B5079,'REGISTRO ABONOS'!$B$8:$BC$10041,54,0)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hidden="1" x14ac:dyDescent="0.2">
      <c r="B5080" s="31">
        <v>5071</v>
      </c>
      <c r="J5080">
        <f t="shared" si="84"/>
        <v>105000</v>
      </c>
      <c r="K5080" t="e">
        <f>VLOOKUP(B5080,'REGISTRO ABONOS'!$B$8:$BC$10041,54,0)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hidden="1" x14ac:dyDescent="0.2">
      <c r="B5081" s="31">
        <v>5072</v>
      </c>
      <c r="J5081">
        <f t="shared" si="84"/>
        <v>105000</v>
      </c>
      <c r="K5081" t="e">
        <f>VLOOKUP(B5081,'REGISTRO ABONOS'!$B$8:$BC$10041,54,0)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hidden="1" x14ac:dyDescent="0.2">
      <c r="B5082" s="31">
        <v>5073</v>
      </c>
      <c r="J5082">
        <f t="shared" si="84"/>
        <v>105000</v>
      </c>
      <c r="K5082" t="e">
        <f>VLOOKUP(B5082,'REGISTRO ABONOS'!$B$8:$BC$10041,54,0)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hidden="1" x14ac:dyDescent="0.2">
      <c r="B5083" s="31">
        <v>5074</v>
      </c>
      <c r="J5083">
        <f t="shared" si="84"/>
        <v>105000</v>
      </c>
      <c r="K5083" t="e">
        <f>VLOOKUP(B5083,'REGISTRO ABONOS'!$B$8:$BC$10041,54,0)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hidden="1" x14ac:dyDescent="0.2">
      <c r="B5084" s="31">
        <v>5075</v>
      </c>
      <c r="J5084">
        <f t="shared" si="84"/>
        <v>105000</v>
      </c>
      <c r="K5084" t="e">
        <f>VLOOKUP(B5084,'REGISTRO ABONOS'!$B$8:$BC$10041,54,0)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hidden="1" x14ac:dyDescent="0.2">
      <c r="B5085" s="31">
        <v>5076</v>
      </c>
      <c r="J5085">
        <f t="shared" si="84"/>
        <v>105000</v>
      </c>
      <c r="K5085" t="e">
        <f>VLOOKUP(B5085,'REGISTRO ABONOS'!$B$8:$BC$10041,54,0)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hidden="1" x14ac:dyDescent="0.2">
      <c r="B5086" s="31">
        <v>5077</v>
      </c>
      <c r="J5086">
        <f t="shared" si="84"/>
        <v>105000</v>
      </c>
      <c r="K5086" t="e">
        <f>VLOOKUP(B5086,'REGISTRO ABONOS'!$B$8:$BC$10041,54,0)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hidden="1" x14ac:dyDescent="0.2">
      <c r="B5087" s="31">
        <v>5078</v>
      </c>
      <c r="J5087">
        <f t="shared" si="84"/>
        <v>105000</v>
      </c>
      <c r="K5087" t="e">
        <f>VLOOKUP(B5087,'REGISTRO ABONOS'!$B$8:$BC$10041,54,0)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hidden="1" x14ac:dyDescent="0.2">
      <c r="B5088" s="31">
        <v>5079</v>
      </c>
      <c r="J5088">
        <f t="shared" si="84"/>
        <v>105000</v>
      </c>
      <c r="K5088" t="e">
        <f>VLOOKUP(B5088,'REGISTRO ABONOS'!$B$8:$BC$10041,54,0)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hidden="1" x14ac:dyDescent="0.2">
      <c r="B5089" s="31">
        <v>5080</v>
      </c>
      <c r="J5089">
        <f t="shared" si="84"/>
        <v>105000</v>
      </c>
      <c r="K5089" t="e">
        <f>VLOOKUP(B5089,'REGISTRO ABONOS'!$B$8:$BC$10041,54,0)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hidden="1" x14ac:dyDescent="0.2">
      <c r="B5090" s="31">
        <v>5081</v>
      </c>
      <c r="J5090">
        <f t="shared" si="84"/>
        <v>105000</v>
      </c>
      <c r="K5090" t="e">
        <f>VLOOKUP(B5090,'REGISTRO ABONOS'!$B$8:$BC$10041,54,0)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hidden="1" x14ac:dyDescent="0.2">
      <c r="B5091" s="31">
        <v>5082</v>
      </c>
      <c r="J5091">
        <f t="shared" si="84"/>
        <v>105000</v>
      </c>
      <c r="K5091" t="e">
        <f>VLOOKUP(B5091,'REGISTRO ABONOS'!$B$8:$BC$10041,54,0)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hidden="1" x14ac:dyDescent="0.2">
      <c r="B5092" s="31">
        <v>5083</v>
      </c>
      <c r="J5092">
        <f t="shared" si="84"/>
        <v>105000</v>
      </c>
      <c r="K5092" t="e">
        <f>VLOOKUP(B5092,'REGISTRO ABONOS'!$B$8:$BC$10041,54,0)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hidden="1" x14ac:dyDescent="0.2">
      <c r="B5093" s="31">
        <v>5084</v>
      </c>
      <c r="J5093">
        <f t="shared" si="84"/>
        <v>105000</v>
      </c>
      <c r="K5093" t="e">
        <f>VLOOKUP(B5093,'REGISTRO ABONOS'!$B$8:$BC$10041,54,0)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hidden="1" x14ac:dyDescent="0.2">
      <c r="B5094" s="31">
        <v>5085</v>
      </c>
      <c r="J5094">
        <f t="shared" si="84"/>
        <v>105000</v>
      </c>
      <c r="K5094" t="e">
        <f>VLOOKUP(B5094,'REGISTRO ABONOS'!$B$8:$BC$10041,54,0)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hidden="1" x14ac:dyDescent="0.2">
      <c r="B5095" s="31">
        <v>5086</v>
      </c>
      <c r="J5095">
        <f t="shared" si="84"/>
        <v>105000</v>
      </c>
      <c r="K5095" t="e">
        <f>VLOOKUP(B5095,'REGISTRO ABONOS'!$B$8:$BC$10041,54,0)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hidden="1" x14ac:dyDescent="0.2">
      <c r="B5096" s="31">
        <v>5087</v>
      </c>
      <c r="J5096">
        <f t="shared" si="84"/>
        <v>105000</v>
      </c>
      <c r="K5096" t="e">
        <f>VLOOKUP(B5096,'REGISTRO ABONOS'!$B$8:$BC$10041,54,0)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hidden="1" x14ac:dyDescent="0.2">
      <c r="B5097" s="31">
        <v>5088</v>
      </c>
      <c r="J5097">
        <f t="shared" si="84"/>
        <v>105000</v>
      </c>
      <c r="K5097" t="e">
        <f>VLOOKUP(B5097,'REGISTRO ABONOS'!$B$8:$BC$10041,54,0)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hidden="1" x14ac:dyDescent="0.2">
      <c r="B5098" s="31">
        <v>5089</v>
      </c>
      <c r="J5098">
        <f t="shared" si="84"/>
        <v>105000</v>
      </c>
      <c r="K5098" t="e">
        <f>VLOOKUP(B5098,'REGISTRO ABONOS'!$B$8:$BC$10041,54,0)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hidden="1" x14ac:dyDescent="0.2">
      <c r="B5099" s="31">
        <v>5090</v>
      </c>
      <c r="J5099">
        <f t="shared" si="84"/>
        <v>105000</v>
      </c>
      <c r="K5099" t="e">
        <f>VLOOKUP(B5099,'REGISTRO ABONOS'!$B$8:$BC$10041,54,0)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hidden="1" x14ac:dyDescent="0.2">
      <c r="B5100" s="31">
        <v>5091</v>
      </c>
      <c r="J5100">
        <f t="shared" si="84"/>
        <v>105000</v>
      </c>
      <c r="K5100" t="e">
        <f>VLOOKUP(B5100,'REGISTRO ABONOS'!$B$8:$BC$10041,54,0)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hidden="1" x14ac:dyDescent="0.2">
      <c r="B5101" s="31">
        <v>5092</v>
      </c>
      <c r="J5101">
        <f t="shared" si="84"/>
        <v>105000</v>
      </c>
      <c r="K5101" t="e">
        <f>VLOOKUP(B5101,'REGISTRO ABONOS'!$B$8:$BC$10041,54,0)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hidden="1" x14ac:dyDescent="0.2">
      <c r="B5102" s="31">
        <v>5093</v>
      </c>
      <c r="J5102">
        <f t="shared" si="84"/>
        <v>105000</v>
      </c>
      <c r="K5102" t="e">
        <f>VLOOKUP(B5102,'REGISTRO ABONOS'!$B$8:$BC$10041,54,0)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hidden="1" x14ac:dyDescent="0.2">
      <c r="B5103" s="31">
        <v>5094</v>
      </c>
      <c r="J5103">
        <f t="shared" si="84"/>
        <v>105000</v>
      </c>
      <c r="K5103" t="e">
        <f>VLOOKUP(B5103,'REGISTRO ABONOS'!$B$8:$BC$10041,54,0)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hidden="1" x14ac:dyDescent="0.2">
      <c r="B5104" s="31">
        <v>5095</v>
      </c>
      <c r="J5104">
        <f t="shared" si="84"/>
        <v>105000</v>
      </c>
      <c r="K5104" t="e">
        <f>VLOOKUP(B5104,'REGISTRO ABONOS'!$B$8:$BC$10041,54,0)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hidden="1" x14ac:dyDescent="0.2">
      <c r="B5105" s="31">
        <v>5096</v>
      </c>
      <c r="J5105">
        <f t="shared" si="84"/>
        <v>105000</v>
      </c>
      <c r="K5105" t="e">
        <f>VLOOKUP(B5105,'REGISTRO ABONOS'!$B$8:$BC$10041,54,0)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hidden="1" x14ac:dyDescent="0.2">
      <c r="B5106" s="31">
        <v>5097</v>
      </c>
      <c r="J5106">
        <f t="shared" si="84"/>
        <v>105000</v>
      </c>
      <c r="K5106" t="e">
        <f>VLOOKUP(B5106,'REGISTRO ABONOS'!$B$8:$BC$10041,54,0)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hidden="1" x14ac:dyDescent="0.2">
      <c r="B5107" s="31">
        <v>5098</v>
      </c>
      <c r="J5107">
        <f t="shared" si="84"/>
        <v>105000</v>
      </c>
      <c r="K5107" t="e">
        <f>VLOOKUP(B5107,'REGISTRO ABONOS'!$B$8:$BC$10041,54,0)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hidden="1" x14ac:dyDescent="0.2">
      <c r="B5108" s="31">
        <v>5099</v>
      </c>
      <c r="J5108">
        <f t="shared" si="84"/>
        <v>105000</v>
      </c>
      <c r="K5108" t="e">
        <f>VLOOKUP(B5108,'REGISTRO ABONOS'!$B$8:$BC$10041,54,0)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hidden="1" x14ac:dyDescent="0.2">
      <c r="B5109" s="31">
        <v>5100</v>
      </c>
      <c r="J5109">
        <f t="shared" si="84"/>
        <v>105000</v>
      </c>
      <c r="K5109" t="e">
        <f>VLOOKUP(B5109,'REGISTRO ABONOS'!$B$8:$BC$10041,54,0)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hidden="1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ABONOS'!$B$8:$BC$10041,54,0)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hidden="1" x14ac:dyDescent="0.2">
      <c r="B5111" s="31">
        <v>5102</v>
      </c>
      <c r="J5111">
        <f t="shared" si="85"/>
        <v>105000</v>
      </c>
      <c r="K5111" t="e">
        <f>VLOOKUP(B5111,'REGISTRO ABONOS'!$B$8:$BC$10041,54,0)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hidden="1" x14ac:dyDescent="0.2">
      <c r="B5112" s="31">
        <v>5103</v>
      </c>
      <c r="J5112">
        <f t="shared" si="85"/>
        <v>105000</v>
      </c>
      <c r="K5112" t="e">
        <f>VLOOKUP(B5112,'REGISTRO ABONOS'!$B$8:$BC$10041,54,0)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hidden="1" x14ac:dyDescent="0.2">
      <c r="B5113" s="31">
        <v>5104</v>
      </c>
      <c r="J5113">
        <f t="shared" si="85"/>
        <v>105000</v>
      </c>
      <c r="K5113" t="e">
        <f>VLOOKUP(B5113,'REGISTRO ABONOS'!$B$8:$BC$10041,54,0)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hidden="1" x14ac:dyDescent="0.2">
      <c r="B5114" s="31">
        <v>5105</v>
      </c>
      <c r="J5114">
        <f t="shared" si="85"/>
        <v>105000</v>
      </c>
      <c r="K5114" t="e">
        <f>VLOOKUP(B5114,'REGISTRO ABONOS'!$B$8:$BC$10041,54,0)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hidden="1" x14ac:dyDescent="0.2">
      <c r="B5115" s="31">
        <v>5106</v>
      </c>
      <c r="J5115">
        <f t="shared" si="85"/>
        <v>105000</v>
      </c>
      <c r="K5115" t="e">
        <f>VLOOKUP(B5115,'REGISTRO ABONOS'!$B$8:$BC$10041,54,0)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hidden="1" x14ac:dyDescent="0.2">
      <c r="B5116" s="31">
        <v>5107</v>
      </c>
      <c r="J5116">
        <f t="shared" si="85"/>
        <v>105000</v>
      </c>
      <c r="K5116" t="e">
        <f>VLOOKUP(B5116,'REGISTRO ABONOS'!$B$8:$BC$10041,54,0)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hidden="1" x14ac:dyDescent="0.2">
      <c r="B5117" s="31">
        <v>5108</v>
      </c>
      <c r="J5117">
        <f t="shared" si="85"/>
        <v>105000</v>
      </c>
      <c r="K5117" t="e">
        <f>VLOOKUP(B5117,'REGISTRO ABONOS'!$B$8:$BC$10041,54,0)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hidden="1" x14ac:dyDescent="0.2">
      <c r="B5118" s="31">
        <v>5109</v>
      </c>
      <c r="J5118">
        <f t="shared" si="85"/>
        <v>105000</v>
      </c>
      <c r="K5118" t="e">
        <f>VLOOKUP(B5118,'REGISTRO ABONOS'!$B$8:$BC$10041,54,0)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hidden="1" x14ac:dyDescent="0.2">
      <c r="B5119" s="31">
        <v>5110</v>
      </c>
      <c r="J5119">
        <f t="shared" si="85"/>
        <v>105000</v>
      </c>
      <c r="K5119" t="e">
        <f>VLOOKUP(B5119,'REGISTRO ABONOS'!$B$8:$BC$10041,54,0)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hidden="1" x14ac:dyDescent="0.2">
      <c r="B5120" s="31">
        <v>5111</v>
      </c>
      <c r="J5120">
        <f t="shared" si="85"/>
        <v>105000</v>
      </c>
      <c r="K5120" t="e">
        <f>VLOOKUP(B5120,'REGISTRO ABONOS'!$B$8:$BC$10041,54,0)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hidden="1" x14ac:dyDescent="0.2">
      <c r="B5121" s="31">
        <v>5112</v>
      </c>
      <c r="J5121">
        <f t="shared" si="85"/>
        <v>105000</v>
      </c>
      <c r="K5121" t="e">
        <f>VLOOKUP(B5121,'REGISTRO ABONOS'!$B$8:$BC$10041,54,0)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hidden="1" x14ac:dyDescent="0.2">
      <c r="B5122" s="31">
        <v>5113</v>
      </c>
      <c r="J5122">
        <f t="shared" si="85"/>
        <v>105000</v>
      </c>
      <c r="K5122" t="e">
        <f>VLOOKUP(B5122,'REGISTRO ABONOS'!$B$8:$BC$10041,54,0)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hidden="1" x14ac:dyDescent="0.2">
      <c r="B5123" s="31">
        <v>5114</v>
      </c>
      <c r="J5123">
        <f t="shared" si="85"/>
        <v>105000</v>
      </c>
      <c r="K5123" t="e">
        <f>VLOOKUP(B5123,'REGISTRO ABONOS'!$B$8:$BC$10041,54,0)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hidden="1" x14ac:dyDescent="0.2">
      <c r="B5124" s="31">
        <v>5115</v>
      </c>
      <c r="J5124">
        <f t="shared" si="85"/>
        <v>105000</v>
      </c>
      <c r="K5124" t="e">
        <f>VLOOKUP(B5124,'REGISTRO ABONOS'!$B$8:$BC$10041,54,0)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hidden="1" x14ac:dyDescent="0.2">
      <c r="B5125" s="31">
        <v>5116</v>
      </c>
      <c r="J5125">
        <f t="shared" si="85"/>
        <v>105000</v>
      </c>
      <c r="K5125" t="e">
        <f>VLOOKUP(B5125,'REGISTRO ABONOS'!$B$8:$BC$10041,54,0)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hidden="1" x14ac:dyDescent="0.2">
      <c r="B5126" s="31">
        <v>5117</v>
      </c>
      <c r="J5126">
        <f t="shared" si="85"/>
        <v>105000</v>
      </c>
      <c r="K5126" t="e">
        <f>VLOOKUP(B5126,'REGISTRO ABONOS'!$B$8:$BC$10041,54,0)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hidden="1" x14ac:dyDescent="0.2">
      <c r="B5127" s="31">
        <v>5118</v>
      </c>
      <c r="J5127">
        <f t="shared" si="85"/>
        <v>105000</v>
      </c>
      <c r="K5127" t="e">
        <f>VLOOKUP(B5127,'REGISTRO ABONOS'!$B$8:$BC$10041,54,0)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hidden="1" x14ac:dyDescent="0.2">
      <c r="B5128" s="31">
        <v>5119</v>
      </c>
      <c r="J5128">
        <f t="shared" si="85"/>
        <v>105000</v>
      </c>
      <c r="K5128" t="e">
        <f>VLOOKUP(B5128,'REGISTRO ABONOS'!$B$8:$BC$10041,54,0)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hidden="1" x14ac:dyDescent="0.2">
      <c r="B5129" s="31">
        <v>5120</v>
      </c>
      <c r="J5129">
        <f t="shared" si="85"/>
        <v>105000</v>
      </c>
      <c r="K5129" t="e">
        <f>VLOOKUP(B5129,'REGISTRO ABONOS'!$B$8:$BC$10041,54,0)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hidden="1" x14ac:dyDescent="0.2">
      <c r="B5130" s="31">
        <v>5121</v>
      </c>
      <c r="J5130">
        <f t="shared" si="85"/>
        <v>105000</v>
      </c>
      <c r="K5130" t="e">
        <f>VLOOKUP(B5130,'REGISTRO ABONOS'!$B$8:$BC$10041,54,0)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hidden="1" x14ac:dyDescent="0.2">
      <c r="B5131" s="31">
        <v>5122</v>
      </c>
      <c r="J5131">
        <f t="shared" si="85"/>
        <v>105000</v>
      </c>
      <c r="K5131" t="e">
        <f>VLOOKUP(B5131,'REGISTRO ABONOS'!$B$8:$BC$10041,54,0)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hidden="1" x14ac:dyDescent="0.2">
      <c r="B5132" s="31">
        <v>5123</v>
      </c>
      <c r="J5132">
        <f t="shared" si="85"/>
        <v>105000</v>
      </c>
      <c r="K5132" t="e">
        <f>VLOOKUP(B5132,'REGISTRO ABONOS'!$B$8:$BC$10041,54,0)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hidden="1" x14ac:dyDescent="0.2">
      <c r="B5133" s="31">
        <v>5124</v>
      </c>
      <c r="J5133">
        <f t="shared" si="85"/>
        <v>105000</v>
      </c>
      <c r="K5133" t="e">
        <f>VLOOKUP(B5133,'REGISTRO ABONOS'!$B$8:$BC$10041,54,0)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hidden="1" x14ac:dyDescent="0.2">
      <c r="B5134" s="31">
        <v>5125</v>
      </c>
      <c r="J5134">
        <f t="shared" si="85"/>
        <v>105000</v>
      </c>
      <c r="K5134" t="e">
        <f>VLOOKUP(B5134,'REGISTRO ABONOS'!$B$8:$BC$10041,54,0)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hidden="1" x14ac:dyDescent="0.2">
      <c r="B5135" s="31">
        <v>5126</v>
      </c>
      <c r="J5135">
        <f t="shared" si="85"/>
        <v>105000</v>
      </c>
      <c r="K5135" t="e">
        <f>VLOOKUP(B5135,'REGISTRO ABONOS'!$B$8:$BC$10041,54,0)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hidden="1" x14ac:dyDescent="0.2">
      <c r="B5136" s="31">
        <v>5127</v>
      </c>
      <c r="J5136">
        <f t="shared" si="85"/>
        <v>105000</v>
      </c>
      <c r="K5136" t="e">
        <f>VLOOKUP(B5136,'REGISTRO ABONOS'!$B$8:$BC$10041,54,0)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hidden="1" x14ac:dyDescent="0.2">
      <c r="B5137" s="31">
        <v>5128</v>
      </c>
      <c r="J5137">
        <f t="shared" si="85"/>
        <v>105000</v>
      </c>
      <c r="K5137" t="e">
        <f>VLOOKUP(B5137,'REGISTRO ABONOS'!$B$8:$BC$10041,54,0)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hidden="1" x14ac:dyDescent="0.2">
      <c r="B5138" s="31">
        <v>5129</v>
      </c>
      <c r="J5138">
        <f t="shared" si="85"/>
        <v>105000</v>
      </c>
      <c r="K5138" t="e">
        <f>VLOOKUP(B5138,'REGISTRO ABONOS'!$B$8:$BC$10041,54,0)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hidden="1" x14ac:dyDescent="0.2">
      <c r="B5139" s="31">
        <v>5130</v>
      </c>
      <c r="J5139">
        <f t="shared" si="85"/>
        <v>105000</v>
      </c>
      <c r="K5139" t="e">
        <f>VLOOKUP(B5139,'REGISTRO ABONOS'!$B$8:$BC$10041,54,0)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hidden="1" x14ac:dyDescent="0.2">
      <c r="B5140" s="31">
        <v>5131</v>
      </c>
      <c r="J5140">
        <f t="shared" si="85"/>
        <v>105000</v>
      </c>
      <c r="K5140" t="e">
        <f>VLOOKUP(B5140,'REGISTRO ABONOS'!$B$8:$BC$10041,54,0)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hidden="1" x14ac:dyDescent="0.2">
      <c r="B5141" s="31">
        <v>5132</v>
      </c>
      <c r="J5141">
        <f t="shared" si="85"/>
        <v>105000</v>
      </c>
      <c r="K5141" t="e">
        <f>VLOOKUP(B5141,'REGISTRO ABONOS'!$B$8:$BC$10041,54,0)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hidden="1" x14ac:dyDescent="0.2">
      <c r="B5142" s="31">
        <v>5133</v>
      </c>
      <c r="J5142">
        <f t="shared" si="85"/>
        <v>105000</v>
      </c>
      <c r="K5142" t="e">
        <f>VLOOKUP(B5142,'REGISTRO ABONOS'!$B$8:$BC$10041,54,0)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hidden="1" x14ac:dyDescent="0.2">
      <c r="B5143" s="31">
        <v>5134</v>
      </c>
      <c r="J5143">
        <f t="shared" si="85"/>
        <v>105000</v>
      </c>
      <c r="K5143" t="e">
        <f>VLOOKUP(B5143,'REGISTRO ABONOS'!$B$8:$BC$10041,54,0)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hidden="1" x14ac:dyDescent="0.2">
      <c r="B5144" s="31">
        <v>5135</v>
      </c>
      <c r="J5144">
        <f t="shared" si="85"/>
        <v>105000</v>
      </c>
      <c r="K5144" t="e">
        <f>VLOOKUP(B5144,'REGISTRO ABONOS'!$B$8:$BC$10041,54,0)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hidden="1" x14ac:dyDescent="0.2">
      <c r="B5145" s="31">
        <v>5136</v>
      </c>
      <c r="J5145">
        <f t="shared" si="85"/>
        <v>105000</v>
      </c>
      <c r="K5145" t="e">
        <f>VLOOKUP(B5145,'REGISTRO ABONOS'!$B$8:$BC$10041,54,0)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hidden="1" x14ac:dyDescent="0.2">
      <c r="B5146" s="31">
        <v>5137</v>
      </c>
      <c r="J5146">
        <f t="shared" si="85"/>
        <v>105000</v>
      </c>
      <c r="K5146" t="e">
        <f>VLOOKUP(B5146,'REGISTRO ABONOS'!$B$8:$BC$10041,54,0)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hidden="1" x14ac:dyDescent="0.2">
      <c r="B5147" s="31">
        <v>5138</v>
      </c>
      <c r="J5147">
        <f t="shared" si="85"/>
        <v>105000</v>
      </c>
      <c r="K5147" t="e">
        <f>VLOOKUP(B5147,'REGISTRO ABONOS'!$B$8:$BC$10041,54,0)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hidden="1" x14ac:dyDescent="0.2">
      <c r="B5148" s="31">
        <v>5139</v>
      </c>
      <c r="J5148">
        <f t="shared" si="85"/>
        <v>105000</v>
      </c>
      <c r="K5148" t="e">
        <f>VLOOKUP(B5148,'REGISTRO ABONOS'!$B$8:$BC$10041,54,0)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hidden="1" x14ac:dyDescent="0.2">
      <c r="B5149" s="31">
        <v>5140</v>
      </c>
      <c r="J5149">
        <f t="shared" si="85"/>
        <v>105000</v>
      </c>
      <c r="K5149" t="e">
        <f>VLOOKUP(B5149,'REGISTRO ABONOS'!$B$8:$BC$10041,54,0)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hidden="1" x14ac:dyDescent="0.2">
      <c r="B5150" s="31">
        <v>5141</v>
      </c>
      <c r="J5150">
        <f t="shared" si="85"/>
        <v>105000</v>
      </c>
      <c r="K5150" t="e">
        <f>VLOOKUP(B5150,'REGISTRO ABONOS'!$B$8:$BC$10041,54,0)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hidden="1" x14ac:dyDescent="0.2">
      <c r="B5151" s="31">
        <v>5142</v>
      </c>
      <c r="J5151">
        <f t="shared" si="85"/>
        <v>105000</v>
      </c>
      <c r="K5151" t="e">
        <f>VLOOKUP(B5151,'REGISTRO ABONOS'!$B$8:$BC$10041,54,0)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hidden="1" x14ac:dyDescent="0.2">
      <c r="B5152" s="31">
        <v>5143</v>
      </c>
      <c r="J5152">
        <f t="shared" si="85"/>
        <v>105000</v>
      </c>
      <c r="K5152" t="e">
        <f>VLOOKUP(B5152,'REGISTRO ABONOS'!$B$8:$BC$10041,54,0)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hidden="1" x14ac:dyDescent="0.2">
      <c r="B5153" s="31">
        <v>5144</v>
      </c>
      <c r="J5153">
        <f t="shared" si="85"/>
        <v>105000</v>
      </c>
      <c r="K5153" t="e">
        <f>VLOOKUP(B5153,'REGISTRO ABONOS'!$B$8:$BC$10041,54,0)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hidden="1" x14ac:dyDescent="0.2">
      <c r="B5154" s="31">
        <v>5145</v>
      </c>
      <c r="J5154">
        <f t="shared" si="85"/>
        <v>105000</v>
      </c>
      <c r="K5154" t="e">
        <f>VLOOKUP(B5154,'REGISTRO ABONOS'!$B$8:$BC$10041,54,0)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hidden="1" x14ac:dyDescent="0.2">
      <c r="B5155" s="31">
        <v>5146</v>
      </c>
      <c r="J5155">
        <f t="shared" si="85"/>
        <v>105000</v>
      </c>
      <c r="K5155" t="e">
        <f>VLOOKUP(B5155,'REGISTRO ABONOS'!$B$8:$BC$10041,54,0)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hidden="1" x14ac:dyDescent="0.2">
      <c r="B5156" s="31">
        <v>5147</v>
      </c>
      <c r="J5156">
        <f t="shared" si="85"/>
        <v>105000</v>
      </c>
      <c r="K5156" t="e">
        <f>VLOOKUP(B5156,'REGISTRO ABONOS'!$B$8:$BC$10041,54,0)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hidden="1" x14ac:dyDescent="0.2">
      <c r="B5157" s="31">
        <v>5148</v>
      </c>
      <c r="J5157">
        <f t="shared" si="85"/>
        <v>105000</v>
      </c>
      <c r="K5157" t="e">
        <f>VLOOKUP(B5157,'REGISTRO ABONOS'!$B$8:$BC$10041,54,0)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hidden="1" x14ac:dyDescent="0.2">
      <c r="B5158" s="31">
        <v>5149</v>
      </c>
      <c r="J5158">
        <f t="shared" si="85"/>
        <v>105000</v>
      </c>
      <c r="K5158" t="e">
        <f>VLOOKUP(B5158,'REGISTRO ABONOS'!$B$8:$BC$10041,54,0)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hidden="1" x14ac:dyDescent="0.2">
      <c r="B5159" s="31">
        <v>5150</v>
      </c>
      <c r="J5159">
        <f t="shared" si="85"/>
        <v>105000</v>
      </c>
      <c r="K5159" t="e">
        <f>VLOOKUP(B5159,'REGISTRO ABONOS'!$B$8:$BC$10041,54,0)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hidden="1" x14ac:dyDescent="0.2">
      <c r="B5160" s="31">
        <v>5151</v>
      </c>
      <c r="J5160">
        <f t="shared" si="85"/>
        <v>105000</v>
      </c>
      <c r="K5160" t="e">
        <f>VLOOKUP(B5160,'REGISTRO ABONOS'!$B$8:$BC$10041,54,0)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hidden="1" x14ac:dyDescent="0.2">
      <c r="B5161" s="31">
        <v>5152</v>
      </c>
      <c r="J5161">
        <f t="shared" si="85"/>
        <v>105000</v>
      </c>
      <c r="K5161" t="e">
        <f>VLOOKUP(B5161,'REGISTRO ABONOS'!$B$8:$BC$10041,54,0)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hidden="1" x14ac:dyDescent="0.2">
      <c r="B5162" s="31">
        <v>5153</v>
      </c>
      <c r="J5162">
        <f t="shared" si="85"/>
        <v>105000</v>
      </c>
      <c r="K5162" t="e">
        <f>VLOOKUP(B5162,'REGISTRO ABONOS'!$B$8:$BC$10041,54,0)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hidden="1" x14ac:dyDescent="0.2">
      <c r="B5163" s="31">
        <v>5154</v>
      </c>
      <c r="J5163">
        <f t="shared" si="85"/>
        <v>105000</v>
      </c>
      <c r="K5163" t="e">
        <f>VLOOKUP(B5163,'REGISTRO ABONOS'!$B$8:$BC$10041,54,0)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hidden="1" x14ac:dyDescent="0.2">
      <c r="B5164" s="31">
        <v>5155</v>
      </c>
      <c r="J5164">
        <f t="shared" si="85"/>
        <v>105000</v>
      </c>
      <c r="K5164" t="e">
        <f>VLOOKUP(B5164,'REGISTRO ABONOS'!$B$8:$BC$10041,54,0)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hidden="1" x14ac:dyDescent="0.2">
      <c r="B5165" s="31">
        <v>5156</v>
      </c>
      <c r="J5165">
        <f t="shared" si="85"/>
        <v>105000</v>
      </c>
      <c r="K5165" t="e">
        <f>VLOOKUP(B5165,'REGISTRO ABONOS'!$B$8:$BC$10041,54,0)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hidden="1" x14ac:dyDescent="0.2">
      <c r="B5166" s="31">
        <v>5157</v>
      </c>
      <c r="J5166">
        <f t="shared" si="85"/>
        <v>105000</v>
      </c>
      <c r="K5166" t="e">
        <f>VLOOKUP(B5166,'REGISTRO ABONOS'!$B$8:$BC$10041,54,0)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hidden="1" x14ac:dyDescent="0.2">
      <c r="B5167" s="31">
        <v>5158</v>
      </c>
      <c r="J5167">
        <f t="shared" si="85"/>
        <v>105000</v>
      </c>
      <c r="K5167" t="e">
        <f>VLOOKUP(B5167,'REGISTRO ABONOS'!$B$8:$BC$10041,54,0)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hidden="1" x14ac:dyDescent="0.2">
      <c r="B5168" s="31">
        <v>5159</v>
      </c>
      <c r="J5168">
        <f t="shared" si="85"/>
        <v>105000</v>
      </c>
      <c r="K5168" t="e">
        <f>VLOOKUP(B5168,'REGISTRO ABONOS'!$B$8:$BC$10041,54,0)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hidden="1" x14ac:dyDescent="0.2">
      <c r="B5169" s="31">
        <v>5160</v>
      </c>
      <c r="J5169">
        <f t="shared" si="85"/>
        <v>105000</v>
      </c>
      <c r="K5169" t="e">
        <f>VLOOKUP(B5169,'REGISTRO ABONOS'!$B$8:$BC$10041,54,0)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hidden="1" x14ac:dyDescent="0.2">
      <c r="B5170" s="31">
        <v>5161</v>
      </c>
      <c r="J5170">
        <f t="shared" si="85"/>
        <v>105000</v>
      </c>
      <c r="K5170" t="e">
        <f>VLOOKUP(B5170,'REGISTRO ABONOS'!$B$8:$BC$10041,54,0)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hidden="1" x14ac:dyDescent="0.2">
      <c r="B5171" s="31">
        <v>5162</v>
      </c>
      <c r="J5171">
        <f t="shared" si="85"/>
        <v>105000</v>
      </c>
      <c r="K5171" t="e">
        <f>VLOOKUP(B5171,'REGISTRO ABONOS'!$B$8:$BC$10041,54,0)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hidden="1" x14ac:dyDescent="0.2">
      <c r="B5172" s="31">
        <v>5163</v>
      </c>
      <c r="J5172">
        <f t="shared" si="85"/>
        <v>105000</v>
      </c>
      <c r="K5172" t="e">
        <f>VLOOKUP(B5172,'REGISTRO ABONOS'!$B$8:$BC$10041,54,0)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hidden="1" x14ac:dyDescent="0.2">
      <c r="B5173" s="31">
        <v>5164</v>
      </c>
      <c r="J5173">
        <f t="shared" si="85"/>
        <v>105000</v>
      </c>
      <c r="K5173" t="e">
        <f>VLOOKUP(B5173,'REGISTRO ABONOS'!$B$8:$BC$10041,54,0)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hidden="1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ABONOS'!$B$8:$BC$10041,54,0)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hidden="1" x14ac:dyDescent="0.2">
      <c r="B5175" s="31">
        <v>5166</v>
      </c>
      <c r="J5175">
        <f t="shared" si="86"/>
        <v>105000</v>
      </c>
      <c r="K5175" t="e">
        <f>VLOOKUP(B5175,'REGISTRO ABONOS'!$B$8:$BC$10041,54,0)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hidden="1" x14ac:dyDescent="0.2">
      <c r="B5176" s="31">
        <v>5167</v>
      </c>
      <c r="J5176">
        <f t="shared" si="86"/>
        <v>105000</v>
      </c>
      <c r="K5176" t="e">
        <f>VLOOKUP(B5176,'REGISTRO ABONOS'!$B$8:$BC$10041,54,0)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hidden="1" x14ac:dyDescent="0.2">
      <c r="B5177" s="31">
        <v>5168</v>
      </c>
      <c r="J5177">
        <f t="shared" si="86"/>
        <v>105000</v>
      </c>
      <c r="K5177" t="e">
        <f>VLOOKUP(B5177,'REGISTRO ABONOS'!$B$8:$BC$10041,54,0)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hidden="1" x14ac:dyDescent="0.2">
      <c r="B5178" s="31">
        <v>5169</v>
      </c>
      <c r="J5178">
        <f t="shared" si="86"/>
        <v>105000</v>
      </c>
      <c r="K5178" t="e">
        <f>VLOOKUP(B5178,'REGISTRO ABONOS'!$B$8:$BC$10041,54,0)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hidden="1" x14ac:dyDescent="0.2">
      <c r="B5179" s="31">
        <v>5170</v>
      </c>
      <c r="J5179">
        <f t="shared" si="86"/>
        <v>105000</v>
      </c>
      <c r="K5179" t="e">
        <f>VLOOKUP(B5179,'REGISTRO ABONOS'!$B$8:$BC$10041,54,0)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hidden="1" x14ac:dyDescent="0.2">
      <c r="B5180" s="31">
        <v>5171</v>
      </c>
      <c r="J5180">
        <f t="shared" si="86"/>
        <v>105000</v>
      </c>
      <c r="K5180" t="e">
        <f>VLOOKUP(B5180,'REGISTRO ABONOS'!$B$8:$BC$10041,54,0)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hidden="1" x14ac:dyDescent="0.2">
      <c r="B5181" s="31">
        <v>5172</v>
      </c>
      <c r="J5181">
        <f t="shared" si="86"/>
        <v>105000</v>
      </c>
      <c r="K5181" t="e">
        <f>VLOOKUP(B5181,'REGISTRO ABONOS'!$B$8:$BC$10041,54,0)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hidden="1" x14ac:dyDescent="0.2">
      <c r="B5182" s="31">
        <v>5173</v>
      </c>
      <c r="J5182">
        <f t="shared" si="86"/>
        <v>105000</v>
      </c>
      <c r="K5182" t="e">
        <f>VLOOKUP(B5182,'REGISTRO ABONOS'!$B$8:$BC$10041,54,0)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hidden="1" x14ac:dyDescent="0.2">
      <c r="B5183" s="31">
        <v>5174</v>
      </c>
      <c r="J5183">
        <f t="shared" si="86"/>
        <v>105000</v>
      </c>
      <c r="K5183" t="e">
        <f>VLOOKUP(B5183,'REGISTRO ABONOS'!$B$8:$BC$10041,54,0)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hidden="1" x14ac:dyDescent="0.2">
      <c r="B5184" s="31">
        <v>5175</v>
      </c>
      <c r="J5184">
        <f t="shared" si="86"/>
        <v>105000</v>
      </c>
      <c r="K5184" t="e">
        <f>VLOOKUP(B5184,'REGISTRO ABONOS'!$B$8:$BC$10041,54,0)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hidden="1" x14ac:dyDescent="0.2">
      <c r="B5185" s="31">
        <v>5176</v>
      </c>
      <c r="J5185">
        <f t="shared" si="86"/>
        <v>105000</v>
      </c>
      <c r="K5185" t="e">
        <f>VLOOKUP(B5185,'REGISTRO ABONOS'!$B$8:$BC$10041,54,0)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hidden="1" x14ac:dyDescent="0.2">
      <c r="B5186" s="31">
        <v>5177</v>
      </c>
      <c r="J5186">
        <f t="shared" si="86"/>
        <v>105000</v>
      </c>
      <c r="K5186" t="e">
        <f>VLOOKUP(B5186,'REGISTRO ABONOS'!$B$8:$BC$10041,54,0)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hidden="1" x14ac:dyDescent="0.2">
      <c r="B5187" s="31">
        <v>5178</v>
      </c>
      <c r="J5187">
        <f t="shared" si="86"/>
        <v>105000</v>
      </c>
      <c r="K5187" t="e">
        <f>VLOOKUP(B5187,'REGISTRO ABONOS'!$B$8:$BC$10041,54,0)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hidden="1" x14ac:dyDescent="0.2">
      <c r="B5188" s="31">
        <v>5179</v>
      </c>
      <c r="J5188">
        <f t="shared" si="86"/>
        <v>105000</v>
      </c>
      <c r="K5188" t="e">
        <f>VLOOKUP(B5188,'REGISTRO ABONOS'!$B$8:$BC$10041,54,0)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hidden="1" x14ac:dyDescent="0.2">
      <c r="B5189" s="31">
        <v>5180</v>
      </c>
      <c r="J5189">
        <f t="shared" si="86"/>
        <v>105000</v>
      </c>
      <c r="K5189" t="e">
        <f>VLOOKUP(B5189,'REGISTRO ABONOS'!$B$8:$BC$10041,54,0)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hidden="1" x14ac:dyDescent="0.2">
      <c r="B5190" s="31">
        <v>5181</v>
      </c>
      <c r="J5190">
        <f t="shared" si="86"/>
        <v>105000</v>
      </c>
      <c r="K5190" t="e">
        <f>VLOOKUP(B5190,'REGISTRO ABONOS'!$B$8:$BC$10041,54,0)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hidden="1" x14ac:dyDescent="0.2">
      <c r="B5191" s="31">
        <v>5182</v>
      </c>
      <c r="J5191">
        <f t="shared" si="86"/>
        <v>105000</v>
      </c>
      <c r="K5191" t="e">
        <f>VLOOKUP(B5191,'REGISTRO ABONOS'!$B$8:$BC$10041,54,0)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hidden="1" x14ac:dyDescent="0.2">
      <c r="B5192" s="31">
        <v>5183</v>
      </c>
      <c r="J5192">
        <f t="shared" si="86"/>
        <v>105000</v>
      </c>
      <c r="K5192" t="e">
        <f>VLOOKUP(B5192,'REGISTRO ABONOS'!$B$8:$BC$10041,54,0)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hidden="1" x14ac:dyDescent="0.2">
      <c r="B5193" s="31">
        <v>5184</v>
      </c>
      <c r="J5193">
        <f t="shared" si="86"/>
        <v>105000</v>
      </c>
      <c r="K5193" t="e">
        <f>VLOOKUP(B5193,'REGISTRO ABONOS'!$B$8:$BC$10041,54,0)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hidden="1" x14ac:dyDescent="0.2">
      <c r="B5194" s="31">
        <v>5185</v>
      </c>
      <c r="J5194">
        <f t="shared" si="86"/>
        <v>105000</v>
      </c>
      <c r="K5194" t="e">
        <f>VLOOKUP(B5194,'REGISTRO ABONOS'!$B$8:$BC$10041,54,0)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hidden="1" x14ac:dyDescent="0.2">
      <c r="B5195" s="31">
        <v>5186</v>
      </c>
      <c r="J5195">
        <f t="shared" si="86"/>
        <v>105000</v>
      </c>
      <c r="K5195" t="e">
        <f>VLOOKUP(B5195,'REGISTRO ABONOS'!$B$8:$BC$10041,54,0)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hidden="1" x14ac:dyDescent="0.2">
      <c r="B5196" s="31">
        <v>5187</v>
      </c>
      <c r="J5196">
        <f t="shared" si="86"/>
        <v>105000</v>
      </c>
      <c r="K5196" t="e">
        <f>VLOOKUP(B5196,'REGISTRO ABONOS'!$B$8:$BC$10041,54,0)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hidden="1" x14ac:dyDescent="0.2">
      <c r="B5197" s="31">
        <v>5188</v>
      </c>
      <c r="J5197">
        <f t="shared" si="86"/>
        <v>105000</v>
      </c>
      <c r="K5197" t="e">
        <f>VLOOKUP(B5197,'REGISTRO ABONOS'!$B$8:$BC$10041,54,0)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hidden="1" x14ac:dyDescent="0.2">
      <c r="B5198" s="31">
        <v>5189</v>
      </c>
      <c r="J5198">
        <f t="shared" si="86"/>
        <v>105000</v>
      </c>
      <c r="K5198" t="e">
        <f>VLOOKUP(B5198,'REGISTRO ABONOS'!$B$8:$BC$10041,54,0)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hidden="1" x14ac:dyDescent="0.2">
      <c r="B5199" s="31">
        <v>5190</v>
      </c>
      <c r="J5199">
        <f t="shared" si="86"/>
        <v>105000</v>
      </c>
      <c r="K5199" t="e">
        <f>VLOOKUP(B5199,'REGISTRO ABONOS'!$B$8:$BC$10041,54,0)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hidden="1" x14ac:dyDescent="0.2">
      <c r="B5200" s="31">
        <v>5191</v>
      </c>
      <c r="J5200">
        <f t="shared" si="86"/>
        <v>105000</v>
      </c>
      <c r="K5200" t="e">
        <f>VLOOKUP(B5200,'REGISTRO ABONOS'!$B$8:$BC$10041,54,0)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hidden="1" x14ac:dyDescent="0.2">
      <c r="B5201" s="31">
        <v>5192</v>
      </c>
      <c r="J5201">
        <f t="shared" si="86"/>
        <v>105000</v>
      </c>
      <c r="K5201" t="e">
        <f>VLOOKUP(B5201,'REGISTRO ABONOS'!$B$8:$BC$10041,54,0)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hidden="1" x14ac:dyDescent="0.2">
      <c r="B5202" s="31">
        <v>5193</v>
      </c>
      <c r="J5202">
        <f t="shared" si="86"/>
        <v>105000</v>
      </c>
      <c r="K5202" t="e">
        <f>VLOOKUP(B5202,'REGISTRO ABONOS'!$B$8:$BC$10041,54,0)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hidden="1" x14ac:dyDescent="0.2">
      <c r="B5203" s="31">
        <v>5194</v>
      </c>
      <c r="J5203">
        <f t="shared" si="86"/>
        <v>105000</v>
      </c>
      <c r="K5203" t="e">
        <f>VLOOKUP(B5203,'REGISTRO ABONOS'!$B$8:$BC$10041,54,0)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hidden="1" x14ac:dyDescent="0.2">
      <c r="B5204" s="31">
        <v>5195</v>
      </c>
      <c r="J5204">
        <f t="shared" si="86"/>
        <v>105000</v>
      </c>
      <c r="K5204" t="e">
        <f>VLOOKUP(B5204,'REGISTRO ABONOS'!$B$8:$BC$10041,54,0)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hidden="1" x14ac:dyDescent="0.2">
      <c r="B5205" s="31">
        <v>5196</v>
      </c>
      <c r="J5205">
        <f t="shared" si="86"/>
        <v>105000</v>
      </c>
      <c r="K5205" t="e">
        <f>VLOOKUP(B5205,'REGISTRO ABONOS'!$B$8:$BC$10041,54,0)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hidden="1" x14ac:dyDescent="0.2">
      <c r="B5206" s="31">
        <v>5197</v>
      </c>
      <c r="J5206">
        <f t="shared" si="86"/>
        <v>105000</v>
      </c>
      <c r="K5206" t="e">
        <f>VLOOKUP(B5206,'REGISTRO ABONOS'!$B$8:$BC$10041,54,0)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hidden="1" x14ac:dyDescent="0.2">
      <c r="B5207" s="31">
        <v>5198</v>
      </c>
      <c r="J5207">
        <f t="shared" si="86"/>
        <v>105000</v>
      </c>
      <c r="K5207" t="e">
        <f>VLOOKUP(B5207,'REGISTRO ABONOS'!$B$8:$BC$10041,54,0)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hidden="1" x14ac:dyDescent="0.2">
      <c r="B5208" s="31">
        <v>5199</v>
      </c>
      <c r="J5208">
        <f t="shared" si="86"/>
        <v>105000</v>
      </c>
      <c r="K5208" t="e">
        <f>VLOOKUP(B5208,'REGISTRO ABONOS'!$B$8:$BC$10041,54,0)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hidden="1" x14ac:dyDescent="0.2">
      <c r="B5209" s="31">
        <v>5200</v>
      </c>
      <c r="J5209">
        <f t="shared" si="86"/>
        <v>105000</v>
      </c>
      <c r="K5209" t="e">
        <f>VLOOKUP(B5209,'REGISTRO ABONOS'!$B$8:$BC$10041,54,0)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hidden="1" x14ac:dyDescent="0.2">
      <c r="B5210" s="31">
        <v>5201</v>
      </c>
      <c r="J5210">
        <f t="shared" si="86"/>
        <v>105000</v>
      </c>
      <c r="K5210" t="e">
        <f>VLOOKUP(B5210,'REGISTRO ABONOS'!$B$8:$BC$10041,54,0)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hidden="1" x14ac:dyDescent="0.2">
      <c r="B5211" s="31">
        <v>5202</v>
      </c>
      <c r="J5211">
        <f t="shared" si="86"/>
        <v>105000</v>
      </c>
      <c r="K5211" t="e">
        <f>VLOOKUP(B5211,'REGISTRO ABONOS'!$B$8:$BC$10041,54,0)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hidden="1" x14ac:dyDescent="0.2">
      <c r="B5212" s="31">
        <v>5203</v>
      </c>
      <c r="J5212">
        <f t="shared" si="86"/>
        <v>105000</v>
      </c>
      <c r="K5212" t="e">
        <f>VLOOKUP(B5212,'REGISTRO ABONOS'!$B$8:$BC$10041,54,0)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hidden="1" x14ac:dyDescent="0.2">
      <c r="B5213" s="31">
        <v>5204</v>
      </c>
      <c r="J5213">
        <f t="shared" si="86"/>
        <v>105000</v>
      </c>
      <c r="K5213" t="e">
        <f>VLOOKUP(B5213,'REGISTRO ABONOS'!$B$8:$BC$10041,54,0)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hidden="1" x14ac:dyDescent="0.2">
      <c r="B5214" s="31">
        <v>5205</v>
      </c>
      <c r="J5214">
        <f t="shared" si="86"/>
        <v>105000</v>
      </c>
      <c r="K5214" t="e">
        <f>VLOOKUP(B5214,'REGISTRO ABONOS'!$B$8:$BC$10041,54,0)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hidden="1" x14ac:dyDescent="0.2">
      <c r="B5215" s="31">
        <v>5206</v>
      </c>
      <c r="J5215">
        <f t="shared" si="86"/>
        <v>105000</v>
      </c>
      <c r="K5215" t="e">
        <f>VLOOKUP(B5215,'REGISTRO ABONOS'!$B$8:$BC$10041,54,0)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hidden="1" x14ac:dyDescent="0.2">
      <c r="B5216" s="31">
        <v>5207</v>
      </c>
      <c r="J5216">
        <f t="shared" si="86"/>
        <v>105000</v>
      </c>
      <c r="K5216" t="e">
        <f>VLOOKUP(B5216,'REGISTRO ABONOS'!$B$8:$BC$10041,54,0)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hidden="1" x14ac:dyDescent="0.2">
      <c r="B5217" s="31">
        <v>5208</v>
      </c>
      <c r="J5217">
        <f t="shared" si="86"/>
        <v>105000</v>
      </c>
      <c r="K5217" t="e">
        <f>VLOOKUP(B5217,'REGISTRO ABONOS'!$B$8:$BC$10041,54,0)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hidden="1" x14ac:dyDescent="0.2">
      <c r="B5218" s="31">
        <v>5209</v>
      </c>
      <c r="J5218">
        <f t="shared" si="86"/>
        <v>105000</v>
      </c>
      <c r="K5218" t="e">
        <f>VLOOKUP(B5218,'REGISTRO ABONOS'!$B$8:$BC$10041,54,0)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hidden="1" x14ac:dyDescent="0.2">
      <c r="B5219" s="31">
        <v>5210</v>
      </c>
      <c r="J5219">
        <f t="shared" si="86"/>
        <v>105000</v>
      </c>
      <c r="K5219" t="e">
        <f>VLOOKUP(B5219,'REGISTRO ABONOS'!$B$8:$BC$10041,54,0)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hidden="1" x14ac:dyDescent="0.2">
      <c r="B5220" s="31">
        <v>5211</v>
      </c>
      <c r="J5220">
        <f t="shared" si="86"/>
        <v>105000</v>
      </c>
      <c r="K5220" t="e">
        <f>VLOOKUP(B5220,'REGISTRO ABONOS'!$B$8:$BC$10041,54,0)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hidden="1" x14ac:dyDescent="0.2">
      <c r="B5221" s="31">
        <v>5212</v>
      </c>
      <c r="J5221">
        <f t="shared" si="86"/>
        <v>105000</v>
      </c>
      <c r="K5221" t="e">
        <f>VLOOKUP(B5221,'REGISTRO ABONOS'!$B$8:$BC$10041,54,0)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hidden="1" x14ac:dyDescent="0.2">
      <c r="B5222" s="31">
        <v>5213</v>
      </c>
      <c r="J5222">
        <f t="shared" si="86"/>
        <v>105000</v>
      </c>
      <c r="K5222" t="e">
        <f>VLOOKUP(B5222,'REGISTRO ABONOS'!$B$8:$BC$10041,54,0)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hidden="1" x14ac:dyDescent="0.2">
      <c r="B5223" s="31">
        <v>5214</v>
      </c>
      <c r="J5223">
        <f t="shared" si="86"/>
        <v>105000</v>
      </c>
      <c r="K5223" t="e">
        <f>VLOOKUP(B5223,'REGISTRO ABONOS'!$B$8:$BC$10041,54,0)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hidden="1" x14ac:dyDescent="0.2">
      <c r="B5224" s="31">
        <v>5215</v>
      </c>
      <c r="J5224">
        <f t="shared" si="86"/>
        <v>105000</v>
      </c>
      <c r="K5224" t="e">
        <f>VLOOKUP(B5224,'REGISTRO ABONOS'!$B$8:$BC$10041,54,0)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hidden="1" x14ac:dyDescent="0.2">
      <c r="B5225" s="31">
        <v>5216</v>
      </c>
      <c r="J5225">
        <f t="shared" si="86"/>
        <v>105000</v>
      </c>
      <c r="K5225" t="e">
        <f>VLOOKUP(B5225,'REGISTRO ABONOS'!$B$8:$BC$10041,54,0)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hidden="1" x14ac:dyDescent="0.2">
      <c r="B5226" s="31">
        <v>5217</v>
      </c>
      <c r="J5226">
        <f t="shared" si="86"/>
        <v>105000</v>
      </c>
      <c r="K5226" t="e">
        <f>VLOOKUP(B5226,'REGISTRO ABONOS'!$B$8:$BC$10041,54,0)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hidden="1" x14ac:dyDescent="0.2">
      <c r="B5227" s="31">
        <v>5218</v>
      </c>
      <c r="J5227">
        <f t="shared" si="86"/>
        <v>105000</v>
      </c>
      <c r="K5227" t="e">
        <f>VLOOKUP(B5227,'REGISTRO ABONOS'!$B$8:$BC$10041,54,0)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hidden="1" x14ac:dyDescent="0.2">
      <c r="B5228" s="31">
        <v>5219</v>
      </c>
      <c r="J5228">
        <f t="shared" si="86"/>
        <v>105000</v>
      </c>
      <c r="K5228" t="e">
        <f>VLOOKUP(B5228,'REGISTRO ABONOS'!$B$8:$BC$10041,54,0)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hidden="1" x14ac:dyDescent="0.2">
      <c r="B5229" s="31">
        <v>5220</v>
      </c>
      <c r="J5229">
        <f t="shared" si="86"/>
        <v>105000</v>
      </c>
      <c r="K5229" t="e">
        <f>VLOOKUP(B5229,'REGISTRO ABONOS'!$B$8:$BC$10041,54,0)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hidden="1" x14ac:dyDescent="0.2">
      <c r="B5230" s="31">
        <v>5221</v>
      </c>
      <c r="J5230">
        <f t="shared" si="86"/>
        <v>105000</v>
      </c>
      <c r="K5230" t="e">
        <f>VLOOKUP(B5230,'REGISTRO ABONOS'!$B$8:$BC$10041,54,0)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hidden="1" x14ac:dyDescent="0.2">
      <c r="B5231" s="31">
        <v>5222</v>
      </c>
      <c r="J5231">
        <f t="shared" si="86"/>
        <v>105000</v>
      </c>
      <c r="K5231" t="e">
        <f>VLOOKUP(B5231,'REGISTRO ABONOS'!$B$8:$BC$10041,54,0)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hidden="1" x14ac:dyDescent="0.2">
      <c r="B5232" s="31">
        <v>5223</v>
      </c>
      <c r="J5232">
        <f t="shared" si="86"/>
        <v>105000</v>
      </c>
      <c r="K5232" t="e">
        <f>VLOOKUP(B5232,'REGISTRO ABONOS'!$B$8:$BC$10041,54,0)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hidden="1" x14ac:dyDescent="0.2">
      <c r="B5233" s="31">
        <v>5224</v>
      </c>
      <c r="J5233">
        <f t="shared" si="86"/>
        <v>105000</v>
      </c>
      <c r="K5233" t="e">
        <f>VLOOKUP(B5233,'REGISTRO ABONOS'!$B$8:$BC$10041,54,0)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hidden="1" x14ac:dyDescent="0.2">
      <c r="B5234" s="31">
        <v>5225</v>
      </c>
      <c r="J5234">
        <f t="shared" si="86"/>
        <v>105000</v>
      </c>
      <c r="K5234" t="e">
        <f>VLOOKUP(B5234,'REGISTRO ABONOS'!$B$8:$BC$10041,54,0)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hidden="1" x14ac:dyDescent="0.2">
      <c r="B5235" s="31">
        <v>5226</v>
      </c>
      <c r="J5235">
        <f t="shared" si="86"/>
        <v>105000</v>
      </c>
      <c r="K5235" t="e">
        <f>VLOOKUP(B5235,'REGISTRO ABONOS'!$B$8:$BC$10041,54,0)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hidden="1" x14ac:dyDescent="0.2">
      <c r="B5236" s="31">
        <v>5227</v>
      </c>
      <c r="J5236">
        <f t="shared" si="86"/>
        <v>105000</v>
      </c>
      <c r="K5236" t="e">
        <f>VLOOKUP(B5236,'REGISTRO ABONOS'!$B$8:$BC$10041,54,0)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hidden="1" x14ac:dyDescent="0.2">
      <c r="B5237" s="31">
        <v>5228</v>
      </c>
      <c r="J5237">
        <f t="shared" si="86"/>
        <v>105000</v>
      </c>
      <c r="K5237" t="e">
        <f>VLOOKUP(B5237,'REGISTRO ABONOS'!$B$8:$BC$10041,54,0)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hidden="1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ABONOS'!$B$8:$BC$10041,54,0)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hidden="1" x14ac:dyDescent="0.2">
      <c r="B5239" s="31">
        <v>5230</v>
      </c>
      <c r="J5239">
        <f t="shared" si="87"/>
        <v>105000</v>
      </c>
      <c r="K5239" t="e">
        <f>VLOOKUP(B5239,'REGISTRO ABONOS'!$B$8:$BC$10041,54,0)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hidden="1" x14ac:dyDescent="0.2">
      <c r="B5240" s="31">
        <v>5231</v>
      </c>
      <c r="J5240">
        <f t="shared" si="87"/>
        <v>105000</v>
      </c>
      <c r="K5240" t="e">
        <f>VLOOKUP(B5240,'REGISTRO ABONOS'!$B$8:$BC$10041,54,0)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hidden="1" x14ac:dyDescent="0.2">
      <c r="B5241" s="31">
        <v>5232</v>
      </c>
      <c r="J5241">
        <f t="shared" si="87"/>
        <v>105000</v>
      </c>
      <c r="K5241" t="e">
        <f>VLOOKUP(B5241,'REGISTRO ABONOS'!$B$8:$BC$10041,54,0)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hidden="1" x14ac:dyDescent="0.2">
      <c r="B5242" s="31">
        <v>5233</v>
      </c>
      <c r="J5242">
        <f t="shared" si="87"/>
        <v>105000</v>
      </c>
      <c r="K5242" t="e">
        <f>VLOOKUP(B5242,'REGISTRO ABONOS'!$B$8:$BC$10041,54,0)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hidden="1" x14ac:dyDescent="0.2">
      <c r="B5243" s="31">
        <v>5234</v>
      </c>
      <c r="J5243">
        <f t="shared" si="87"/>
        <v>105000</v>
      </c>
      <c r="K5243" t="e">
        <f>VLOOKUP(B5243,'REGISTRO ABONOS'!$B$8:$BC$10041,54,0)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hidden="1" x14ac:dyDescent="0.2">
      <c r="B5244" s="31">
        <v>5235</v>
      </c>
      <c r="J5244">
        <f t="shared" si="87"/>
        <v>105000</v>
      </c>
      <c r="K5244" t="e">
        <f>VLOOKUP(B5244,'REGISTRO ABONOS'!$B$8:$BC$10041,54,0)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hidden="1" x14ac:dyDescent="0.2">
      <c r="B5245" s="31">
        <v>5236</v>
      </c>
      <c r="J5245">
        <f t="shared" si="87"/>
        <v>105000</v>
      </c>
      <c r="K5245" t="e">
        <f>VLOOKUP(B5245,'REGISTRO ABONOS'!$B$8:$BC$10041,54,0)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hidden="1" x14ac:dyDescent="0.2">
      <c r="B5246" s="31">
        <v>5237</v>
      </c>
      <c r="J5246">
        <f t="shared" si="87"/>
        <v>105000</v>
      </c>
      <c r="K5246" t="e">
        <f>VLOOKUP(B5246,'REGISTRO ABONOS'!$B$8:$BC$10041,54,0)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hidden="1" x14ac:dyDescent="0.2">
      <c r="B5247" s="31">
        <v>5238</v>
      </c>
      <c r="J5247">
        <f t="shared" si="87"/>
        <v>105000</v>
      </c>
      <c r="K5247" t="e">
        <f>VLOOKUP(B5247,'REGISTRO ABONOS'!$B$8:$BC$10041,54,0)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hidden="1" x14ac:dyDescent="0.2">
      <c r="B5248" s="31">
        <v>5239</v>
      </c>
      <c r="J5248">
        <f t="shared" si="87"/>
        <v>105000</v>
      </c>
      <c r="K5248" t="e">
        <f>VLOOKUP(B5248,'REGISTRO ABONOS'!$B$8:$BC$10041,54,0)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hidden="1" x14ac:dyDescent="0.2">
      <c r="B5249" s="31">
        <v>5240</v>
      </c>
      <c r="J5249">
        <f t="shared" si="87"/>
        <v>105000</v>
      </c>
      <c r="K5249" t="e">
        <f>VLOOKUP(B5249,'REGISTRO ABONOS'!$B$8:$BC$10041,54,0)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hidden="1" x14ac:dyDescent="0.2">
      <c r="B5250" s="31">
        <v>5241</v>
      </c>
      <c r="J5250">
        <f t="shared" si="87"/>
        <v>105000</v>
      </c>
      <c r="K5250" t="e">
        <f>VLOOKUP(B5250,'REGISTRO ABONOS'!$B$8:$BC$10041,54,0)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hidden="1" x14ac:dyDescent="0.2">
      <c r="B5251" s="31">
        <v>5242</v>
      </c>
      <c r="J5251">
        <f t="shared" si="87"/>
        <v>105000</v>
      </c>
      <c r="K5251" t="e">
        <f>VLOOKUP(B5251,'REGISTRO ABONOS'!$B$8:$BC$10041,54,0)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hidden="1" x14ac:dyDescent="0.2">
      <c r="B5252" s="31">
        <v>5243</v>
      </c>
      <c r="J5252">
        <f t="shared" si="87"/>
        <v>105000</v>
      </c>
      <c r="K5252" t="e">
        <f>VLOOKUP(B5252,'REGISTRO ABONOS'!$B$8:$BC$10041,54,0)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hidden="1" x14ac:dyDescent="0.2">
      <c r="B5253" s="31">
        <v>5244</v>
      </c>
      <c r="J5253">
        <f t="shared" si="87"/>
        <v>105000</v>
      </c>
      <c r="K5253" t="e">
        <f>VLOOKUP(B5253,'REGISTRO ABONOS'!$B$8:$BC$10041,54,0)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hidden="1" x14ac:dyDescent="0.2">
      <c r="B5254" s="31">
        <v>5245</v>
      </c>
      <c r="J5254">
        <f t="shared" si="87"/>
        <v>105000</v>
      </c>
      <c r="K5254" t="e">
        <f>VLOOKUP(B5254,'REGISTRO ABONOS'!$B$8:$BC$10041,54,0)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hidden="1" x14ac:dyDescent="0.2">
      <c r="B5255" s="31">
        <v>5246</v>
      </c>
      <c r="J5255">
        <f t="shared" si="87"/>
        <v>105000</v>
      </c>
      <c r="K5255" t="e">
        <f>VLOOKUP(B5255,'REGISTRO ABONOS'!$B$8:$BC$10041,54,0)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hidden="1" x14ac:dyDescent="0.2">
      <c r="B5256" s="31">
        <v>5247</v>
      </c>
      <c r="J5256">
        <f t="shared" si="87"/>
        <v>105000</v>
      </c>
      <c r="K5256" t="e">
        <f>VLOOKUP(B5256,'REGISTRO ABONOS'!$B$8:$BC$10041,54,0)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hidden="1" x14ac:dyDescent="0.2">
      <c r="B5257" s="31">
        <v>5248</v>
      </c>
      <c r="J5257">
        <f t="shared" si="87"/>
        <v>105000</v>
      </c>
      <c r="K5257" t="e">
        <f>VLOOKUP(B5257,'REGISTRO ABONOS'!$B$8:$BC$10041,54,0)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hidden="1" x14ac:dyDescent="0.2">
      <c r="B5258" s="31">
        <v>5249</v>
      </c>
      <c r="J5258">
        <f t="shared" si="87"/>
        <v>105000</v>
      </c>
      <c r="K5258" t="e">
        <f>VLOOKUP(B5258,'REGISTRO ABONOS'!$B$8:$BC$10041,54,0)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hidden="1" x14ac:dyDescent="0.2">
      <c r="B5259" s="31">
        <v>5250</v>
      </c>
      <c r="J5259">
        <f t="shared" si="87"/>
        <v>105000</v>
      </c>
      <c r="K5259" t="e">
        <f>VLOOKUP(B5259,'REGISTRO ABONOS'!$B$8:$BC$10041,54,0)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hidden="1" x14ac:dyDescent="0.2">
      <c r="B5260" s="31">
        <v>5251</v>
      </c>
      <c r="J5260">
        <f t="shared" si="87"/>
        <v>105000</v>
      </c>
      <c r="K5260" t="e">
        <f>VLOOKUP(B5260,'REGISTRO ABONOS'!$B$8:$BC$10041,54,0)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hidden="1" x14ac:dyDescent="0.2">
      <c r="B5261" s="31">
        <v>5252</v>
      </c>
      <c r="J5261">
        <f t="shared" si="87"/>
        <v>105000</v>
      </c>
      <c r="K5261" t="e">
        <f>VLOOKUP(B5261,'REGISTRO ABONOS'!$B$8:$BC$10041,54,0)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hidden="1" x14ac:dyDescent="0.2">
      <c r="B5262" s="31">
        <v>5253</v>
      </c>
      <c r="J5262">
        <f t="shared" si="87"/>
        <v>105000</v>
      </c>
      <c r="K5262" t="e">
        <f>VLOOKUP(B5262,'REGISTRO ABONOS'!$B$8:$BC$10041,54,0)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hidden="1" x14ac:dyDescent="0.2">
      <c r="B5263" s="31">
        <v>5254</v>
      </c>
      <c r="J5263">
        <f t="shared" si="87"/>
        <v>105000</v>
      </c>
      <c r="K5263" t="e">
        <f>VLOOKUP(B5263,'REGISTRO ABONOS'!$B$8:$BC$10041,54,0)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hidden="1" x14ac:dyDescent="0.2">
      <c r="B5264" s="31">
        <v>5255</v>
      </c>
      <c r="J5264">
        <f t="shared" si="87"/>
        <v>105000</v>
      </c>
      <c r="K5264" t="e">
        <f>VLOOKUP(B5264,'REGISTRO ABONOS'!$B$8:$BC$10041,54,0)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hidden="1" x14ac:dyDescent="0.2">
      <c r="B5265" s="31">
        <v>5256</v>
      </c>
      <c r="J5265">
        <f t="shared" si="87"/>
        <v>105000</v>
      </c>
      <c r="K5265" t="e">
        <f>VLOOKUP(B5265,'REGISTRO ABONOS'!$B$8:$BC$10041,54,0)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hidden="1" x14ac:dyDescent="0.2">
      <c r="B5266" s="31">
        <v>5257</v>
      </c>
      <c r="J5266">
        <f t="shared" si="87"/>
        <v>105000</v>
      </c>
      <c r="K5266" t="e">
        <f>VLOOKUP(B5266,'REGISTRO ABONOS'!$B$8:$BC$10041,54,0)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hidden="1" x14ac:dyDescent="0.2">
      <c r="B5267" s="31">
        <v>5258</v>
      </c>
      <c r="J5267">
        <f t="shared" si="87"/>
        <v>105000</v>
      </c>
      <c r="K5267" t="e">
        <f>VLOOKUP(B5267,'REGISTRO ABONOS'!$B$8:$BC$10041,54,0)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hidden="1" x14ac:dyDescent="0.2">
      <c r="B5268" s="31">
        <v>5259</v>
      </c>
      <c r="J5268">
        <f t="shared" si="87"/>
        <v>105000</v>
      </c>
      <c r="K5268" t="e">
        <f>VLOOKUP(B5268,'REGISTRO ABONOS'!$B$8:$BC$10041,54,0)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hidden="1" x14ac:dyDescent="0.2">
      <c r="B5269" s="31">
        <v>5260</v>
      </c>
      <c r="J5269">
        <f t="shared" si="87"/>
        <v>105000</v>
      </c>
      <c r="K5269" t="e">
        <f>VLOOKUP(B5269,'REGISTRO ABONOS'!$B$8:$BC$10041,54,0)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hidden="1" x14ac:dyDescent="0.2">
      <c r="B5270" s="31">
        <v>5261</v>
      </c>
      <c r="J5270">
        <f t="shared" si="87"/>
        <v>105000</v>
      </c>
      <c r="K5270" t="e">
        <f>VLOOKUP(B5270,'REGISTRO ABONOS'!$B$8:$BC$10041,54,0)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hidden="1" x14ac:dyDescent="0.2">
      <c r="B5271" s="31">
        <v>5262</v>
      </c>
      <c r="J5271">
        <f t="shared" si="87"/>
        <v>105000</v>
      </c>
      <c r="K5271" t="e">
        <f>VLOOKUP(B5271,'REGISTRO ABONOS'!$B$8:$BC$10041,54,0)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hidden="1" x14ac:dyDescent="0.2">
      <c r="B5272" s="31">
        <v>5263</v>
      </c>
      <c r="J5272">
        <f t="shared" si="87"/>
        <v>105000</v>
      </c>
      <c r="K5272" t="e">
        <f>VLOOKUP(B5272,'REGISTRO ABONOS'!$B$8:$BC$10041,54,0)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hidden="1" x14ac:dyDescent="0.2">
      <c r="B5273" s="31">
        <v>5264</v>
      </c>
      <c r="J5273">
        <f t="shared" si="87"/>
        <v>105000</v>
      </c>
      <c r="K5273" t="e">
        <f>VLOOKUP(B5273,'REGISTRO ABONOS'!$B$8:$BC$10041,54,0)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hidden="1" x14ac:dyDescent="0.2">
      <c r="B5274" s="31">
        <v>5265</v>
      </c>
      <c r="J5274">
        <f t="shared" si="87"/>
        <v>105000</v>
      </c>
      <c r="K5274" t="e">
        <f>VLOOKUP(B5274,'REGISTRO ABONOS'!$B$8:$BC$10041,54,0)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hidden="1" x14ac:dyDescent="0.2">
      <c r="B5275" s="31">
        <v>5266</v>
      </c>
      <c r="J5275">
        <f t="shared" si="87"/>
        <v>105000</v>
      </c>
      <c r="K5275" t="e">
        <f>VLOOKUP(B5275,'REGISTRO ABONOS'!$B$8:$BC$10041,54,0)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hidden="1" x14ac:dyDescent="0.2">
      <c r="B5276" s="31">
        <v>5267</v>
      </c>
      <c r="J5276">
        <f t="shared" si="87"/>
        <v>105000</v>
      </c>
      <c r="K5276" t="e">
        <f>VLOOKUP(B5276,'REGISTRO ABONOS'!$B$8:$BC$10041,54,0)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hidden="1" x14ac:dyDescent="0.2">
      <c r="B5277" s="31">
        <v>5268</v>
      </c>
      <c r="J5277">
        <f t="shared" si="87"/>
        <v>105000</v>
      </c>
      <c r="K5277" t="e">
        <f>VLOOKUP(B5277,'REGISTRO ABONOS'!$B$8:$BC$10041,54,0)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hidden="1" x14ac:dyDescent="0.2">
      <c r="B5278" s="31">
        <v>5269</v>
      </c>
      <c r="J5278">
        <f t="shared" si="87"/>
        <v>105000</v>
      </c>
      <c r="K5278" t="e">
        <f>VLOOKUP(B5278,'REGISTRO ABONOS'!$B$8:$BC$10041,54,0)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hidden="1" x14ac:dyDescent="0.2">
      <c r="B5279" s="31">
        <v>5270</v>
      </c>
      <c r="J5279">
        <f t="shared" si="87"/>
        <v>105000</v>
      </c>
      <c r="K5279" t="e">
        <f>VLOOKUP(B5279,'REGISTRO ABONOS'!$B$8:$BC$10041,54,0)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hidden="1" x14ac:dyDescent="0.2">
      <c r="B5280" s="31">
        <v>5271</v>
      </c>
      <c r="J5280">
        <f t="shared" si="87"/>
        <v>105000</v>
      </c>
      <c r="K5280" t="e">
        <f>VLOOKUP(B5280,'REGISTRO ABONOS'!$B$8:$BC$10041,54,0)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hidden="1" x14ac:dyDescent="0.2">
      <c r="B5281" s="31">
        <v>5272</v>
      </c>
      <c r="J5281">
        <f t="shared" si="87"/>
        <v>105000</v>
      </c>
      <c r="K5281" t="e">
        <f>VLOOKUP(B5281,'REGISTRO ABONOS'!$B$8:$BC$10041,54,0)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hidden="1" x14ac:dyDescent="0.2">
      <c r="B5282" s="31">
        <v>5273</v>
      </c>
      <c r="J5282">
        <f t="shared" si="87"/>
        <v>105000</v>
      </c>
      <c r="K5282" t="e">
        <f>VLOOKUP(B5282,'REGISTRO ABONOS'!$B$8:$BC$10041,54,0)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hidden="1" x14ac:dyDescent="0.2">
      <c r="B5283" s="31">
        <v>5274</v>
      </c>
      <c r="J5283">
        <f t="shared" si="87"/>
        <v>105000</v>
      </c>
      <c r="K5283" t="e">
        <f>VLOOKUP(B5283,'REGISTRO ABONOS'!$B$8:$BC$10041,54,0)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hidden="1" x14ac:dyDescent="0.2">
      <c r="B5284" s="31">
        <v>5275</v>
      </c>
      <c r="J5284">
        <f t="shared" si="87"/>
        <v>105000</v>
      </c>
      <c r="K5284" t="e">
        <f>VLOOKUP(B5284,'REGISTRO ABONOS'!$B$8:$BC$10041,54,0)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hidden="1" x14ac:dyDescent="0.2">
      <c r="B5285" s="31">
        <v>5276</v>
      </c>
      <c r="J5285">
        <f t="shared" si="87"/>
        <v>105000</v>
      </c>
      <c r="K5285" t="e">
        <f>VLOOKUP(B5285,'REGISTRO ABONOS'!$B$8:$BC$10041,54,0)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hidden="1" x14ac:dyDescent="0.2">
      <c r="B5286" s="31">
        <v>5277</v>
      </c>
      <c r="J5286">
        <f t="shared" si="87"/>
        <v>105000</v>
      </c>
      <c r="K5286" t="e">
        <f>VLOOKUP(B5286,'REGISTRO ABONOS'!$B$8:$BC$10041,54,0)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hidden="1" x14ac:dyDescent="0.2">
      <c r="B5287" s="31">
        <v>5278</v>
      </c>
      <c r="J5287">
        <f t="shared" si="87"/>
        <v>105000</v>
      </c>
      <c r="K5287" t="e">
        <f>VLOOKUP(B5287,'REGISTRO ABONOS'!$B$8:$BC$10041,54,0)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hidden="1" x14ac:dyDescent="0.2">
      <c r="B5288" s="31">
        <v>5279</v>
      </c>
      <c r="J5288">
        <f t="shared" si="87"/>
        <v>105000</v>
      </c>
      <c r="K5288" t="e">
        <f>VLOOKUP(B5288,'REGISTRO ABONOS'!$B$8:$BC$10041,54,0)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hidden="1" x14ac:dyDescent="0.2">
      <c r="B5289" s="31">
        <v>5280</v>
      </c>
      <c r="J5289">
        <f t="shared" si="87"/>
        <v>105000</v>
      </c>
      <c r="K5289" t="e">
        <f>VLOOKUP(B5289,'REGISTRO ABONOS'!$B$8:$BC$10041,54,0)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hidden="1" x14ac:dyDescent="0.2">
      <c r="B5290" s="31">
        <v>5281</v>
      </c>
      <c r="J5290">
        <f t="shared" si="87"/>
        <v>105000</v>
      </c>
      <c r="K5290" t="e">
        <f>VLOOKUP(B5290,'REGISTRO ABONOS'!$B$8:$BC$10041,54,0)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hidden="1" x14ac:dyDescent="0.2">
      <c r="B5291" s="31">
        <v>5282</v>
      </c>
      <c r="J5291">
        <f t="shared" si="87"/>
        <v>105000</v>
      </c>
      <c r="K5291" t="e">
        <f>VLOOKUP(B5291,'REGISTRO ABONOS'!$B$8:$BC$10041,54,0)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hidden="1" x14ac:dyDescent="0.2">
      <c r="B5292" s="31">
        <v>5283</v>
      </c>
      <c r="J5292">
        <f t="shared" si="87"/>
        <v>105000</v>
      </c>
      <c r="K5292" t="e">
        <f>VLOOKUP(B5292,'REGISTRO ABONOS'!$B$8:$BC$10041,54,0)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hidden="1" x14ac:dyDescent="0.2">
      <c r="B5293" s="31">
        <v>5284</v>
      </c>
      <c r="J5293">
        <f t="shared" si="87"/>
        <v>105000</v>
      </c>
      <c r="K5293" t="e">
        <f>VLOOKUP(B5293,'REGISTRO ABONOS'!$B$8:$BC$10041,54,0)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hidden="1" x14ac:dyDescent="0.2">
      <c r="B5294" s="31">
        <v>5285</v>
      </c>
      <c r="J5294">
        <f t="shared" si="87"/>
        <v>105000</v>
      </c>
      <c r="K5294" t="e">
        <f>VLOOKUP(B5294,'REGISTRO ABONOS'!$B$8:$BC$10041,54,0)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hidden="1" x14ac:dyDescent="0.2">
      <c r="B5295" s="31">
        <v>5286</v>
      </c>
      <c r="J5295">
        <f t="shared" si="87"/>
        <v>105000</v>
      </c>
      <c r="K5295" t="e">
        <f>VLOOKUP(B5295,'REGISTRO ABONOS'!$B$8:$BC$10041,54,0)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hidden="1" x14ac:dyDescent="0.2">
      <c r="B5296" s="31">
        <v>5287</v>
      </c>
      <c r="J5296">
        <f t="shared" si="87"/>
        <v>105000</v>
      </c>
      <c r="K5296" t="e">
        <f>VLOOKUP(B5296,'REGISTRO ABONOS'!$B$8:$BC$10041,54,0)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hidden="1" x14ac:dyDescent="0.2">
      <c r="B5297" s="31">
        <v>5288</v>
      </c>
      <c r="J5297">
        <f t="shared" si="87"/>
        <v>105000</v>
      </c>
      <c r="K5297" t="e">
        <f>VLOOKUP(B5297,'REGISTRO ABONOS'!$B$8:$BC$10041,54,0)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hidden="1" x14ac:dyDescent="0.2">
      <c r="B5298" s="31">
        <v>5289</v>
      </c>
      <c r="J5298">
        <f t="shared" si="87"/>
        <v>105000</v>
      </c>
      <c r="K5298" t="e">
        <f>VLOOKUP(B5298,'REGISTRO ABONOS'!$B$8:$BC$10041,54,0)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hidden="1" x14ac:dyDescent="0.2">
      <c r="B5299" s="31">
        <v>5290</v>
      </c>
      <c r="J5299">
        <f t="shared" si="87"/>
        <v>105000</v>
      </c>
      <c r="K5299" t="e">
        <f>VLOOKUP(B5299,'REGISTRO ABONOS'!$B$8:$BC$10041,54,0)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hidden="1" x14ac:dyDescent="0.2">
      <c r="B5300" s="31">
        <v>5291</v>
      </c>
      <c r="J5300">
        <f t="shared" si="87"/>
        <v>105000</v>
      </c>
      <c r="K5300" t="e">
        <f>VLOOKUP(B5300,'REGISTRO ABONOS'!$B$8:$BC$10041,54,0)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hidden="1" x14ac:dyDescent="0.2">
      <c r="B5301" s="31">
        <v>5292</v>
      </c>
      <c r="J5301">
        <f t="shared" si="87"/>
        <v>105000</v>
      </c>
      <c r="K5301" t="e">
        <f>VLOOKUP(B5301,'REGISTRO ABONOS'!$B$8:$BC$10041,54,0)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hidden="1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ABONOS'!$B$8:$BC$10041,54,0)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hidden="1" x14ac:dyDescent="0.2">
      <c r="B5303" s="31">
        <v>5294</v>
      </c>
      <c r="J5303">
        <f t="shared" si="88"/>
        <v>105000</v>
      </c>
      <c r="K5303" t="e">
        <f>VLOOKUP(B5303,'REGISTRO ABONOS'!$B$8:$BC$10041,54,0)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hidden="1" x14ac:dyDescent="0.2">
      <c r="B5304" s="31">
        <v>5295</v>
      </c>
      <c r="J5304">
        <f t="shared" si="88"/>
        <v>105000</v>
      </c>
      <c r="K5304" t="e">
        <f>VLOOKUP(B5304,'REGISTRO ABONOS'!$B$8:$BC$10041,54,0)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hidden="1" x14ac:dyDescent="0.2">
      <c r="B5305" s="31">
        <v>5296</v>
      </c>
      <c r="J5305">
        <f t="shared" si="88"/>
        <v>105000</v>
      </c>
      <c r="K5305" t="e">
        <f>VLOOKUP(B5305,'REGISTRO ABONOS'!$B$8:$BC$10041,54,0)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hidden="1" x14ac:dyDescent="0.2">
      <c r="B5306" s="31">
        <v>5297</v>
      </c>
      <c r="J5306">
        <f t="shared" si="88"/>
        <v>105000</v>
      </c>
      <c r="K5306" t="e">
        <f>VLOOKUP(B5306,'REGISTRO ABONOS'!$B$8:$BC$10041,54,0)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hidden="1" x14ac:dyDescent="0.2">
      <c r="B5307" s="31">
        <v>5298</v>
      </c>
      <c r="J5307">
        <f t="shared" si="88"/>
        <v>105000</v>
      </c>
      <c r="K5307" t="e">
        <f>VLOOKUP(B5307,'REGISTRO ABONOS'!$B$8:$BC$10041,54,0)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hidden="1" x14ac:dyDescent="0.2">
      <c r="B5308" s="31">
        <v>5299</v>
      </c>
      <c r="J5308">
        <f t="shared" si="88"/>
        <v>105000</v>
      </c>
      <c r="K5308" t="e">
        <f>VLOOKUP(B5308,'REGISTRO ABONOS'!$B$8:$BC$10041,54,0)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hidden="1" x14ac:dyDescent="0.2">
      <c r="B5309" s="31">
        <v>5300</v>
      </c>
      <c r="J5309">
        <f t="shared" si="88"/>
        <v>105000</v>
      </c>
      <c r="K5309" t="e">
        <f>VLOOKUP(B5309,'REGISTRO ABONOS'!$B$8:$BC$10041,54,0)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hidden="1" x14ac:dyDescent="0.2">
      <c r="B5310" s="31">
        <v>5301</v>
      </c>
      <c r="J5310">
        <f t="shared" si="88"/>
        <v>105000</v>
      </c>
      <c r="K5310" t="e">
        <f>VLOOKUP(B5310,'REGISTRO ABONOS'!$B$8:$BC$10041,54,0)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hidden="1" x14ac:dyDescent="0.2">
      <c r="B5311" s="31">
        <v>5302</v>
      </c>
      <c r="J5311">
        <f t="shared" si="88"/>
        <v>105000</v>
      </c>
      <c r="K5311" t="e">
        <f>VLOOKUP(B5311,'REGISTRO ABONOS'!$B$8:$BC$10041,54,0)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hidden="1" x14ac:dyDescent="0.2">
      <c r="B5312" s="31">
        <v>5303</v>
      </c>
      <c r="J5312">
        <f t="shared" si="88"/>
        <v>105000</v>
      </c>
      <c r="K5312" t="e">
        <f>VLOOKUP(B5312,'REGISTRO ABONOS'!$B$8:$BC$10041,54,0)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hidden="1" x14ac:dyDescent="0.2">
      <c r="B5313" s="31">
        <v>5304</v>
      </c>
      <c r="J5313">
        <f t="shared" si="88"/>
        <v>105000</v>
      </c>
      <c r="K5313" t="e">
        <f>VLOOKUP(B5313,'REGISTRO ABONOS'!$B$8:$BC$10041,54,0)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hidden="1" x14ac:dyDescent="0.2">
      <c r="B5314" s="31">
        <v>5305</v>
      </c>
      <c r="J5314">
        <f t="shared" si="88"/>
        <v>105000</v>
      </c>
      <c r="K5314" t="e">
        <f>VLOOKUP(B5314,'REGISTRO ABONOS'!$B$8:$BC$10041,54,0)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hidden="1" x14ac:dyDescent="0.2">
      <c r="B5315" s="31">
        <v>5306</v>
      </c>
      <c r="J5315">
        <f t="shared" si="88"/>
        <v>105000</v>
      </c>
      <c r="K5315" t="e">
        <f>VLOOKUP(B5315,'REGISTRO ABONOS'!$B$8:$BC$10041,54,0)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hidden="1" x14ac:dyDescent="0.2">
      <c r="B5316" s="31">
        <v>5307</v>
      </c>
      <c r="J5316">
        <f t="shared" si="88"/>
        <v>105000</v>
      </c>
      <c r="K5316" t="e">
        <f>VLOOKUP(B5316,'REGISTRO ABONOS'!$B$8:$BC$10041,54,0)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hidden="1" x14ac:dyDescent="0.2">
      <c r="B5317" s="31">
        <v>5308</v>
      </c>
      <c r="J5317">
        <f t="shared" si="88"/>
        <v>105000</v>
      </c>
      <c r="K5317" t="e">
        <f>VLOOKUP(B5317,'REGISTRO ABONOS'!$B$8:$BC$10041,54,0)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hidden="1" x14ac:dyDescent="0.2">
      <c r="B5318" s="31">
        <v>5309</v>
      </c>
      <c r="J5318">
        <f t="shared" si="88"/>
        <v>105000</v>
      </c>
      <c r="K5318" t="e">
        <f>VLOOKUP(B5318,'REGISTRO ABONOS'!$B$8:$BC$10041,54,0)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hidden="1" x14ac:dyDescent="0.2">
      <c r="B5319" s="31">
        <v>5310</v>
      </c>
      <c r="J5319">
        <f t="shared" si="88"/>
        <v>105000</v>
      </c>
      <c r="K5319" t="e">
        <f>VLOOKUP(B5319,'REGISTRO ABONOS'!$B$8:$BC$10041,54,0)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hidden="1" x14ac:dyDescent="0.2">
      <c r="B5320" s="31">
        <v>5311</v>
      </c>
      <c r="J5320">
        <f t="shared" si="88"/>
        <v>105000</v>
      </c>
      <c r="K5320" t="e">
        <f>VLOOKUP(B5320,'REGISTRO ABONOS'!$B$8:$BC$10041,54,0)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hidden="1" x14ac:dyDescent="0.2">
      <c r="B5321" s="31">
        <v>5312</v>
      </c>
      <c r="J5321">
        <f t="shared" si="88"/>
        <v>105000</v>
      </c>
      <c r="K5321" t="e">
        <f>VLOOKUP(B5321,'REGISTRO ABONOS'!$B$8:$BC$10041,54,0)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hidden="1" x14ac:dyDescent="0.2">
      <c r="B5322" s="31">
        <v>5313</v>
      </c>
      <c r="J5322">
        <f t="shared" si="88"/>
        <v>105000</v>
      </c>
      <c r="K5322" t="e">
        <f>VLOOKUP(B5322,'REGISTRO ABONOS'!$B$8:$BC$10041,54,0)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hidden="1" x14ac:dyDescent="0.2">
      <c r="B5323" s="31">
        <v>5314</v>
      </c>
      <c r="J5323">
        <f t="shared" si="88"/>
        <v>105000</v>
      </c>
      <c r="K5323" t="e">
        <f>VLOOKUP(B5323,'REGISTRO ABONOS'!$B$8:$BC$10041,54,0)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hidden="1" x14ac:dyDescent="0.2">
      <c r="B5324" s="31">
        <v>5315</v>
      </c>
      <c r="J5324">
        <f t="shared" si="88"/>
        <v>105000</v>
      </c>
      <c r="K5324" t="e">
        <f>VLOOKUP(B5324,'REGISTRO ABONOS'!$B$8:$BC$10041,54,0)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hidden="1" x14ac:dyDescent="0.2">
      <c r="B5325" s="31">
        <v>5316</v>
      </c>
      <c r="J5325">
        <f t="shared" si="88"/>
        <v>105000</v>
      </c>
      <c r="K5325" t="e">
        <f>VLOOKUP(B5325,'REGISTRO ABONOS'!$B$8:$BC$10041,54,0)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hidden="1" x14ac:dyDescent="0.2">
      <c r="B5326" s="31">
        <v>5317</v>
      </c>
      <c r="J5326">
        <f t="shared" si="88"/>
        <v>105000</v>
      </c>
      <c r="K5326" t="e">
        <f>VLOOKUP(B5326,'REGISTRO ABONOS'!$B$8:$BC$10041,54,0)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hidden="1" x14ac:dyDescent="0.2">
      <c r="B5327" s="31">
        <v>5318</v>
      </c>
      <c r="J5327">
        <f t="shared" si="88"/>
        <v>105000</v>
      </c>
      <c r="K5327" t="e">
        <f>VLOOKUP(B5327,'REGISTRO ABONOS'!$B$8:$BC$10041,54,0)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hidden="1" x14ac:dyDescent="0.2">
      <c r="B5328" s="31">
        <v>5319</v>
      </c>
      <c r="J5328">
        <f t="shared" si="88"/>
        <v>105000</v>
      </c>
      <c r="K5328" t="e">
        <f>VLOOKUP(B5328,'REGISTRO ABONOS'!$B$8:$BC$10041,54,0)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hidden="1" x14ac:dyDescent="0.2">
      <c r="B5329" s="31">
        <v>5320</v>
      </c>
      <c r="J5329">
        <f t="shared" si="88"/>
        <v>105000</v>
      </c>
      <c r="K5329" t="e">
        <f>VLOOKUP(B5329,'REGISTRO ABONOS'!$B$8:$BC$10041,54,0)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hidden="1" x14ac:dyDescent="0.2">
      <c r="B5330" s="31">
        <v>5321</v>
      </c>
      <c r="J5330">
        <f t="shared" si="88"/>
        <v>105000</v>
      </c>
      <c r="K5330" t="e">
        <f>VLOOKUP(B5330,'REGISTRO ABONOS'!$B$8:$BC$10041,54,0)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hidden="1" x14ac:dyDescent="0.2">
      <c r="B5331" s="31">
        <v>5322</v>
      </c>
      <c r="J5331">
        <f t="shared" si="88"/>
        <v>105000</v>
      </c>
      <c r="K5331" t="e">
        <f>VLOOKUP(B5331,'REGISTRO ABONOS'!$B$8:$BC$10041,54,0)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hidden="1" x14ac:dyDescent="0.2">
      <c r="B5332" s="31">
        <v>5323</v>
      </c>
      <c r="J5332">
        <f t="shared" si="88"/>
        <v>105000</v>
      </c>
      <c r="K5332" t="e">
        <f>VLOOKUP(B5332,'REGISTRO ABONOS'!$B$8:$BC$10041,54,0)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hidden="1" x14ac:dyDescent="0.2">
      <c r="B5333" s="31">
        <v>5324</v>
      </c>
      <c r="J5333">
        <f t="shared" si="88"/>
        <v>105000</v>
      </c>
      <c r="K5333" t="e">
        <f>VLOOKUP(B5333,'REGISTRO ABONOS'!$B$8:$BC$10041,54,0)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hidden="1" x14ac:dyDescent="0.2">
      <c r="B5334" s="31">
        <v>5325</v>
      </c>
      <c r="J5334">
        <f t="shared" si="88"/>
        <v>105000</v>
      </c>
      <c r="K5334" t="e">
        <f>VLOOKUP(B5334,'REGISTRO ABONOS'!$B$8:$BC$10041,54,0)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hidden="1" x14ac:dyDescent="0.2">
      <c r="B5335" s="31">
        <v>5326</v>
      </c>
      <c r="J5335">
        <f t="shared" si="88"/>
        <v>105000</v>
      </c>
      <c r="K5335" t="e">
        <f>VLOOKUP(B5335,'REGISTRO ABONOS'!$B$8:$BC$10041,54,0)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hidden="1" x14ac:dyDescent="0.2">
      <c r="B5336" s="31">
        <v>5327</v>
      </c>
      <c r="J5336">
        <f t="shared" si="88"/>
        <v>105000</v>
      </c>
      <c r="K5336" t="e">
        <f>VLOOKUP(B5336,'REGISTRO ABONOS'!$B$8:$BC$10041,54,0)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hidden="1" x14ac:dyDescent="0.2">
      <c r="B5337" s="31">
        <v>5328</v>
      </c>
      <c r="J5337">
        <f t="shared" si="88"/>
        <v>105000</v>
      </c>
      <c r="K5337" t="e">
        <f>VLOOKUP(B5337,'REGISTRO ABONOS'!$B$8:$BC$10041,54,0)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hidden="1" x14ac:dyDescent="0.2">
      <c r="B5338" s="31">
        <v>5329</v>
      </c>
      <c r="J5338">
        <f t="shared" si="88"/>
        <v>105000</v>
      </c>
      <c r="K5338" t="e">
        <f>VLOOKUP(B5338,'REGISTRO ABONOS'!$B$8:$BC$10041,54,0)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hidden="1" x14ac:dyDescent="0.2">
      <c r="B5339" s="31">
        <v>5330</v>
      </c>
      <c r="J5339">
        <f t="shared" si="88"/>
        <v>105000</v>
      </c>
      <c r="K5339" t="e">
        <f>VLOOKUP(B5339,'REGISTRO ABONOS'!$B$8:$BC$10041,54,0)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hidden="1" x14ac:dyDescent="0.2">
      <c r="B5340" s="31">
        <v>5331</v>
      </c>
      <c r="J5340">
        <f t="shared" si="88"/>
        <v>105000</v>
      </c>
      <c r="K5340" t="e">
        <f>VLOOKUP(B5340,'REGISTRO ABONOS'!$B$8:$BC$10041,54,0)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hidden="1" x14ac:dyDescent="0.2">
      <c r="B5341" s="31">
        <v>5332</v>
      </c>
      <c r="J5341">
        <f t="shared" si="88"/>
        <v>105000</v>
      </c>
      <c r="K5341" t="e">
        <f>VLOOKUP(B5341,'REGISTRO ABONOS'!$B$8:$BC$10041,54,0)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hidden="1" x14ac:dyDescent="0.2">
      <c r="B5342" s="31">
        <v>5333</v>
      </c>
      <c r="J5342">
        <f t="shared" si="88"/>
        <v>105000</v>
      </c>
      <c r="K5342" t="e">
        <f>VLOOKUP(B5342,'REGISTRO ABONOS'!$B$8:$BC$10041,54,0)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hidden="1" x14ac:dyDescent="0.2">
      <c r="B5343" s="31">
        <v>5334</v>
      </c>
      <c r="J5343">
        <f t="shared" si="88"/>
        <v>105000</v>
      </c>
      <c r="K5343" t="e">
        <f>VLOOKUP(B5343,'REGISTRO ABONOS'!$B$8:$BC$10041,54,0)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hidden="1" x14ac:dyDescent="0.2">
      <c r="B5344" s="31">
        <v>5335</v>
      </c>
      <c r="J5344">
        <f t="shared" si="88"/>
        <v>105000</v>
      </c>
      <c r="K5344" t="e">
        <f>VLOOKUP(B5344,'REGISTRO ABONOS'!$B$8:$BC$10041,54,0)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hidden="1" x14ac:dyDescent="0.2">
      <c r="B5345" s="31">
        <v>5336</v>
      </c>
      <c r="J5345">
        <f t="shared" si="88"/>
        <v>105000</v>
      </c>
      <c r="K5345" t="e">
        <f>VLOOKUP(B5345,'REGISTRO ABONOS'!$B$8:$BC$10041,54,0)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hidden="1" x14ac:dyDescent="0.2">
      <c r="B5346" s="31">
        <v>5337</v>
      </c>
      <c r="J5346">
        <f t="shared" si="88"/>
        <v>105000</v>
      </c>
      <c r="K5346" t="e">
        <f>VLOOKUP(B5346,'REGISTRO ABONOS'!$B$8:$BC$10041,54,0)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hidden="1" x14ac:dyDescent="0.2">
      <c r="B5347" s="31">
        <v>5338</v>
      </c>
      <c r="J5347">
        <f t="shared" si="88"/>
        <v>105000</v>
      </c>
      <c r="K5347" t="e">
        <f>VLOOKUP(B5347,'REGISTRO ABONOS'!$B$8:$BC$10041,54,0)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hidden="1" x14ac:dyDescent="0.2">
      <c r="B5348" s="31">
        <v>5339</v>
      </c>
      <c r="J5348">
        <f t="shared" si="88"/>
        <v>105000</v>
      </c>
      <c r="K5348" t="e">
        <f>VLOOKUP(B5348,'REGISTRO ABONOS'!$B$8:$BC$10041,54,0)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hidden="1" x14ac:dyDescent="0.2">
      <c r="B5349" s="31">
        <v>5340</v>
      </c>
      <c r="J5349">
        <f t="shared" si="88"/>
        <v>105000</v>
      </c>
      <c r="K5349" t="e">
        <f>VLOOKUP(B5349,'REGISTRO ABONOS'!$B$8:$BC$10041,54,0)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hidden="1" x14ac:dyDescent="0.2">
      <c r="B5350" s="31">
        <v>5341</v>
      </c>
      <c r="J5350">
        <f t="shared" si="88"/>
        <v>105000</v>
      </c>
      <c r="K5350" t="e">
        <f>VLOOKUP(B5350,'REGISTRO ABONOS'!$B$8:$BC$10041,54,0)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hidden="1" x14ac:dyDescent="0.2">
      <c r="B5351" s="31">
        <v>5342</v>
      </c>
      <c r="J5351">
        <f t="shared" si="88"/>
        <v>105000</v>
      </c>
      <c r="K5351" t="e">
        <f>VLOOKUP(B5351,'REGISTRO ABONOS'!$B$8:$BC$10041,54,0)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hidden="1" x14ac:dyDescent="0.2">
      <c r="B5352" s="31">
        <v>5343</v>
      </c>
      <c r="J5352">
        <f t="shared" si="88"/>
        <v>105000</v>
      </c>
      <c r="K5352" t="e">
        <f>VLOOKUP(B5352,'REGISTRO ABONOS'!$B$8:$BC$10041,54,0)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hidden="1" x14ac:dyDescent="0.2">
      <c r="B5353" s="31">
        <v>5344</v>
      </c>
      <c r="J5353">
        <f t="shared" si="88"/>
        <v>105000</v>
      </c>
      <c r="K5353" t="e">
        <f>VLOOKUP(B5353,'REGISTRO ABONOS'!$B$8:$BC$10041,54,0)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hidden="1" x14ac:dyDescent="0.2">
      <c r="B5354" s="31">
        <v>5345</v>
      </c>
      <c r="J5354">
        <f t="shared" si="88"/>
        <v>105000</v>
      </c>
      <c r="K5354" t="e">
        <f>VLOOKUP(B5354,'REGISTRO ABONOS'!$B$8:$BC$10041,54,0)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hidden="1" x14ac:dyDescent="0.2">
      <c r="B5355" s="31">
        <v>5346</v>
      </c>
      <c r="J5355">
        <f t="shared" si="88"/>
        <v>105000</v>
      </c>
      <c r="K5355" t="e">
        <f>VLOOKUP(B5355,'REGISTRO ABONOS'!$B$8:$BC$10041,54,0)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hidden="1" x14ac:dyDescent="0.2">
      <c r="B5356" s="31">
        <v>5347</v>
      </c>
      <c r="J5356">
        <f t="shared" si="88"/>
        <v>105000</v>
      </c>
      <c r="K5356" t="e">
        <f>VLOOKUP(B5356,'REGISTRO ABONOS'!$B$8:$BC$10041,54,0)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hidden="1" x14ac:dyDescent="0.2">
      <c r="B5357" s="31">
        <v>5348</v>
      </c>
      <c r="J5357">
        <f t="shared" si="88"/>
        <v>105000</v>
      </c>
      <c r="K5357" t="e">
        <f>VLOOKUP(B5357,'REGISTRO ABONOS'!$B$8:$BC$10041,54,0)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hidden="1" x14ac:dyDescent="0.2">
      <c r="B5358" s="31">
        <v>5349</v>
      </c>
      <c r="J5358">
        <f t="shared" si="88"/>
        <v>105000</v>
      </c>
      <c r="K5358" t="e">
        <f>VLOOKUP(B5358,'REGISTRO ABONOS'!$B$8:$BC$10041,54,0)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hidden="1" x14ac:dyDescent="0.2">
      <c r="B5359" s="31">
        <v>5350</v>
      </c>
      <c r="J5359">
        <f t="shared" si="88"/>
        <v>105000</v>
      </c>
      <c r="K5359" t="e">
        <f>VLOOKUP(B5359,'REGISTRO ABONOS'!$B$8:$BC$10041,54,0)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hidden="1" x14ac:dyDescent="0.2">
      <c r="B5360" s="31">
        <v>5351</v>
      </c>
      <c r="J5360">
        <f t="shared" si="88"/>
        <v>105000</v>
      </c>
      <c r="K5360" t="e">
        <f>VLOOKUP(B5360,'REGISTRO ABONOS'!$B$8:$BC$10041,54,0)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hidden="1" x14ac:dyDescent="0.2">
      <c r="B5361" s="31">
        <v>5352</v>
      </c>
      <c r="J5361">
        <f t="shared" si="88"/>
        <v>105000</v>
      </c>
      <c r="K5361" t="e">
        <f>VLOOKUP(B5361,'REGISTRO ABONOS'!$B$8:$BC$10041,54,0)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hidden="1" x14ac:dyDescent="0.2">
      <c r="B5362" s="31">
        <v>5353</v>
      </c>
      <c r="J5362">
        <f t="shared" si="88"/>
        <v>105000</v>
      </c>
      <c r="K5362" t="e">
        <f>VLOOKUP(B5362,'REGISTRO ABONOS'!$B$8:$BC$10041,54,0)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hidden="1" x14ac:dyDescent="0.2">
      <c r="B5363" s="31">
        <v>5354</v>
      </c>
      <c r="J5363">
        <f t="shared" si="88"/>
        <v>105000</v>
      </c>
      <c r="K5363" t="e">
        <f>VLOOKUP(B5363,'REGISTRO ABONOS'!$B$8:$BC$10041,54,0)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hidden="1" x14ac:dyDescent="0.2">
      <c r="B5364" s="31">
        <v>5355</v>
      </c>
      <c r="J5364">
        <f t="shared" si="88"/>
        <v>105000</v>
      </c>
      <c r="K5364" t="e">
        <f>VLOOKUP(B5364,'REGISTRO ABONOS'!$B$8:$BC$10041,54,0)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hidden="1" x14ac:dyDescent="0.2">
      <c r="B5365" s="31">
        <v>5356</v>
      </c>
      <c r="J5365">
        <f t="shared" si="88"/>
        <v>105000</v>
      </c>
      <c r="K5365" t="e">
        <f>VLOOKUP(B5365,'REGISTRO ABONOS'!$B$8:$BC$10041,54,0)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hidden="1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ABONOS'!$B$8:$BC$10041,54,0)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hidden="1" x14ac:dyDescent="0.2">
      <c r="B5367" s="31">
        <v>5358</v>
      </c>
      <c r="J5367">
        <f t="shared" si="89"/>
        <v>105000</v>
      </c>
      <c r="K5367" t="e">
        <f>VLOOKUP(B5367,'REGISTRO ABONOS'!$B$8:$BC$10041,54,0)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hidden="1" x14ac:dyDescent="0.2">
      <c r="B5368" s="31">
        <v>5359</v>
      </c>
      <c r="J5368">
        <f t="shared" si="89"/>
        <v>105000</v>
      </c>
      <c r="K5368" t="e">
        <f>VLOOKUP(B5368,'REGISTRO ABONOS'!$B$8:$BC$10041,54,0)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hidden="1" x14ac:dyDescent="0.2">
      <c r="B5369" s="31">
        <v>5360</v>
      </c>
      <c r="J5369">
        <f t="shared" si="89"/>
        <v>105000</v>
      </c>
      <c r="K5369" t="e">
        <f>VLOOKUP(B5369,'REGISTRO ABONOS'!$B$8:$BC$10041,54,0)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hidden="1" x14ac:dyDescent="0.2">
      <c r="B5370" s="31">
        <v>5361</v>
      </c>
      <c r="J5370">
        <f t="shared" si="89"/>
        <v>105000</v>
      </c>
      <c r="K5370" t="e">
        <f>VLOOKUP(B5370,'REGISTRO ABONOS'!$B$8:$BC$10041,54,0)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hidden="1" x14ac:dyDescent="0.2">
      <c r="B5371" s="31">
        <v>5362</v>
      </c>
      <c r="J5371">
        <f t="shared" si="89"/>
        <v>105000</v>
      </c>
      <c r="K5371" t="e">
        <f>VLOOKUP(B5371,'REGISTRO ABONOS'!$B$8:$BC$10041,54,0)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hidden="1" x14ac:dyDescent="0.2">
      <c r="B5372" s="31">
        <v>5363</v>
      </c>
      <c r="J5372">
        <f t="shared" si="89"/>
        <v>105000</v>
      </c>
      <c r="K5372" t="e">
        <f>VLOOKUP(B5372,'REGISTRO ABONOS'!$B$8:$BC$10041,54,0)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hidden="1" x14ac:dyDescent="0.2">
      <c r="B5373" s="31">
        <v>5364</v>
      </c>
      <c r="J5373">
        <f t="shared" si="89"/>
        <v>105000</v>
      </c>
      <c r="K5373" t="e">
        <f>VLOOKUP(B5373,'REGISTRO ABONOS'!$B$8:$BC$10041,54,0)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hidden="1" x14ac:dyDescent="0.2">
      <c r="B5374" s="31">
        <v>5365</v>
      </c>
      <c r="J5374">
        <f t="shared" si="89"/>
        <v>105000</v>
      </c>
      <c r="K5374" t="e">
        <f>VLOOKUP(B5374,'REGISTRO ABONOS'!$B$8:$BC$10041,54,0)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hidden="1" x14ac:dyDescent="0.2">
      <c r="B5375" s="31">
        <v>5366</v>
      </c>
      <c r="J5375">
        <f t="shared" si="89"/>
        <v>105000</v>
      </c>
      <c r="K5375" t="e">
        <f>VLOOKUP(B5375,'REGISTRO ABONOS'!$B$8:$BC$10041,54,0)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hidden="1" x14ac:dyDescent="0.2">
      <c r="B5376" s="31">
        <v>5367</v>
      </c>
      <c r="J5376">
        <f t="shared" si="89"/>
        <v>105000</v>
      </c>
      <c r="K5376" t="e">
        <f>VLOOKUP(B5376,'REGISTRO ABONOS'!$B$8:$BC$10041,54,0)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hidden="1" x14ac:dyDescent="0.2">
      <c r="B5377" s="31">
        <v>5368</v>
      </c>
      <c r="J5377">
        <f t="shared" si="89"/>
        <v>105000</v>
      </c>
      <c r="K5377" t="e">
        <f>VLOOKUP(B5377,'REGISTRO ABONOS'!$B$8:$BC$10041,54,0)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hidden="1" x14ac:dyDescent="0.2">
      <c r="B5378" s="31">
        <v>5369</v>
      </c>
      <c r="J5378">
        <f t="shared" si="89"/>
        <v>105000</v>
      </c>
      <c r="K5378" t="e">
        <f>VLOOKUP(B5378,'REGISTRO ABONOS'!$B$8:$BC$10041,54,0)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hidden="1" x14ac:dyDescent="0.2">
      <c r="B5379" s="31">
        <v>5370</v>
      </c>
      <c r="J5379">
        <f t="shared" si="89"/>
        <v>105000</v>
      </c>
      <c r="K5379" t="e">
        <f>VLOOKUP(B5379,'REGISTRO ABONOS'!$B$8:$BC$10041,54,0)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hidden="1" x14ac:dyDescent="0.2">
      <c r="B5380" s="31">
        <v>5371</v>
      </c>
      <c r="J5380">
        <f t="shared" si="89"/>
        <v>105000</v>
      </c>
      <c r="K5380" t="e">
        <f>VLOOKUP(B5380,'REGISTRO ABONOS'!$B$8:$BC$10041,54,0)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hidden="1" x14ac:dyDescent="0.2">
      <c r="B5381" s="31">
        <v>5372</v>
      </c>
      <c r="J5381">
        <f t="shared" si="89"/>
        <v>105000</v>
      </c>
      <c r="K5381" t="e">
        <f>VLOOKUP(B5381,'REGISTRO ABONOS'!$B$8:$BC$10041,54,0)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hidden="1" x14ac:dyDescent="0.2">
      <c r="B5382" s="31">
        <v>5373</v>
      </c>
      <c r="J5382">
        <f t="shared" si="89"/>
        <v>105000</v>
      </c>
      <c r="K5382" t="e">
        <f>VLOOKUP(B5382,'REGISTRO ABONOS'!$B$8:$BC$10041,54,0)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hidden="1" x14ac:dyDescent="0.2">
      <c r="B5383" s="31">
        <v>5374</v>
      </c>
      <c r="J5383">
        <f t="shared" si="89"/>
        <v>105000</v>
      </c>
      <c r="K5383" t="e">
        <f>VLOOKUP(B5383,'REGISTRO ABONOS'!$B$8:$BC$10041,54,0)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hidden="1" x14ac:dyDescent="0.2">
      <c r="B5384" s="31">
        <v>5375</v>
      </c>
      <c r="J5384">
        <f t="shared" si="89"/>
        <v>105000</v>
      </c>
      <c r="K5384" t="e">
        <f>VLOOKUP(B5384,'REGISTRO ABONOS'!$B$8:$BC$10041,54,0)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hidden="1" x14ac:dyDescent="0.2">
      <c r="B5385" s="31">
        <v>5376</v>
      </c>
      <c r="J5385">
        <f t="shared" si="89"/>
        <v>105000</v>
      </c>
      <c r="K5385" t="e">
        <f>VLOOKUP(B5385,'REGISTRO ABONOS'!$B$8:$BC$10041,54,0)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hidden="1" x14ac:dyDescent="0.2">
      <c r="B5386" s="31">
        <v>5377</v>
      </c>
      <c r="J5386">
        <f t="shared" si="89"/>
        <v>105000</v>
      </c>
      <c r="K5386" t="e">
        <f>VLOOKUP(B5386,'REGISTRO ABONOS'!$B$8:$BC$10041,54,0)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hidden="1" x14ac:dyDescent="0.2">
      <c r="B5387" s="31">
        <v>5378</v>
      </c>
      <c r="J5387">
        <f t="shared" si="89"/>
        <v>105000</v>
      </c>
      <c r="K5387" t="e">
        <f>VLOOKUP(B5387,'REGISTRO ABONOS'!$B$8:$BC$10041,54,0)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hidden="1" x14ac:dyDescent="0.2">
      <c r="B5388" s="31">
        <v>5379</v>
      </c>
      <c r="J5388">
        <f t="shared" si="89"/>
        <v>105000</v>
      </c>
      <c r="K5388" t="e">
        <f>VLOOKUP(B5388,'REGISTRO ABONOS'!$B$8:$BC$10041,54,0)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hidden="1" x14ac:dyDescent="0.2">
      <c r="B5389" s="31">
        <v>5380</v>
      </c>
      <c r="J5389">
        <f t="shared" si="89"/>
        <v>105000</v>
      </c>
      <c r="K5389" t="e">
        <f>VLOOKUP(B5389,'REGISTRO ABONOS'!$B$8:$BC$10041,54,0)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hidden="1" x14ac:dyDescent="0.2">
      <c r="B5390" s="31">
        <v>5381</v>
      </c>
      <c r="J5390">
        <f t="shared" si="89"/>
        <v>105000</v>
      </c>
      <c r="K5390" t="e">
        <f>VLOOKUP(B5390,'REGISTRO ABONOS'!$B$8:$BC$10041,54,0)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hidden="1" x14ac:dyDescent="0.2">
      <c r="B5391" s="31">
        <v>5382</v>
      </c>
      <c r="J5391">
        <f t="shared" si="89"/>
        <v>105000</v>
      </c>
      <c r="K5391" t="e">
        <f>VLOOKUP(B5391,'REGISTRO ABONOS'!$B$8:$BC$10041,54,0)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hidden="1" x14ac:dyDescent="0.2">
      <c r="B5392" s="31">
        <v>5383</v>
      </c>
      <c r="J5392">
        <f t="shared" si="89"/>
        <v>105000</v>
      </c>
      <c r="K5392" t="e">
        <f>VLOOKUP(B5392,'REGISTRO ABONOS'!$B$8:$BC$10041,54,0)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hidden="1" x14ac:dyDescent="0.2">
      <c r="B5393" s="31">
        <v>5384</v>
      </c>
      <c r="J5393">
        <f t="shared" si="89"/>
        <v>105000</v>
      </c>
      <c r="K5393" t="e">
        <f>VLOOKUP(B5393,'REGISTRO ABONOS'!$B$8:$BC$10041,54,0)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hidden="1" x14ac:dyDescent="0.2">
      <c r="B5394" s="31">
        <v>5385</v>
      </c>
      <c r="J5394">
        <f t="shared" si="89"/>
        <v>105000</v>
      </c>
      <c r="K5394" t="e">
        <f>VLOOKUP(B5394,'REGISTRO ABONOS'!$B$8:$BC$10041,54,0)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hidden="1" x14ac:dyDescent="0.2">
      <c r="B5395" s="31">
        <v>5386</v>
      </c>
      <c r="J5395">
        <f t="shared" si="89"/>
        <v>105000</v>
      </c>
      <c r="K5395" t="e">
        <f>VLOOKUP(B5395,'REGISTRO ABONOS'!$B$8:$BC$10041,54,0)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hidden="1" x14ac:dyDescent="0.2">
      <c r="B5396" s="31">
        <v>5387</v>
      </c>
      <c r="J5396">
        <f t="shared" si="89"/>
        <v>105000</v>
      </c>
      <c r="K5396" t="e">
        <f>VLOOKUP(B5396,'REGISTRO ABONOS'!$B$8:$BC$10041,54,0)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hidden="1" x14ac:dyDescent="0.2">
      <c r="B5397" s="31">
        <v>5388</v>
      </c>
      <c r="J5397">
        <f t="shared" si="89"/>
        <v>105000</v>
      </c>
      <c r="K5397" t="e">
        <f>VLOOKUP(B5397,'REGISTRO ABONOS'!$B$8:$BC$10041,54,0)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hidden="1" x14ac:dyDescent="0.2">
      <c r="B5398" s="31">
        <v>5389</v>
      </c>
      <c r="J5398">
        <f t="shared" si="89"/>
        <v>105000</v>
      </c>
      <c r="K5398" t="e">
        <f>VLOOKUP(B5398,'REGISTRO ABONOS'!$B$8:$BC$10041,54,0)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hidden="1" x14ac:dyDescent="0.2">
      <c r="B5399" s="31">
        <v>5390</v>
      </c>
      <c r="J5399">
        <f t="shared" si="89"/>
        <v>105000</v>
      </c>
      <c r="K5399" t="e">
        <f>VLOOKUP(B5399,'REGISTRO ABONOS'!$B$8:$BC$10041,54,0)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hidden="1" x14ac:dyDescent="0.2">
      <c r="B5400" s="31">
        <v>5391</v>
      </c>
      <c r="J5400">
        <f t="shared" si="89"/>
        <v>105000</v>
      </c>
      <c r="K5400" t="e">
        <f>VLOOKUP(B5400,'REGISTRO ABONOS'!$B$8:$BC$10041,54,0)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hidden="1" x14ac:dyDescent="0.2">
      <c r="B5401" s="31">
        <v>5392</v>
      </c>
      <c r="J5401">
        <f t="shared" si="89"/>
        <v>105000</v>
      </c>
      <c r="K5401" t="e">
        <f>VLOOKUP(B5401,'REGISTRO ABONOS'!$B$8:$BC$10041,54,0)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hidden="1" x14ac:dyDescent="0.2">
      <c r="B5402" s="31">
        <v>5393</v>
      </c>
      <c r="J5402">
        <f t="shared" si="89"/>
        <v>105000</v>
      </c>
      <c r="K5402" t="e">
        <f>VLOOKUP(B5402,'REGISTRO ABONOS'!$B$8:$BC$10041,54,0)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hidden="1" x14ac:dyDescent="0.2">
      <c r="B5403" s="31">
        <v>5394</v>
      </c>
      <c r="J5403">
        <f t="shared" si="89"/>
        <v>105000</v>
      </c>
      <c r="K5403" t="e">
        <f>VLOOKUP(B5403,'REGISTRO ABONOS'!$B$8:$BC$10041,54,0)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hidden="1" x14ac:dyDescent="0.2">
      <c r="B5404" s="31">
        <v>5395</v>
      </c>
      <c r="J5404">
        <f t="shared" si="89"/>
        <v>105000</v>
      </c>
      <c r="K5404" t="e">
        <f>VLOOKUP(B5404,'REGISTRO ABONOS'!$B$8:$BC$10041,54,0)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hidden="1" x14ac:dyDescent="0.2">
      <c r="B5405" s="31">
        <v>5396</v>
      </c>
      <c r="J5405">
        <f t="shared" si="89"/>
        <v>105000</v>
      </c>
      <c r="K5405" t="e">
        <f>VLOOKUP(B5405,'REGISTRO ABONOS'!$B$8:$BC$10041,54,0)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hidden="1" x14ac:dyDescent="0.2">
      <c r="B5406" s="31">
        <v>5397</v>
      </c>
      <c r="J5406">
        <f t="shared" si="89"/>
        <v>105000</v>
      </c>
      <c r="K5406" t="e">
        <f>VLOOKUP(B5406,'REGISTRO ABONOS'!$B$8:$BC$10041,54,0)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hidden="1" x14ac:dyDescent="0.2">
      <c r="B5407" s="31">
        <v>5398</v>
      </c>
      <c r="J5407">
        <f t="shared" si="89"/>
        <v>105000</v>
      </c>
      <c r="K5407" t="e">
        <f>VLOOKUP(B5407,'REGISTRO ABONOS'!$B$8:$BC$10041,54,0)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hidden="1" x14ac:dyDescent="0.2">
      <c r="B5408" s="31">
        <v>5399</v>
      </c>
      <c r="J5408">
        <f t="shared" si="89"/>
        <v>105000</v>
      </c>
      <c r="K5408" t="e">
        <f>VLOOKUP(B5408,'REGISTRO ABONOS'!$B$8:$BC$10041,54,0)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hidden="1" x14ac:dyDescent="0.2">
      <c r="B5409" s="31">
        <v>5400</v>
      </c>
      <c r="J5409">
        <f t="shared" si="89"/>
        <v>105000</v>
      </c>
      <c r="K5409" t="e">
        <f>VLOOKUP(B5409,'REGISTRO ABONOS'!$B$8:$BC$10041,54,0)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hidden="1" x14ac:dyDescent="0.2">
      <c r="B5410" s="31">
        <v>5401</v>
      </c>
      <c r="J5410">
        <f t="shared" si="89"/>
        <v>105000</v>
      </c>
      <c r="K5410" t="e">
        <f>VLOOKUP(B5410,'REGISTRO ABONOS'!$B$8:$BC$10041,54,0)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hidden="1" x14ac:dyDescent="0.2">
      <c r="B5411" s="31">
        <v>5402</v>
      </c>
      <c r="J5411">
        <f t="shared" si="89"/>
        <v>105000</v>
      </c>
      <c r="K5411" t="e">
        <f>VLOOKUP(B5411,'REGISTRO ABONOS'!$B$8:$BC$10041,54,0)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hidden="1" x14ac:dyDescent="0.2">
      <c r="B5412" s="31">
        <v>5403</v>
      </c>
      <c r="J5412">
        <f t="shared" si="89"/>
        <v>105000</v>
      </c>
      <c r="K5412" t="e">
        <f>VLOOKUP(B5412,'REGISTRO ABONOS'!$B$8:$BC$10041,54,0)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hidden="1" x14ac:dyDescent="0.2">
      <c r="B5413" s="31">
        <v>5404</v>
      </c>
      <c r="J5413">
        <f t="shared" si="89"/>
        <v>105000</v>
      </c>
      <c r="K5413" t="e">
        <f>VLOOKUP(B5413,'REGISTRO ABONOS'!$B$8:$BC$10041,54,0)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hidden="1" x14ac:dyDescent="0.2">
      <c r="B5414" s="31">
        <v>5405</v>
      </c>
      <c r="J5414">
        <f t="shared" si="89"/>
        <v>105000</v>
      </c>
      <c r="K5414" t="e">
        <f>VLOOKUP(B5414,'REGISTRO ABONOS'!$B$8:$BC$10041,54,0)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hidden="1" x14ac:dyDescent="0.2">
      <c r="B5415" s="31">
        <v>5406</v>
      </c>
      <c r="J5415">
        <f t="shared" si="89"/>
        <v>105000</v>
      </c>
      <c r="K5415" t="e">
        <f>VLOOKUP(B5415,'REGISTRO ABONOS'!$B$8:$BC$10041,54,0)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hidden="1" x14ac:dyDescent="0.2">
      <c r="B5416" s="31">
        <v>5407</v>
      </c>
      <c r="J5416">
        <f t="shared" si="89"/>
        <v>105000</v>
      </c>
      <c r="K5416" t="e">
        <f>VLOOKUP(B5416,'REGISTRO ABONOS'!$B$8:$BC$10041,54,0)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hidden="1" x14ac:dyDescent="0.2">
      <c r="B5417" s="31">
        <v>5408</v>
      </c>
      <c r="J5417">
        <f t="shared" si="89"/>
        <v>105000</v>
      </c>
      <c r="K5417" t="e">
        <f>VLOOKUP(B5417,'REGISTRO ABONOS'!$B$8:$BC$10041,54,0)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hidden="1" x14ac:dyDescent="0.2">
      <c r="B5418" s="31">
        <v>5409</v>
      </c>
      <c r="J5418">
        <f t="shared" si="89"/>
        <v>105000</v>
      </c>
      <c r="K5418" t="e">
        <f>VLOOKUP(B5418,'REGISTRO ABONOS'!$B$8:$BC$10041,54,0)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hidden="1" x14ac:dyDescent="0.2">
      <c r="B5419" s="31">
        <v>5410</v>
      </c>
      <c r="J5419">
        <f t="shared" si="89"/>
        <v>105000</v>
      </c>
      <c r="K5419" t="e">
        <f>VLOOKUP(B5419,'REGISTRO ABONOS'!$B$8:$BC$10041,54,0)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hidden="1" x14ac:dyDescent="0.2">
      <c r="B5420" s="31">
        <v>5411</v>
      </c>
      <c r="J5420">
        <f t="shared" si="89"/>
        <v>105000</v>
      </c>
      <c r="K5420" t="e">
        <f>VLOOKUP(B5420,'REGISTRO ABONOS'!$B$8:$BC$10041,54,0)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hidden="1" x14ac:dyDescent="0.2">
      <c r="B5421" s="31">
        <v>5412</v>
      </c>
      <c r="J5421">
        <f t="shared" si="89"/>
        <v>105000</v>
      </c>
      <c r="K5421" t="e">
        <f>VLOOKUP(B5421,'REGISTRO ABONOS'!$B$8:$BC$10041,54,0)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hidden="1" x14ac:dyDescent="0.2">
      <c r="B5422" s="31">
        <v>5413</v>
      </c>
      <c r="J5422">
        <f t="shared" si="89"/>
        <v>105000</v>
      </c>
      <c r="K5422" t="e">
        <f>VLOOKUP(B5422,'REGISTRO ABONOS'!$B$8:$BC$10041,54,0)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hidden="1" x14ac:dyDescent="0.2">
      <c r="B5423" s="31">
        <v>5414</v>
      </c>
      <c r="J5423">
        <f t="shared" si="89"/>
        <v>105000</v>
      </c>
      <c r="K5423" t="e">
        <f>VLOOKUP(B5423,'REGISTRO ABONOS'!$B$8:$BC$10041,54,0)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hidden="1" x14ac:dyDescent="0.2">
      <c r="B5424" s="31">
        <v>5415</v>
      </c>
      <c r="J5424">
        <f t="shared" si="89"/>
        <v>105000</v>
      </c>
      <c r="K5424" t="e">
        <f>VLOOKUP(B5424,'REGISTRO ABONOS'!$B$8:$BC$10041,54,0)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hidden="1" x14ac:dyDescent="0.2">
      <c r="B5425" s="31">
        <v>5416</v>
      </c>
      <c r="J5425">
        <f t="shared" si="89"/>
        <v>105000</v>
      </c>
      <c r="K5425" t="e">
        <f>VLOOKUP(B5425,'REGISTRO ABONOS'!$B$8:$BC$10041,54,0)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hidden="1" x14ac:dyDescent="0.2">
      <c r="B5426" s="31">
        <v>5417</v>
      </c>
      <c r="J5426">
        <f t="shared" si="89"/>
        <v>105000</v>
      </c>
      <c r="K5426" t="e">
        <f>VLOOKUP(B5426,'REGISTRO ABONOS'!$B$8:$BC$10041,54,0)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hidden="1" x14ac:dyDescent="0.2">
      <c r="B5427" s="31">
        <v>5418</v>
      </c>
      <c r="J5427">
        <f t="shared" si="89"/>
        <v>105000</v>
      </c>
      <c r="K5427" t="e">
        <f>VLOOKUP(B5427,'REGISTRO ABONOS'!$B$8:$BC$10041,54,0)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hidden="1" x14ac:dyDescent="0.2">
      <c r="B5428" s="31">
        <v>5419</v>
      </c>
      <c r="J5428">
        <f t="shared" si="89"/>
        <v>105000</v>
      </c>
      <c r="K5428" t="e">
        <f>VLOOKUP(B5428,'REGISTRO ABONOS'!$B$8:$BC$10041,54,0)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hidden="1" x14ac:dyDescent="0.2">
      <c r="B5429" s="31">
        <v>5420</v>
      </c>
      <c r="J5429">
        <f t="shared" si="89"/>
        <v>105000</v>
      </c>
      <c r="K5429" t="e">
        <f>VLOOKUP(B5429,'REGISTRO ABONOS'!$B$8:$BC$10041,54,0)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hidden="1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ABONOS'!$B$8:$BC$10041,54,0)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hidden="1" x14ac:dyDescent="0.2">
      <c r="B5431" s="31">
        <v>5422</v>
      </c>
      <c r="J5431">
        <f t="shared" si="90"/>
        <v>105000</v>
      </c>
      <c r="K5431" t="e">
        <f>VLOOKUP(B5431,'REGISTRO ABONOS'!$B$8:$BC$10041,54,0)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hidden="1" x14ac:dyDescent="0.2">
      <c r="B5432" s="31">
        <v>5423</v>
      </c>
      <c r="J5432">
        <f t="shared" si="90"/>
        <v>105000</v>
      </c>
      <c r="K5432" t="e">
        <f>VLOOKUP(B5432,'REGISTRO ABONOS'!$B$8:$BC$10041,54,0)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hidden="1" x14ac:dyDescent="0.2">
      <c r="B5433" s="31">
        <v>5424</v>
      </c>
      <c r="J5433">
        <f t="shared" si="90"/>
        <v>105000</v>
      </c>
      <c r="K5433" t="e">
        <f>VLOOKUP(B5433,'REGISTRO ABONOS'!$B$8:$BC$10041,54,0)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hidden="1" x14ac:dyDescent="0.2">
      <c r="B5434" s="31">
        <v>5425</v>
      </c>
      <c r="J5434">
        <f t="shared" si="90"/>
        <v>105000</v>
      </c>
      <c r="K5434" t="e">
        <f>VLOOKUP(B5434,'REGISTRO ABONOS'!$B$8:$BC$10041,54,0)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hidden="1" x14ac:dyDescent="0.2">
      <c r="B5435" s="31">
        <v>5426</v>
      </c>
      <c r="J5435">
        <f t="shared" si="90"/>
        <v>105000</v>
      </c>
      <c r="K5435" t="e">
        <f>VLOOKUP(B5435,'REGISTRO ABONOS'!$B$8:$BC$10041,54,0)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hidden="1" x14ac:dyDescent="0.2">
      <c r="B5436" s="31">
        <v>5427</v>
      </c>
      <c r="J5436">
        <f t="shared" si="90"/>
        <v>105000</v>
      </c>
      <c r="K5436" t="e">
        <f>VLOOKUP(B5436,'REGISTRO ABONOS'!$B$8:$BC$10041,54,0)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hidden="1" x14ac:dyDescent="0.2">
      <c r="B5437" s="31">
        <v>5428</v>
      </c>
      <c r="J5437">
        <f t="shared" si="90"/>
        <v>105000</v>
      </c>
      <c r="K5437" t="e">
        <f>VLOOKUP(B5437,'REGISTRO ABONOS'!$B$8:$BC$10041,54,0)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hidden="1" x14ac:dyDescent="0.2">
      <c r="B5438" s="31">
        <v>5429</v>
      </c>
      <c r="J5438">
        <f t="shared" si="90"/>
        <v>105000</v>
      </c>
      <c r="K5438" t="e">
        <f>VLOOKUP(B5438,'REGISTRO ABONOS'!$B$8:$BC$10041,54,0)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hidden="1" x14ac:dyDescent="0.2">
      <c r="B5439" s="31">
        <v>5430</v>
      </c>
      <c r="J5439">
        <f t="shared" si="90"/>
        <v>105000</v>
      </c>
      <c r="K5439" t="e">
        <f>VLOOKUP(B5439,'REGISTRO ABONOS'!$B$8:$BC$10041,54,0)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hidden="1" x14ac:dyDescent="0.2">
      <c r="B5440" s="31">
        <v>5431</v>
      </c>
      <c r="J5440">
        <f t="shared" si="90"/>
        <v>105000</v>
      </c>
      <c r="K5440" t="e">
        <f>VLOOKUP(B5440,'REGISTRO ABONOS'!$B$8:$BC$10041,54,0)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hidden="1" x14ac:dyDescent="0.2">
      <c r="B5441" s="31">
        <v>5432</v>
      </c>
      <c r="J5441">
        <f t="shared" si="90"/>
        <v>105000</v>
      </c>
      <c r="K5441" t="e">
        <f>VLOOKUP(B5441,'REGISTRO ABONOS'!$B$8:$BC$10041,54,0)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hidden="1" x14ac:dyDescent="0.2">
      <c r="B5442" s="31">
        <v>5433</v>
      </c>
      <c r="J5442">
        <f t="shared" si="90"/>
        <v>105000</v>
      </c>
      <c r="K5442" t="e">
        <f>VLOOKUP(B5442,'REGISTRO ABONOS'!$B$8:$BC$10041,54,0)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hidden="1" x14ac:dyDescent="0.2">
      <c r="B5443" s="31">
        <v>5434</v>
      </c>
      <c r="J5443">
        <f t="shared" si="90"/>
        <v>105000</v>
      </c>
      <c r="K5443" t="e">
        <f>VLOOKUP(B5443,'REGISTRO ABONOS'!$B$8:$BC$10041,54,0)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hidden="1" x14ac:dyDescent="0.2">
      <c r="B5444" s="31">
        <v>5435</v>
      </c>
      <c r="J5444">
        <f t="shared" si="90"/>
        <v>105000</v>
      </c>
      <c r="K5444" t="e">
        <f>VLOOKUP(B5444,'REGISTRO ABONOS'!$B$8:$BC$10041,54,0)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hidden="1" x14ac:dyDescent="0.2">
      <c r="B5445" s="31">
        <v>5436</v>
      </c>
      <c r="J5445">
        <f t="shared" si="90"/>
        <v>105000</v>
      </c>
      <c r="K5445" t="e">
        <f>VLOOKUP(B5445,'REGISTRO ABONOS'!$B$8:$BC$10041,54,0)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hidden="1" x14ac:dyDescent="0.2">
      <c r="B5446" s="31">
        <v>5437</v>
      </c>
      <c r="J5446">
        <f t="shared" si="90"/>
        <v>105000</v>
      </c>
      <c r="K5446" t="e">
        <f>VLOOKUP(B5446,'REGISTRO ABONOS'!$B$8:$BC$10041,54,0)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hidden="1" x14ac:dyDescent="0.2">
      <c r="B5447" s="31">
        <v>5438</v>
      </c>
      <c r="J5447">
        <f t="shared" si="90"/>
        <v>105000</v>
      </c>
      <c r="K5447" t="e">
        <f>VLOOKUP(B5447,'REGISTRO ABONOS'!$B$8:$BC$10041,54,0)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hidden="1" x14ac:dyDescent="0.2">
      <c r="B5448" s="31">
        <v>5439</v>
      </c>
      <c r="J5448">
        <f t="shared" si="90"/>
        <v>105000</v>
      </c>
      <c r="K5448" t="e">
        <f>VLOOKUP(B5448,'REGISTRO ABONOS'!$B$8:$BC$10041,54,0)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hidden="1" x14ac:dyDescent="0.2">
      <c r="B5449" s="31">
        <v>5440</v>
      </c>
      <c r="J5449">
        <f t="shared" si="90"/>
        <v>105000</v>
      </c>
      <c r="K5449" t="e">
        <f>VLOOKUP(B5449,'REGISTRO ABONOS'!$B$8:$BC$10041,54,0)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hidden="1" x14ac:dyDescent="0.2">
      <c r="B5450" s="31">
        <v>5441</v>
      </c>
      <c r="J5450">
        <f t="shared" si="90"/>
        <v>105000</v>
      </c>
      <c r="K5450" t="e">
        <f>VLOOKUP(B5450,'REGISTRO ABONOS'!$B$8:$BC$10041,54,0)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hidden="1" x14ac:dyDescent="0.2">
      <c r="B5451" s="31">
        <v>5442</v>
      </c>
      <c r="J5451">
        <f t="shared" si="90"/>
        <v>105000</v>
      </c>
      <c r="K5451" t="e">
        <f>VLOOKUP(B5451,'REGISTRO ABONOS'!$B$8:$BC$10041,54,0)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hidden="1" x14ac:dyDescent="0.2">
      <c r="B5452" s="31">
        <v>5443</v>
      </c>
      <c r="J5452">
        <f t="shared" si="90"/>
        <v>105000</v>
      </c>
      <c r="K5452" t="e">
        <f>VLOOKUP(B5452,'REGISTRO ABONOS'!$B$8:$BC$10041,54,0)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hidden="1" x14ac:dyDescent="0.2">
      <c r="B5453" s="31">
        <v>5444</v>
      </c>
      <c r="J5453">
        <f t="shared" si="90"/>
        <v>105000</v>
      </c>
      <c r="K5453" t="e">
        <f>VLOOKUP(B5453,'REGISTRO ABONOS'!$B$8:$BC$10041,54,0)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hidden="1" x14ac:dyDescent="0.2">
      <c r="B5454" s="31">
        <v>5445</v>
      </c>
      <c r="J5454">
        <f t="shared" si="90"/>
        <v>105000</v>
      </c>
      <c r="K5454" t="e">
        <f>VLOOKUP(B5454,'REGISTRO ABONOS'!$B$8:$BC$10041,54,0)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hidden="1" x14ac:dyDescent="0.2">
      <c r="B5455" s="31">
        <v>5446</v>
      </c>
      <c r="J5455">
        <f t="shared" si="90"/>
        <v>105000</v>
      </c>
      <c r="K5455" t="e">
        <f>VLOOKUP(B5455,'REGISTRO ABONOS'!$B$8:$BC$10041,54,0)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hidden="1" x14ac:dyDescent="0.2">
      <c r="B5456" s="31">
        <v>5447</v>
      </c>
      <c r="J5456">
        <f t="shared" si="90"/>
        <v>105000</v>
      </c>
      <c r="K5456" t="e">
        <f>VLOOKUP(B5456,'REGISTRO ABONOS'!$B$8:$BC$10041,54,0)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hidden="1" x14ac:dyDescent="0.2">
      <c r="B5457" s="31">
        <v>5448</v>
      </c>
      <c r="J5457">
        <f t="shared" si="90"/>
        <v>105000</v>
      </c>
      <c r="K5457" t="e">
        <f>VLOOKUP(B5457,'REGISTRO ABONOS'!$B$8:$BC$10041,54,0)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hidden="1" x14ac:dyDescent="0.2">
      <c r="B5458" s="31">
        <v>5449</v>
      </c>
      <c r="J5458">
        <f t="shared" si="90"/>
        <v>105000</v>
      </c>
      <c r="K5458" t="e">
        <f>VLOOKUP(B5458,'REGISTRO ABONOS'!$B$8:$BC$10041,54,0)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hidden="1" x14ac:dyDescent="0.2">
      <c r="B5459" s="31">
        <v>5450</v>
      </c>
      <c r="J5459">
        <f t="shared" si="90"/>
        <v>105000</v>
      </c>
      <c r="K5459" t="e">
        <f>VLOOKUP(B5459,'REGISTRO ABONOS'!$B$8:$BC$10041,54,0)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hidden="1" x14ac:dyDescent="0.2">
      <c r="B5460" s="31">
        <v>5451</v>
      </c>
      <c r="J5460">
        <f t="shared" si="90"/>
        <v>105000</v>
      </c>
      <c r="K5460" t="e">
        <f>VLOOKUP(B5460,'REGISTRO ABONOS'!$B$8:$BC$10041,54,0)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hidden="1" x14ac:dyDescent="0.2">
      <c r="B5461" s="31">
        <v>5452</v>
      </c>
      <c r="J5461">
        <f t="shared" si="90"/>
        <v>105000</v>
      </c>
      <c r="K5461" t="e">
        <f>VLOOKUP(B5461,'REGISTRO ABONOS'!$B$8:$BC$10041,54,0)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hidden="1" x14ac:dyDescent="0.2">
      <c r="B5462" s="31">
        <v>5453</v>
      </c>
      <c r="J5462">
        <f t="shared" si="90"/>
        <v>105000</v>
      </c>
      <c r="K5462" t="e">
        <f>VLOOKUP(B5462,'REGISTRO ABONOS'!$B$8:$BC$10041,54,0)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hidden="1" x14ac:dyDescent="0.2">
      <c r="B5463" s="31">
        <v>5454</v>
      </c>
      <c r="J5463">
        <f t="shared" si="90"/>
        <v>105000</v>
      </c>
      <c r="K5463" t="e">
        <f>VLOOKUP(B5463,'REGISTRO ABONOS'!$B$8:$BC$10041,54,0)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hidden="1" x14ac:dyDescent="0.2">
      <c r="B5464" s="31">
        <v>5455</v>
      </c>
      <c r="J5464">
        <f t="shared" si="90"/>
        <v>105000</v>
      </c>
      <c r="K5464" t="e">
        <f>VLOOKUP(B5464,'REGISTRO ABONOS'!$B$8:$BC$10041,54,0)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hidden="1" x14ac:dyDescent="0.2">
      <c r="B5465" s="31">
        <v>5456</v>
      </c>
      <c r="J5465">
        <f t="shared" si="90"/>
        <v>105000</v>
      </c>
      <c r="K5465" t="e">
        <f>VLOOKUP(B5465,'REGISTRO ABONOS'!$B$8:$BC$10041,54,0)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hidden="1" x14ac:dyDescent="0.2">
      <c r="B5466" s="31">
        <v>5457</v>
      </c>
      <c r="J5466">
        <f t="shared" si="90"/>
        <v>105000</v>
      </c>
      <c r="K5466" t="e">
        <f>VLOOKUP(B5466,'REGISTRO ABONOS'!$B$8:$BC$10041,54,0)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hidden="1" x14ac:dyDescent="0.2">
      <c r="B5467" s="31">
        <v>5458</v>
      </c>
      <c r="J5467">
        <f t="shared" si="90"/>
        <v>105000</v>
      </c>
      <c r="K5467" t="e">
        <f>VLOOKUP(B5467,'REGISTRO ABONOS'!$B$8:$BC$10041,54,0)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hidden="1" x14ac:dyDescent="0.2">
      <c r="B5468" s="31">
        <v>5459</v>
      </c>
      <c r="J5468">
        <f t="shared" si="90"/>
        <v>105000</v>
      </c>
      <c r="K5468" t="e">
        <f>VLOOKUP(B5468,'REGISTRO ABONOS'!$B$8:$BC$10041,54,0)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hidden="1" x14ac:dyDescent="0.2">
      <c r="B5469" s="31">
        <v>5460</v>
      </c>
      <c r="J5469">
        <f t="shared" si="90"/>
        <v>105000</v>
      </c>
      <c r="K5469" t="e">
        <f>VLOOKUP(B5469,'REGISTRO ABONOS'!$B$8:$BC$10041,54,0)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hidden="1" x14ac:dyDescent="0.2">
      <c r="B5470" s="31">
        <v>5461</v>
      </c>
      <c r="J5470">
        <f t="shared" si="90"/>
        <v>105000</v>
      </c>
      <c r="K5470" t="e">
        <f>VLOOKUP(B5470,'REGISTRO ABONOS'!$B$8:$BC$10041,54,0)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hidden="1" x14ac:dyDescent="0.2">
      <c r="B5471" s="31">
        <v>5462</v>
      </c>
      <c r="J5471">
        <f t="shared" si="90"/>
        <v>105000</v>
      </c>
      <c r="K5471" t="e">
        <f>VLOOKUP(B5471,'REGISTRO ABONOS'!$B$8:$BC$10041,54,0)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hidden="1" x14ac:dyDescent="0.2">
      <c r="B5472" s="31">
        <v>5463</v>
      </c>
      <c r="J5472">
        <f t="shared" si="90"/>
        <v>105000</v>
      </c>
      <c r="K5472" t="e">
        <f>VLOOKUP(B5472,'REGISTRO ABONOS'!$B$8:$BC$10041,54,0)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hidden="1" x14ac:dyDescent="0.2">
      <c r="B5473" s="31">
        <v>5464</v>
      </c>
      <c r="J5473">
        <f t="shared" si="90"/>
        <v>105000</v>
      </c>
      <c r="K5473" t="e">
        <f>VLOOKUP(B5473,'REGISTRO ABONOS'!$B$8:$BC$10041,54,0)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hidden="1" x14ac:dyDescent="0.2">
      <c r="B5474" s="31">
        <v>5465</v>
      </c>
      <c r="J5474">
        <f t="shared" si="90"/>
        <v>105000</v>
      </c>
      <c r="K5474" t="e">
        <f>VLOOKUP(B5474,'REGISTRO ABONOS'!$B$8:$BC$10041,54,0)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hidden="1" x14ac:dyDescent="0.2">
      <c r="B5475" s="31">
        <v>5466</v>
      </c>
      <c r="J5475">
        <f t="shared" si="90"/>
        <v>105000</v>
      </c>
      <c r="K5475" t="e">
        <f>VLOOKUP(B5475,'REGISTRO ABONOS'!$B$8:$BC$10041,54,0)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hidden="1" x14ac:dyDescent="0.2">
      <c r="B5476" s="31">
        <v>5467</v>
      </c>
      <c r="J5476">
        <f t="shared" si="90"/>
        <v>105000</v>
      </c>
      <c r="K5476" t="e">
        <f>VLOOKUP(B5476,'REGISTRO ABONOS'!$B$8:$BC$10041,54,0)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hidden="1" x14ac:dyDescent="0.2">
      <c r="B5477" s="31">
        <v>5468</v>
      </c>
      <c r="J5477">
        <f t="shared" si="90"/>
        <v>105000</v>
      </c>
      <c r="K5477" t="e">
        <f>VLOOKUP(B5477,'REGISTRO ABONOS'!$B$8:$BC$10041,54,0)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hidden="1" x14ac:dyDescent="0.2">
      <c r="B5478" s="31">
        <v>5469</v>
      </c>
      <c r="J5478">
        <f t="shared" si="90"/>
        <v>105000</v>
      </c>
      <c r="K5478" t="e">
        <f>VLOOKUP(B5478,'REGISTRO ABONOS'!$B$8:$BC$10041,54,0)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hidden="1" x14ac:dyDescent="0.2">
      <c r="B5479" s="31">
        <v>5470</v>
      </c>
      <c r="J5479">
        <f t="shared" si="90"/>
        <v>105000</v>
      </c>
      <c r="K5479" t="e">
        <f>VLOOKUP(B5479,'REGISTRO ABONOS'!$B$8:$BC$10041,54,0)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hidden="1" x14ac:dyDescent="0.2">
      <c r="B5480" s="31">
        <v>5471</v>
      </c>
      <c r="J5480">
        <f t="shared" si="90"/>
        <v>105000</v>
      </c>
      <c r="K5480" t="e">
        <f>VLOOKUP(B5480,'REGISTRO ABONOS'!$B$8:$BC$10041,54,0)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hidden="1" x14ac:dyDescent="0.2">
      <c r="B5481" s="31">
        <v>5472</v>
      </c>
      <c r="J5481">
        <f t="shared" si="90"/>
        <v>105000</v>
      </c>
      <c r="K5481" t="e">
        <f>VLOOKUP(B5481,'REGISTRO ABONOS'!$B$8:$BC$10041,54,0)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hidden="1" x14ac:dyDescent="0.2">
      <c r="B5482" s="31">
        <v>5473</v>
      </c>
      <c r="J5482">
        <f t="shared" si="90"/>
        <v>105000</v>
      </c>
      <c r="K5482" t="e">
        <f>VLOOKUP(B5482,'REGISTRO ABONOS'!$B$8:$BC$10041,54,0)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hidden="1" x14ac:dyDescent="0.2">
      <c r="B5483" s="31">
        <v>5474</v>
      </c>
      <c r="J5483">
        <f t="shared" si="90"/>
        <v>105000</v>
      </c>
      <c r="K5483" t="e">
        <f>VLOOKUP(B5483,'REGISTRO ABONOS'!$B$8:$BC$10041,54,0)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hidden="1" x14ac:dyDescent="0.2">
      <c r="B5484" s="31">
        <v>5475</v>
      </c>
      <c r="J5484">
        <f t="shared" si="90"/>
        <v>105000</v>
      </c>
      <c r="K5484" t="e">
        <f>VLOOKUP(B5484,'REGISTRO ABONOS'!$B$8:$BC$10041,54,0)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hidden="1" x14ac:dyDescent="0.2">
      <c r="B5485" s="31">
        <v>5476</v>
      </c>
      <c r="J5485">
        <f t="shared" si="90"/>
        <v>105000</v>
      </c>
      <c r="K5485" t="e">
        <f>VLOOKUP(B5485,'REGISTRO ABONOS'!$B$8:$BC$10041,54,0)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hidden="1" x14ac:dyDescent="0.2">
      <c r="B5486" s="31">
        <v>5477</v>
      </c>
      <c r="J5486">
        <f t="shared" si="90"/>
        <v>105000</v>
      </c>
      <c r="K5486" t="e">
        <f>VLOOKUP(B5486,'REGISTRO ABONOS'!$B$8:$BC$10041,54,0)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hidden="1" x14ac:dyDescent="0.2">
      <c r="B5487" s="31">
        <v>5478</v>
      </c>
      <c r="J5487">
        <f t="shared" si="90"/>
        <v>105000</v>
      </c>
      <c r="K5487" t="e">
        <f>VLOOKUP(B5487,'REGISTRO ABONOS'!$B$8:$BC$10041,54,0)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hidden="1" x14ac:dyDescent="0.2">
      <c r="B5488" s="31">
        <v>5479</v>
      </c>
      <c r="J5488">
        <f t="shared" si="90"/>
        <v>105000</v>
      </c>
      <c r="K5488" t="e">
        <f>VLOOKUP(B5488,'REGISTRO ABONOS'!$B$8:$BC$10041,54,0)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hidden="1" x14ac:dyDescent="0.2">
      <c r="B5489" s="31">
        <v>5480</v>
      </c>
      <c r="J5489">
        <f t="shared" si="90"/>
        <v>105000</v>
      </c>
      <c r="K5489" t="e">
        <f>VLOOKUP(B5489,'REGISTRO ABONOS'!$B$8:$BC$10041,54,0)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hidden="1" x14ac:dyDescent="0.2">
      <c r="B5490" s="31">
        <v>5481</v>
      </c>
      <c r="J5490">
        <f t="shared" si="90"/>
        <v>105000</v>
      </c>
      <c r="K5490" t="e">
        <f>VLOOKUP(B5490,'REGISTRO ABONOS'!$B$8:$BC$10041,54,0)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hidden="1" x14ac:dyDescent="0.2">
      <c r="B5491" s="31">
        <v>5482</v>
      </c>
      <c r="J5491">
        <f t="shared" si="90"/>
        <v>105000</v>
      </c>
      <c r="K5491" t="e">
        <f>VLOOKUP(B5491,'REGISTRO ABONOS'!$B$8:$BC$10041,54,0)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hidden="1" x14ac:dyDescent="0.2">
      <c r="B5492" s="31">
        <v>5483</v>
      </c>
      <c r="J5492">
        <f t="shared" si="90"/>
        <v>105000</v>
      </c>
      <c r="K5492" t="e">
        <f>VLOOKUP(B5492,'REGISTRO ABONOS'!$B$8:$BC$10041,54,0)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hidden="1" x14ac:dyDescent="0.2">
      <c r="B5493" s="31">
        <v>5484</v>
      </c>
      <c r="J5493">
        <f t="shared" si="90"/>
        <v>105000</v>
      </c>
      <c r="K5493" t="e">
        <f>VLOOKUP(B5493,'REGISTRO ABONOS'!$B$8:$BC$10041,54,0)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hidden="1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ABONOS'!$B$8:$BC$10041,54,0)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hidden="1" x14ac:dyDescent="0.2">
      <c r="B5495" s="31">
        <v>5486</v>
      </c>
      <c r="J5495">
        <f t="shared" si="91"/>
        <v>105000</v>
      </c>
      <c r="K5495" t="e">
        <f>VLOOKUP(B5495,'REGISTRO ABONOS'!$B$8:$BC$10041,54,0)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hidden="1" x14ac:dyDescent="0.2">
      <c r="B5496" s="31">
        <v>5487</v>
      </c>
      <c r="J5496">
        <f t="shared" si="91"/>
        <v>105000</v>
      </c>
      <c r="K5496" t="e">
        <f>VLOOKUP(B5496,'REGISTRO ABONOS'!$B$8:$BC$10041,54,0)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hidden="1" x14ac:dyDescent="0.2">
      <c r="B5497" s="31">
        <v>5488</v>
      </c>
      <c r="J5497">
        <f t="shared" si="91"/>
        <v>105000</v>
      </c>
      <c r="K5497" t="e">
        <f>VLOOKUP(B5497,'REGISTRO ABONOS'!$B$8:$BC$10041,54,0)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hidden="1" x14ac:dyDescent="0.2">
      <c r="B5498" s="31">
        <v>5489</v>
      </c>
      <c r="J5498">
        <f t="shared" si="91"/>
        <v>105000</v>
      </c>
      <c r="K5498" t="e">
        <f>VLOOKUP(B5498,'REGISTRO ABONOS'!$B$8:$BC$10041,54,0)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hidden="1" x14ac:dyDescent="0.2">
      <c r="B5499" s="31">
        <v>5490</v>
      </c>
      <c r="J5499">
        <f t="shared" si="91"/>
        <v>105000</v>
      </c>
      <c r="K5499" t="e">
        <f>VLOOKUP(B5499,'REGISTRO ABONOS'!$B$8:$BC$10041,54,0)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hidden="1" x14ac:dyDescent="0.2">
      <c r="B5500" s="31">
        <v>5491</v>
      </c>
      <c r="J5500">
        <f t="shared" si="91"/>
        <v>105000</v>
      </c>
      <c r="K5500" t="e">
        <f>VLOOKUP(B5500,'REGISTRO ABONOS'!$B$8:$BC$10041,54,0)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hidden="1" x14ac:dyDescent="0.2">
      <c r="B5501" s="31">
        <v>5492</v>
      </c>
      <c r="J5501">
        <f t="shared" si="91"/>
        <v>105000</v>
      </c>
      <c r="K5501" t="e">
        <f>VLOOKUP(B5501,'REGISTRO ABONOS'!$B$8:$BC$10041,54,0)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hidden="1" x14ac:dyDescent="0.2">
      <c r="B5502" s="31">
        <v>5493</v>
      </c>
      <c r="J5502">
        <f t="shared" si="91"/>
        <v>105000</v>
      </c>
      <c r="K5502" t="e">
        <f>VLOOKUP(B5502,'REGISTRO ABONOS'!$B$8:$BC$10041,54,0)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hidden="1" x14ac:dyDescent="0.2">
      <c r="B5503" s="31">
        <v>5494</v>
      </c>
      <c r="J5503">
        <f t="shared" si="91"/>
        <v>105000</v>
      </c>
      <c r="K5503" t="e">
        <f>VLOOKUP(B5503,'REGISTRO ABONOS'!$B$8:$BC$10041,54,0)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hidden="1" x14ac:dyDescent="0.2">
      <c r="B5504" s="31">
        <v>5495</v>
      </c>
      <c r="J5504">
        <f t="shared" si="91"/>
        <v>105000</v>
      </c>
      <c r="K5504" t="e">
        <f>VLOOKUP(B5504,'REGISTRO ABONOS'!$B$8:$BC$10041,54,0)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hidden="1" x14ac:dyDescent="0.2">
      <c r="B5505" s="31">
        <v>5496</v>
      </c>
      <c r="J5505">
        <f t="shared" si="91"/>
        <v>105000</v>
      </c>
      <c r="K5505" t="e">
        <f>VLOOKUP(B5505,'REGISTRO ABONOS'!$B$8:$BC$10041,54,0)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hidden="1" x14ac:dyDescent="0.2">
      <c r="B5506" s="31">
        <v>5497</v>
      </c>
      <c r="J5506">
        <f t="shared" si="91"/>
        <v>105000</v>
      </c>
      <c r="K5506" t="e">
        <f>VLOOKUP(B5506,'REGISTRO ABONOS'!$B$8:$BC$10041,54,0)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hidden="1" x14ac:dyDescent="0.2">
      <c r="B5507" s="31">
        <v>5498</v>
      </c>
      <c r="J5507">
        <f t="shared" si="91"/>
        <v>105000</v>
      </c>
      <c r="K5507" t="e">
        <f>VLOOKUP(B5507,'REGISTRO ABONOS'!$B$8:$BC$10041,54,0)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hidden="1" x14ac:dyDescent="0.2">
      <c r="B5508" s="31">
        <v>5499</v>
      </c>
      <c r="J5508">
        <f t="shared" si="91"/>
        <v>105000</v>
      </c>
      <c r="K5508" t="e">
        <f>VLOOKUP(B5508,'REGISTRO ABONOS'!$B$8:$BC$10041,54,0)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hidden="1" x14ac:dyDescent="0.2">
      <c r="B5509" s="31">
        <v>5500</v>
      </c>
      <c r="J5509">
        <f t="shared" si="91"/>
        <v>105000</v>
      </c>
      <c r="K5509" t="e">
        <f>VLOOKUP(B5509,'REGISTRO ABONOS'!$B$8:$BC$10041,54,0)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hidden="1" x14ac:dyDescent="0.2">
      <c r="B5510" s="31">
        <v>5501</v>
      </c>
      <c r="J5510">
        <f t="shared" si="91"/>
        <v>105000</v>
      </c>
      <c r="K5510" t="e">
        <f>VLOOKUP(B5510,'REGISTRO ABONOS'!$B$8:$BC$10041,54,0)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hidden="1" x14ac:dyDescent="0.2">
      <c r="B5511" s="31">
        <v>5502</v>
      </c>
      <c r="J5511">
        <f t="shared" si="91"/>
        <v>105000</v>
      </c>
      <c r="K5511" t="e">
        <f>VLOOKUP(B5511,'REGISTRO ABONOS'!$B$8:$BC$10041,54,0)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hidden="1" x14ac:dyDescent="0.2">
      <c r="B5512" s="31">
        <v>5503</v>
      </c>
      <c r="J5512">
        <f t="shared" si="91"/>
        <v>105000</v>
      </c>
      <c r="K5512" t="e">
        <f>VLOOKUP(B5512,'REGISTRO ABONOS'!$B$8:$BC$10041,54,0)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hidden="1" x14ac:dyDescent="0.2">
      <c r="B5513" s="31">
        <v>5504</v>
      </c>
      <c r="J5513">
        <f t="shared" si="91"/>
        <v>105000</v>
      </c>
      <c r="K5513" t="e">
        <f>VLOOKUP(B5513,'REGISTRO ABONOS'!$B$8:$BC$10041,54,0)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hidden="1" x14ac:dyDescent="0.2">
      <c r="B5514" s="31">
        <v>5505</v>
      </c>
      <c r="J5514">
        <f t="shared" si="91"/>
        <v>105000</v>
      </c>
      <c r="K5514" t="e">
        <f>VLOOKUP(B5514,'REGISTRO ABONOS'!$B$8:$BC$10041,54,0)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hidden="1" x14ac:dyDescent="0.2">
      <c r="B5515" s="31">
        <v>5506</v>
      </c>
      <c r="J5515">
        <f t="shared" si="91"/>
        <v>105000</v>
      </c>
      <c r="K5515" t="e">
        <f>VLOOKUP(B5515,'REGISTRO ABONOS'!$B$8:$BC$10041,54,0)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hidden="1" x14ac:dyDescent="0.2">
      <c r="B5516" s="31">
        <v>5507</v>
      </c>
      <c r="J5516">
        <f t="shared" si="91"/>
        <v>105000</v>
      </c>
      <c r="K5516" t="e">
        <f>VLOOKUP(B5516,'REGISTRO ABONOS'!$B$8:$BC$10041,54,0)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hidden="1" x14ac:dyDescent="0.2">
      <c r="B5517" s="31">
        <v>5508</v>
      </c>
      <c r="J5517">
        <f t="shared" si="91"/>
        <v>105000</v>
      </c>
      <c r="K5517" t="e">
        <f>VLOOKUP(B5517,'REGISTRO ABONOS'!$B$8:$BC$10041,54,0)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hidden="1" x14ac:dyDescent="0.2">
      <c r="B5518" s="31">
        <v>5509</v>
      </c>
      <c r="J5518">
        <f t="shared" si="91"/>
        <v>105000</v>
      </c>
      <c r="K5518" t="e">
        <f>VLOOKUP(B5518,'REGISTRO ABONOS'!$B$8:$BC$10041,54,0)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hidden="1" x14ac:dyDescent="0.2">
      <c r="B5519" s="31">
        <v>5510</v>
      </c>
      <c r="J5519">
        <f t="shared" si="91"/>
        <v>105000</v>
      </c>
      <c r="K5519" t="e">
        <f>VLOOKUP(B5519,'REGISTRO ABONOS'!$B$8:$BC$10041,54,0)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hidden="1" x14ac:dyDescent="0.2">
      <c r="B5520" s="31">
        <v>5511</v>
      </c>
      <c r="J5520">
        <f t="shared" si="91"/>
        <v>105000</v>
      </c>
      <c r="K5520" t="e">
        <f>VLOOKUP(B5520,'REGISTRO ABONOS'!$B$8:$BC$10041,54,0)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hidden="1" x14ac:dyDescent="0.2">
      <c r="B5521" s="31">
        <v>5512</v>
      </c>
      <c r="J5521">
        <f t="shared" si="91"/>
        <v>105000</v>
      </c>
      <c r="K5521" t="e">
        <f>VLOOKUP(B5521,'REGISTRO ABONOS'!$B$8:$BC$10041,54,0)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hidden="1" x14ac:dyDescent="0.2">
      <c r="B5522" s="31">
        <v>5513</v>
      </c>
      <c r="J5522">
        <f t="shared" si="91"/>
        <v>105000</v>
      </c>
      <c r="K5522" t="e">
        <f>VLOOKUP(B5522,'REGISTRO ABONOS'!$B$8:$BC$10041,54,0)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hidden="1" x14ac:dyDescent="0.2">
      <c r="B5523" s="31">
        <v>5514</v>
      </c>
      <c r="J5523">
        <f t="shared" si="91"/>
        <v>105000</v>
      </c>
      <c r="K5523" t="e">
        <f>VLOOKUP(B5523,'REGISTRO ABONOS'!$B$8:$BC$10041,54,0)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hidden="1" x14ac:dyDescent="0.2">
      <c r="B5524" s="31">
        <v>5515</v>
      </c>
      <c r="J5524">
        <f t="shared" si="91"/>
        <v>105000</v>
      </c>
      <c r="K5524" t="e">
        <f>VLOOKUP(B5524,'REGISTRO ABONOS'!$B$8:$BC$10041,54,0)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hidden="1" x14ac:dyDescent="0.2">
      <c r="B5525" s="31">
        <v>5516</v>
      </c>
      <c r="J5525">
        <f t="shared" si="91"/>
        <v>105000</v>
      </c>
      <c r="K5525" t="e">
        <f>VLOOKUP(B5525,'REGISTRO ABONOS'!$B$8:$BC$10041,54,0)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hidden="1" x14ac:dyDescent="0.2">
      <c r="B5526" s="31">
        <v>5517</v>
      </c>
      <c r="J5526">
        <f t="shared" si="91"/>
        <v>105000</v>
      </c>
      <c r="K5526" t="e">
        <f>VLOOKUP(B5526,'REGISTRO ABONOS'!$B$8:$BC$10041,54,0)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hidden="1" x14ac:dyDescent="0.2">
      <c r="B5527" s="31">
        <v>5518</v>
      </c>
      <c r="J5527">
        <f t="shared" si="91"/>
        <v>105000</v>
      </c>
      <c r="K5527" t="e">
        <f>VLOOKUP(B5527,'REGISTRO ABONOS'!$B$8:$BC$10041,54,0)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1"/>
        <v>105000</v>
      </c>
      <c r="K5528" t="e">
        <f>VLOOKUP(B5528,'REGISTRO ABONOS'!$B$8:$BC$10041,54,0)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hidden="1" x14ac:dyDescent="0.2">
      <c r="B5529" s="31">
        <v>5520</v>
      </c>
      <c r="J5529">
        <f t="shared" si="91"/>
        <v>105000</v>
      </c>
      <c r="K5529" t="e">
        <f>VLOOKUP(B5529,'REGISTRO ABONOS'!$B$8:$BC$10041,54,0)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hidden="1" x14ac:dyDescent="0.2">
      <c r="B5530" s="31">
        <v>5521</v>
      </c>
      <c r="J5530">
        <f t="shared" si="91"/>
        <v>105000</v>
      </c>
      <c r="K5530" t="e">
        <f>VLOOKUP(B5530,'REGISTRO ABONOS'!$B$8:$BC$10041,54,0)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hidden="1" x14ac:dyDescent="0.2">
      <c r="B5531" s="31">
        <v>5522</v>
      </c>
      <c r="J5531">
        <f t="shared" si="91"/>
        <v>105000</v>
      </c>
      <c r="K5531" t="e">
        <f>VLOOKUP(B5531,'REGISTRO ABONOS'!$B$8:$BC$10041,54,0)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hidden="1" x14ac:dyDescent="0.2">
      <c r="B5532" s="31">
        <v>5523</v>
      </c>
      <c r="J5532">
        <f t="shared" si="91"/>
        <v>105000</v>
      </c>
      <c r="K5532" t="e">
        <f>VLOOKUP(B5532,'REGISTRO ABONOS'!$B$8:$BC$10041,54,0)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hidden="1" x14ac:dyDescent="0.2">
      <c r="B5533" s="31">
        <v>5524</v>
      </c>
      <c r="J5533">
        <f t="shared" si="91"/>
        <v>105000</v>
      </c>
      <c r="K5533" t="e">
        <f>VLOOKUP(B5533,'REGISTRO ABONOS'!$B$8:$BC$10041,54,0)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hidden="1" x14ac:dyDescent="0.2">
      <c r="B5534" s="31">
        <v>5525</v>
      </c>
      <c r="J5534">
        <f t="shared" si="91"/>
        <v>105000</v>
      </c>
      <c r="K5534" t="e">
        <f>VLOOKUP(B5534,'REGISTRO ABONOS'!$B$8:$BC$10041,54,0)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hidden="1" x14ac:dyDescent="0.2">
      <c r="B5535" s="31">
        <v>5526</v>
      </c>
      <c r="J5535">
        <f t="shared" si="91"/>
        <v>105000</v>
      </c>
      <c r="K5535" t="e">
        <f>VLOOKUP(B5535,'REGISTRO ABONOS'!$B$8:$BC$10041,54,0)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hidden="1" x14ac:dyDescent="0.2">
      <c r="B5536" s="31">
        <v>5527</v>
      </c>
      <c r="J5536">
        <f t="shared" si="91"/>
        <v>105000</v>
      </c>
      <c r="K5536" t="e">
        <f>VLOOKUP(B5536,'REGISTRO ABONOS'!$B$8:$BC$10041,54,0)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hidden="1" x14ac:dyDescent="0.2">
      <c r="B5537" s="31">
        <v>5528</v>
      </c>
      <c r="J5537">
        <f t="shared" si="91"/>
        <v>105000</v>
      </c>
      <c r="K5537" t="e">
        <f>VLOOKUP(B5537,'REGISTRO ABONOS'!$B$8:$BC$10041,54,0)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hidden="1" x14ac:dyDescent="0.2">
      <c r="B5538" s="31">
        <v>5529</v>
      </c>
      <c r="J5538">
        <f t="shared" si="91"/>
        <v>105000</v>
      </c>
      <c r="K5538" t="e">
        <f>VLOOKUP(B5538,'REGISTRO ABONOS'!$B$8:$BC$10041,54,0)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hidden="1" x14ac:dyDescent="0.2">
      <c r="B5539" s="31">
        <v>5530</v>
      </c>
      <c r="J5539">
        <f t="shared" si="91"/>
        <v>105000</v>
      </c>
      <c r="K5539" t="e">
        <f>VLOOKUP(B5539,'REGISTRO ABONOS'!$B$8:$BC$10041,54,0)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hidden="1" x14ac:dyDescent="0.2">
      <c r="B5540" s="31">
        <v>5531</v>
      </c>
      <c r="J5540">
        <f t="shared" si="91"/>
        <v>105000</v>
      </c>
      <c r="K5540" t="e">
        <f>VLOOKUP(B5540,'REGISTRO ABONOS'!$B$8:$BC$10041,54,0)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hidden="1" x14ac:dyDescent="0.2">
      <c r="B5541" s="31">
        <v>5532</v>
      </c>
      <c r="J5541">
        <f t="shared" si="91"/>
        <v>105000</v>
      </c>
      <c r="K5541" t="e">
        <f>VLOOKUP(B5541,'REGISTRO ABONOS'!$B$8:$BC$10041,54,0)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hidden="1" x14ac:dyDescent="0.2">
      <c r="B5542" s="31">
        <v>5533</v>
      </c>
      <c r="J5542">
        <f t="shared" si="91"/>
        <v>105000</v>
      </c>
      <c r="K5542" t="e">
        <f>VLOOKUP(B5542,'REGISTRO ABONOS'!$B$8:$BC$10041,54,0)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hidden="1" x14ac:dyDescent="0.2">
      <c r="B5543" s="31">
        <v>5534</v>
      </c>
      <c r="J5543">
        <f t="shared" si="91"/>
        <v>105000</v>
      </c>
      <c r="K5543" t="e">
        <f>VLOOKUP(B5543,'REGISTRO ABONOS'!$B$8:$BC$10041,54,0)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hidden="1" x14ac:dyDescent="0.2">
      <c r="B5544" s="31">
        <v>5535</v>
      </c>
      <c r="J5544">
        <f t="shared" si="91"/>
        <v>105000</v>
      </c>
      <c r="K5544" t="e">
        <f>VLOOKUP(B5544,'REGISTRO ABONOS'!$B$8:$BC$10041,54,0)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hidden="1" x14ac:dyDescent="0.2">
      <c r="B5545" s="31">
        <v>5536</v>
      </c>
      <c r="J5545">
        <f t="shared" si="91"/>
        <v>105000</v>
      </c>
      <c r="K5545" t="e">
        <f>VLOOKUP(B5545,'REGISTRO ABONOS'!$B$8:$BC$10041,54,0)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hidden="1" x14ac:dyDescent="0.2">
      <c r="B5546" s="31">
        <v>5537</v>
      </c>
      <c r="J5546">
        <f t="shared" si="91"/>
        <v>105000</v>
      </c>
      <c r="K5546" t="e">
        <f>VLOOKUP(B5546,'REGISTRO ABONOS'!$B$8:$BC$10041,54,0)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hidden="1" x14ac:dyDescent="0.2">
      <c r="B5547" s="31">
        <v>5538</v>
      </c>
      <c r="J5547">
        <f t="shared" si="91"/>
        <v>105000</v>
      </c>
      <c r="K5547" t="e">
        <f>VLOOKUP(B5547,'REGISTRO ABONOS'!$B$8:$BC$10041,54,0)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hidden="1" x14ac:dyDescent="0.2">
      <c r="B5548" s="31">
        <v>5539</v>
      </c>
      <c r="J5548">
        <f t="shared" si="91"/>
        <v>105000</v>
      </c>
      <c r="K5548" t="e">
        <f>VLOOKUP(B5548,'REGISTRO ABONOS'!$B$8:$BC$10041,54,0)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hidden="1" x14ac:dyDescent="0.2">
      <c r="B5549" s="31">
        <v>5540</v>
      </c>
      <c r="J5549">
        <f t="shared" si="91"/>
        <v>105000</v>
      </c>
      <c r="K5549" t="e">
        <f>VLOOKUP(B5549,'REGISTRO ABONOS'!$B$8:$BC$10041,54,0)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hidden="1" x14ac:dyDescent="0.2">
      <c r="B5550" s="31">
        <v>5541</v>
      </c>
      <c r="J5550">
        <f t="shared" si="91"/>
        <v>105000</v>
      </c>
      <c r="K5550" t="e">
        <f>VLOOKUP(B5550,'REGISTRO ABONOS'!$B$8:$BC$10041,54,0)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hidden="1" x14ac:dyDescent="0.2">
      <c r="B5551" s="31">
        <v>5542</v>
      </c>
      <c r="J5551">
        <f t="shared" si="91"/>
        <v>105000</v>
      </c>
      <c r="K5551" t="e">
        <f>VLOOKUP(B5551,'REGISTRO ABONOS'!$B$8:$BC$10041,54,0)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hidden="1" x14ac:dyDescent="0.2">
      <c r="B5552" s="31">
        <v>5543</v>
      </c>
      <c r="J5552">
        <f t="shared" si="91"/>
        <v>105000</v>
      </c>
      <c r="K5552" t="e">
        <f>VLOOKUP(B5552,'REGISTRO ABONOS'!$B$8:$BC$10041,54,0)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hidden="1" x14ac:dyDescent="0.2">
      <c r="B5553" s="31">
        <v>5544</v>
      </c>
      <c r="J5553">
        <f t="shared" si="91"/>
        <v>105000</v>
      </c>
      <c r="K5553" t="e">
        <f>VLOOKUP(B5553,'REGISTRO ABONOS'!$B$8:$BC$10041,54,0)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hidden="1" x14ac:dyDescent="0.2">
      <c r="B5554" s="31">
        <v>5545</v>
      </c>
      <c r="J5554">
        <f t="shared" si="91"/>
        <v>105000</v>
      </c>
      <c r="K5554" t="e">
        <f>VLOOKUP(B5554,'REGISTRO ABONOS'!$B$8:$BC$10041,54,0)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hidden="1" x14ac:dyDescent="0.2">
      <c r="B5555" s="31">
        <v>5546</v>
      </c>
      <c r="J5555">
        <f t="shared" si="91"/>
        <v>105000</v>
      </c>
      <c r="K5555" t="e">
        <f>VLOOKUP(B5555,'REGISTRO ABONOS'!$B$8:$BC$10041,54,0)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hidden="1" x14ac:dyDescent="0.2">
      <c r="B5556" s="31">
        <v>5547</v>
      </c>
      <c r="J5556">
        <f t="shared" si="91"/>
        <v>105000</v>
      </c>
      <c r="K5556" t="e">
        <f>VLOOKUP(B5556,'REGISTRO ABONOS'!$B$8:$BC$10041,54,0)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hidden="1" x14ac:dyDescent="0.2">
      <c r="B5557" s="31">
        <v>5548</v>
      </c>
      <c r="J5557">
        <f t="shared" si="91"/>
        <v>105000</v>
      </c>
      <c r="K5557" t="e">
        <f>VLOOKUP(B5557,'REGISTRO ABONOS'!$B$8:$BC$10041,54,0)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hidden="1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ABONOS'!$B$8:$BC$10041,54,0)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2"/>
        <v>105000</v>
      </c>
      <c r="K5559" t="e">
        <f>VLOOKUP(B5559,'REGISTRO ABONOS'!$B$8:$BC$10041,54,0)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hidden="1" x14ac:dyDescent="0.2">
      <c r="B5560" s="31">
        <v>5551</v>
      </c>
      <c r="J5560">
        <f t="shared" si="92"/>
        <v>105000</v>
      </c>
      <c r="K5560" t="e">
        <f>VLOOKUP(B5560,'REGISTRO ABONOS'!$B$8:$BC$10041,54,0)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hidden="1" x14ac:dyDescent="0.2">
      <c r="B5561" s="31">
        <v>5552</v>
      </c>
      <c r="J5561">
        <f t="shared" si="92"/>
        <v>105000</v>
      </c>
      <c r="K5561" t="e">
        <f>VLOOKUP(B5561,'REGISTRO ABONOS'!$B$8:$BC$10041,54,0)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hidden="1" x14ac:dyDescent="0.2">
      <c r="B5562" s="31">
        <v>5553</v>
      </c>
      <c r="J5562">
        <f t="shared" si="92"/>
        <v>105000</v>
      </c>
      <c r="K5562" t="e">
        <f>VLOOKUP(B5562,'REGISTRO ABONOS'!$B$8:$BC$10041,54,0)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hidden="1" x14ac:dyDescent="0.2">
      <c r="B5563" s="31">
        <v>5554</v>
      </c>
      <c r="J5563">
        <f t="shared" si="92"/>
        <v>105000</v>
      </c>
      <c r="K5563" t="e">
        <f>VLOOKUP(B5563,'REGISTRO ABONOS'!$B$8:$BC$10041,54,0)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hidden="1" x14ac:dyDescent="0.2">
      <c r="B5564" s="31">
        <v>5555</v>
      </c>
      <c r="J5564">
        <f t="shared" si="92"/>
        <v>105000</v>
      </c>
      <c r="K5564" t="e">
        <f>VLOOKUP(B5564,'REGISTRO ABONOS'!$B$8:$BC$10041,54,0)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hidden="1" x14ac:dyDescent="0.2">
      <c r="B5565" s="31">
        <v>5556</v>
      </c>
      <c r="J5565">
        <f t="shared" si="92"/>
        <v>105000</v>
      </c>
      <c r="K5565" t="e">
        <f>VLOOKUP(B5565,'REGISTRO ABONOS'!$B$8:$BC$10041,54,0)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hidden="1" x14ac:dyDescent="0.2">
      <c r="B5566" s="31">
        <v>5557</v>
      </c>
      <c r="J5566">
        <f t="shared" si="92"/>
        <v>105000</v>
      </c>
      <c r="K5566" t="e">
        <f>VLOOKUP(B5566,'REGISTRO ABONOS'!$B$8:$BC$10041,54,0)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hidden="1" x14ac:dyDescent="0.2">
      <c r="B5567" s="31">
        <v>5558</v>
      </c>
      <c r="J5567">
        <f t="shared" si="92"/>
        <v>105000</v>
      </c>
      <c r="K5567" t="e">
        <f>VLOOKUP(B5567,'REGISTRO ABONOS'!$B$8:$BC$10041,54,0)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hidden="1" x14ac:dyDescent="0.2">
      <c r="B5568" s="31">
        <v>5559</v>
      </c>
      <c r="J5568">
        <f t="shared" si="92"/>
        <v>105000</v>
      </c>
      <c r="K5568" t="e">
        <f>VLOOKUP(B5568,'REGISTRO ABONOS'!$B$8:$BC$10041,54,0)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hidden="1" x14ac:dyDescent="0.2">
      <c r="B5569" s="31">
        <v>5560</v>
      </c>
      <c r="J5569">
        <f t="shared" si="92"/>
        <v>105000</v>
      </c>
      <c r="K5569" t="e">
        <f>VLOOKUP(B5569,'REGISTRO ABONOS'!$B$8:$BC$10041,54,0)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hidden="1" x14ac:dyDescent="0.2">
      <c r="B5570" s="31">
        <v>5561</v>
      </c>
      <c r="J5570">
        <f t="shared" si="92"/>
        <v>105000</v>
      </c>
      <c r="K5570" t="e">
        <f>VLOOKUP(B5570,'REGISTRO ABONOS'!$B$8:$BC$10041,54,0)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hidden="1" x14ac:dyDescent="0.2">
      <c r="B5571" s="31">
        <v>5562</v>
      </c>
      <c r="J5571">
        <f t="shared" si="92"/>
        <v>105000</v>
      </c>
      <c r="K5571" t="e">
        <f>VLOOKUP(B5571,'REGISTRO ABONOS'!$B$8:$BC$10041,54,0)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hidden="1" x14ac:dyDescent="0.2">
      <c r="B5572" s="31">
        <v>5563</v>
      </c>
      <c r="J5572">
        <f t="shared" si="92"/>
        <v>105000</v>
      </c>
      <c r="K5572" t="e">
        <f>VLOOKUP(B5572,'REGISTRO ABONOS'!$B$8:$BC$10041,54,0)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hidden="1" x14ac:dyDescent="0.2">
      <c r="B5573" s="31">
        <v>5564</v>
      </c>
      <c r="J5573">
        <f t="shared" si="92"/>
        <v>105000</v>
      </c>
      <c r="K5573" t="e">
        <f>VLOOKUP(B5573,'REGISTRO ABONOS'!$B$8:$BC$10041,54,0)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hidden="1" x14ac:dyDescent="0.2">
      <c r="B5574" s="31">
        <v>5565</v>
      </c>
      <c r="J5574">
        <f t="shared" si="92"/>
        <v>105000</v>
      </c>
      <c r="K5574" t="e">
        <f>VLOOKUP(B5574,'REGISTRO ABONOS'!$B$8:$BC$10041,54,0)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hidden="1" x14ac:dyDescent="0.2">
      <c r="B5575" s="31">
        <v>5566</v>
      </c>
      <c r="J5575">
        <f t="shared" si="92"/>
        <v>105000</v>
      </c>
      <c r="K5575" t="e">
        <f>VLOOKUP(B5575,'REGISTRO ABONOS'!$B$8:$BC$10041,54,0)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hidden="1" x14ac:dyDescent="0.2">
      <c r="B5576" s="31">
        <v>5567</v>
      </c>
      <c r="J5576">
        <f t="shared" si="92"/>
        <v>105000</v>
      </c>
      <c r="K5576" t="e">
        <f>VLOOKUP(B5576,'REGISTRO ABONOS'!$B$8:$BC$10041,54,0)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hidden="1" x14ac:dyDescent="0.2">
      <c r="B5577" s="31">
        <v>5568</v>
      </c>
      <c r="J5577">
        <f t="shared" si="92"/>
        <v>105000</v>
      </c>
      <c r="K5577" t="e">
        <f>VLOOKUP(B5577,'REGISTRO ABONOS'!$B$8:$BC$10041,54,0)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hidden="1" x14ac:dyDescent="0.2">
      <c r="B5578" s="31">
        <v>5569</v>
      </c>
      <c r="J5578">
        <f t="shared" si="92"/>
        <v>105000</v>
      </c>
      <c r="K5578" t="e">
        <f>VLOOKUP(B5578,'REGISTRO ABONOS'!$B$8:$BC$10041,54,0)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hidden="1" x14ac:dyDescent="0.2">
      <c r="B5579" s="31">
        <v>5570</v>
      </c>
      <c r="J5579">
        <f t="shared" si="92"/>
        <v>105000</v>
      </c>
      <c r="K5579" t="e">
        <f>VLOOKUP(B5579,'REGISTRO ABONOS'!$B$8:$BC$10041,54,0)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hidden="1" x14ac:dyDescent="0.2">
      <c r="B5580" s="31">
        <v>5571</v>
      </c>
      <c r="J5580">
        <f t="shared" si="92"/>
        <v>105000</v>
      </c>
      <c r="K5580" t="e">
        <f>VLOOKUP(B5580,'REGISTRO ABONOS'!$B$8:$BC$10041,54,0)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hidden="1" x14ac:dyDescent="0.2">
      <c r="B5581" s="31">
        <v>5572</v>
      </c>
      <c r="J5581">
        <f t="shared" si="92"/>
        <v>105000</v>
      </c>
      <c r="K5581" t="e">
        <f>VLOOKUP(B5581,'REGISTRO ABONOS'!$B$8:$BC$10041,54,0)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hidden="1" x14ac:dyDescent="0.2">
      <c r="B5582" s="31">
        <v>5573</v>
      </c>
      <c r="J5582">
        <f t="shared" si="92"/>
        <v>105000</v>
      </c>
      <c r="K5582" t="e">
        <f>VLOOKUP(B5582,'REGISTRO ABONOS'!$B$8:$BC$10041,54,0)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hidden="1" x14ac:dyDescent="0.2">
      <c r="B5583" s="31">
        <v>5574</v>
      </c>
      <c r="J5583">
        <f t="shared" si="92"/>
        <v>105000</v>
      </c>
      <c r="K5583" t="e">
        <f>VLOOKUP(B5583,'REGISTRO ABONOS'!$B$8:$BC$10041,54,0)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hidden="1" x14ac:dyDescent="0.2">
      <c r="B5584" s="31">
        <v>5575</v>
      </c>
      <c r="J5584">
        <f t="shared" si="92"/>
        <v>105000</v>
      </c>
      <c r="K5584" t="e">
        <f>VLOOKUP(B5584,'REGISTRO ABONOS'!$B$8:$BC$10041,54,0)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hidden="1" x14ac:dyDescent="0.2">
      <c r="B5585" s="31">
        <v>5576</v>
      </c>
      <c r="J5585">
        <f t="shared" si="92"/>
        <v>105000</v>
      </c>
      <c r="K5585" t="e">
        <f>VLOOKUP(B5585,'REGISTRO ABONOS'!$B$8:$BC$10041,54,0)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hidden="1" x14ac:dyDescent="0.2">
      <c r="B5586" s="31">
        <v>5577</v>
      </c>
      <c r="J5586">
        <f t="shared" si="92"/>
        <v>105000</v>
      </c>
      <c r="K5586" t="e">
        <f>VLOOKUP(B5586,'REGISTRO ABONOS'!$B$8:$BC$10041,54,0)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hidden="1" x14ac:dyDescent="0.2">
      <c r="B5587" s="31">
        <v>5578</v>
      </c>
      <c r="J5587">
        <f t="shared" si="92"/>
        <v>105000</v>
      </c>
      <c r="K5587" t="e">
        <f>VLOOKUP(B5587,'REGISTRO ABONOS'!$B$8:$BC$10041,54,0)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hidden="1" x14ac:dyDescent="0.2">
      <c r="B5588" s="31">
        <v>5579</v>
      </c>
      <c r="J5588">
        <f t="shared" si="92"/>
        <v>105000</v>
      </c>
      <c r="K5588" t="e">
        <f>VLOOKUP(B5588,'REGISTRO ABONOS'!$B$8:$BC$10041,54,0)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hidden="1" x14ac:dyDescent="0.2">
      <c r="B5589" s="31">
        <v>5580</v>
      </c>
      <c r="J5589">
        <f t="shared" si="92"/>
        <v>105000</v>
      </c>
      <c r="K5589" t="e">
        <f>VLOOKUP(B5589,'REGISTRO ABONOS'!$B$8:$BC$10041,54,0)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hidden="1" x14ac:dyDescent="0.2">
      <c r="B5590" s="31">
        <v>5581</v>
      </c>
      <c r="J5590">
        <f t="shared" si="92"/>
        <v>105000</v>
      </c>
      <c r="K5590" t="e">
        <f>VLOOKUP(B5590,'REGISTRO ABONOS'!$B$8:$BC$10041,54,0)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hidden="1" x14ac:dyDescent="0.2">
      <c r="B5591" s="31">
        <v>5582</v>
      </c>
      <c r="J5591">
        <f t="shared" si="92"/>
        <v>105000</v>
      </c>
      <c r="K5591" t="e">
        <f>VLOOKUP(B5591,'REGISTRO ABONOS'!$B$8:$BC$10041,54,0)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hidden="1" x14ac:dyDescent="0.2">
      <c r="B5592" s="31">
        <v>5583</v>
      </c>
      <c r="J5592">
        <f t="shared" si="92"/>
        <v>105000</v>
      </c>
      <c r="K5592" t="e">
        <f>VLOOKUP(B5592,'REGISTRO ABONOS'!$B$8:$BC$10041,54,0)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hidden="1" x14ac:dyDescent="0.2">
      <c r="B5593" s="31">
        <v>5584</v>
      </c>
      <c r="J5593">
        <f t="shared" si="92"/>
        <v>105000</v>
      </c>
      <c r="K5593" t="e">
        <f>VLOOKUP(B5593,'REGISTRO ABONOS'!$B$8:$BC$10041,54,0)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hidden="1" x14ac:dyDescent="0.2">
      <c r="B5594" s="31">
        <v>5585</v>
      </c>
      <c r="J5594">
        <f t="shared" si="92"/>
        <v>105000</v>
      </c>
      <c r="K5594" t="e">
        <f>VLOOKUP(B5594,'REGISTRO ABONOS'!$B$8:$BC$10041,54,0)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hidden="1" x14ac:dyDescent="0.2">
      <c r="B5595" s="31">
        <v>5586</v>
      </c>
      <c r="J5595">
        <f t="shared" si="92"/>
        <v>105000</v>
      </c>
      <c r="K5595" t="e">
        <f>VLOOKUP(B5595,'REGISTRO ABONOS'!$B$8:$BC$10041,54,0)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hidden="1" x14ac:dyDescent="0.2">
      <c r="B5596" s="31">
        <v>5587</v>
      </c>
      <c r="J5596">
        <f t="shared" si="92"/>
        <v>105000</v>
      </c>
      <c r="K5596" t="e">
        <f>VLOOKUP(B5596,'REGISTRO ABONOS'!$B$8:$BC$10041,54,0)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hidden="1" x14ac:dyDescent="0.2">
      <c r="B5597" s="31">
        <v>5588</v>
      </c>
      <c r="J5597">
        <f t="shared" si="92"/>
        <v>105000</v>
      </c>
      <c r="K5597" t="e">
        <f>VLOOKUP(B5597,'REGISTRO ABONOS'!$B$8:$BC$10041,54,0)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hidden="1" x14ac:dyDescent="0.2">
      <c r="B5598" s="31">
        <v>5589</v>
      </c>
      <c r="J5598">
        <f t="shared" si="92"/>
        <v>105000</v>
      </c>
      <c r="K5598" t="e">
        <f>VLOOKUP(B5598,'REGISTRO ABONOS'!$B$8:$BC$10041,54,0)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hidden="1" x14ac:dyDescent="0.2">
      <c r="B5599" s="31">
        <v>5590</v>
      </c>
      <c r="J5599">
        <f t="shared" si="92"/>
        <v>105000</v>
      </c>
      <c r="K5599" t="e">
        <f>VLOOKUP(B5599,'REGISTRO ABONOS'!$B$8:$BC$10041,54,0)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hidden="1" x14ac:dyDescent="0.2">
      <c r="B5600" s="31">
        <v>5591</v>
      </c>
      <c r="J5600">
        <f t="shared" si="92"/>
        <v>105000</v>
      </c>
      <c r="K5600" t="e">
        <f>VLOOKUP(B5600,'REGISTRO ABONOS'!$B$8:$BC$10041,54,0)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hidden="1" x14ac:dyDescent="0.2">
      <c r="B5601" s="31">
        <v>5592</v>
      </c>
      <c r="J5601">
        <f t="shared" si="92"/>
        <v>105000</v>
      </c>
      <c r="K5601" t="e">
        <f>VLOOKUP(B5601,'REGISTRO ABONOS'!$B$8:$BC$10041,54,0)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hidden="1" x14ac:dyDescent="0.2">
      <c r="B5602" s="31">
        <v>5593</v>
      </c>
      <c r="J5602">
        <f t="shared" si="92"/>
        <v>105000</v>
      </c>
      <c r="K5602" t="e">
        <f>VLOOKUP(B5602,'REGISTRO ABONOS'!$B$8:$BC$10041,54,0)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hidden="1" x14ac:dyDescent="0.2">
      <c r="B5603" s="31">
        <v>5594</v>
      </c>
      <c r="J5603">
        <f t="shared" si="92"/>
        <v>105000</v>
      </c>
      <c r="K5603" t="e">
        <f>VLOOKUP(B5603,'REGISTRO ABONOS'!$B$8:$BC$10041,54,0)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hidden="1" x14ac:dyDescent="0.2">
      <c r="B5604" s="31">
        <v>5595</v>
      </c>
      <c r="J5604">
        <f t="shared" si="92"/>
        <v>105000</v>
      </c>
      <c r="K5604" t="e">
        <f>VLOOKUP(B5604,'REGISTRO ABONOS'!$B$8:$BC$10041,54,0)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hidden="1" x14ac:dyDescent="0.2">
      <c r="B5605" s="31">
        <v>5596</v>
      </c>
      <c r="J5605">
        <f t="shared" si="92"/>
        <v>105000</v>
      </c>
      <c r="K5605" t="e">
        <f>VLOOKUP(B5605,'REGISTRO ABONOS'!$B$8:$BC$10041,54,0)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hidden="1" x14ac:dyDescent="0.2">
      <c r="B5606" s="31">
        <v>5597</v>
      </c>
      <c r="J5606">
        <f t="shared" si="92"/>
        <v>105000</v>
      </c>
      <c r="K5606" t="e">
        <f>VLOOKUP(B5606,'REGISTRO ABONOS'!$B$8:$BC$10041,54,0)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hidden="1" x14ac:dyDescent="0.2">
      <c r="B5607" s="31">
        <v>5598</v>
      </c>
      <c r="J5607">
        <f t="shared" si="92"/>
        <v>105000</v>
      </c>
      <c r="K5607" t="e">
        <f>VLOOKUP(B5607,'REGISTRO ABONOS'!$B$8:$BC$10041,54,0)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hidden="1" x14ac:dyDescent="0.2">
      <c r="B5608" s="31">
        <v>5599</v>
      </c>
      <c r="J5608">
        <f t="shared" si="92"/>
        <v>105000</v>
      </c>
      <c r="K5608" t="e">
        <f>VLOOKUP(B5608,'REGISTRO ABONOS'!$B$8:$BC$10041,54,0)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hidden="1" x14ac:dyDescent="0.2">
      <c r="B5609" s="31">
        <v>5600</v>
      </c>
      <c r="J5609">
        <f t="shared" si="92"/>
        <v>105000</v>
      </c>
      <c r="K5609" t="e">
        <f>VLOOKUP(B5609,'REGISTRO ABONOS'!$B$8:$BC$10041,54,0)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hidden="1" x14ac:dyDescent="0.2">
      <c r="B5610" s="31">
        <v>5601</v>
      </c>
      <c r="J5610">
        <f t="shared" si="92"/>
        <v>105000</v>
      </c>
      <c r="K5610" t="e">
        <f>VLOOKUP(B5610,'REGISTRO ABONOS'!$B$8:$BC$10041,54,0)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hidden="1" x14ac:dyDescent="0.2">
      <c r="B5611" s="31">
        <v>5602</v>
      </c>
      <c r="J5611">
        <f t="shared" si="92"/>
        <v>105000</v>
      </c>
      <c r="K5611" t="e">
        <f>VLOOKUP(B5611,'REGISTRO ABONOS'!$B$8:$BC$10041,54,0)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hidden="1" x14ac:dyDescent="0.2">
      <c r="B5612" s="31">
        <v>5603</v>
      </c>
      <c r="J5612">
        <f t="shared" si="92"/>
        <v>105000</v>
      </c>
      <c r="K5612" t="e">
        <f>VLOOKUP(B5612,'REGISTRO ABONOS'!$B$8:$BC$10041,54,0)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hidden="1" x14ac:dyDescent="0.2">
      <c r="B5613" s="31">
        <v>5604</v>
      </c>
      <c r="J5613">
        <f t="shared" si="92"/>
        <v>105000</v>
      </c>
      <c r="K5613" t="e">
        <f>VLOOKUP(B5613,'REGISTRO ABONOS'!$B$8:$BC$10041,54,0)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hidden="1" x14ac:dyDescent="0.2">
      <c r="B5614" s="31">
        <v>5605</v>
      </c>
      <c r="J5614">
        <f t="shared" si="92"/>
        <v>105000</v>
      </c>
      <c r="K5614" t="e">
        <f>VLOOKUP(B5614,'REGISTRO ABONOS'!$B$8:$BC$10041,54,0)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hidden="1" x14ac:dyDescent="0.2">
      <c r="B5615" s="31">
        <v>5606</v>
      </c>
      <c r="J5615">
        <f t="shared" si="92"/>
        <v>105000</v>
      </c>
      <c r="K5615" t="e">
        <f>VLOOKUP(B5615,'REGISTRO ABONOS'!$B$8:$BC$10041,54,0)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hidden="1" x14ac:dyDescent="0.2">
      <c r="B5616" s="31">
        <v>5607</v>
      </c>
      <c r="J5616">
        <f t="shared" si="92"/>
        <v>105000</v>
      </c>
      <c r="K5616" t="e">
        <f>VLOOKUP(B5616,'REGISTRO ABONOS'!$B$8:$BC$10041,54,0)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hidden="1" x14ac:dyDescent="0.2">
      <c r="B5617" s="31">
        <v>5608</v>
      </c>
      <c r="J5617">
        <f t="shared" si="92"/>
        <v>105000</v>
      </c>
      <c r="K5617" t="e">
        <f>VLOOKUP(B5617,'REGISTRO ABONOS'!$B$8:$BC$10041,54,0)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hidden="1" x14ac:dyDescent="0.2">
      <c r="B5618" s="31">
        <v>5609</v>
      </c>
      <c r="J5618">
        <f t="shared" si="92"/>
        <v>105000</v>
      </c>
      <c r="K5618" t="e">
        <f>VLOOKUP(B5618,'REGISTRO ABONOS'!$B$8:$BC$10041,54,0)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hidden="1" x14ac:dyDescent="0.2">
      <c r="B5619" s="31">
        <v>5610</v>
      </c>
      <c r="J5619">
        <f t="shared" si="92"/>
        <v>105000</v>
      </c>
      <c r="K5619" t="e">
        <f>VLOOKUP(B5619,'REGISTRO ABONOS'!$B$8:$BC$10041,54,0)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hidden="1" x14ac:dyDescent="0.2">
      <c r="B5620" s="31">
        <v>5611</v>
      </c>
      <c r="J5620">
        <f t="shared" si="92"/>
        <v>105000</v>
      </c>
      <c r="K5620" t="e">
        <f>VLOOKUP(B5620,'REGISTRO ABONOS'!$B$8:$BC$10041,54,0)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hidden="1" x14ac:dyDescent="0.2">
      <c r="B5621" s="31">
        <v>5612</v>
      </c>
      <c r="J5621">
        <f t="shared" si="92"/>
        <v>105000</v>
      </c>
      <c r="K5621" t="e">
        <f>VLOOKUP(B5621,'REGISTRO ABONOS'!$B$8:$BC$10041,54,0)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hidden="1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ABONOS'!$B$8:$BC$10041,54,0)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hidden="1" x14ac:dyDescent="0.2">
      <c r="B5623" s="31">
        <v>5614</v>
      </c>
      <c r="J5623">
        <f t="shared" si="93"/>
        <v>105000</v>
      </c>
      <c r="K5623" t="e">
        <f>VLOOKUP(B5623,'REGISTRO ABONOS'!$B$8:$BC$10041,54,0)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hidden="1" x14ac:dyDescent="0.2">
      <c r="B5624" s="31">
        <v>5615</v>
      </c>
      <c r="J5624">
        <f t="shared" si="93"/>
        <v>105000</v>
      </c>
      <c r="K5624" t="e">
        <f>VLOOKUP(B5624,'REGISTRO ABONOS'!$B$8:$BC$10041,54,0)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hidden="1" x14ac:dyDescent="0.2">
      <c r="B5625" s="31">
        <v>5616</v>
      </c>
      <c r="J5625">
        <f t="shared" si="93"/>
        <v>105000</v>
      </c>
      <c r="K5625" t="e">
        <f>VLOOKUP(B5625,'REGISTRO ABONOS'!$B$8:$BC$10041,54,0)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hidden="1" x14ac:dyDescent="0.2">
      <c r="B5626" s="31">
        <v>5617</v>
      </c>
      <c r="J5626">
        <f t="shared" si="93"/>
        <v>105000</v>
      </c>
      <c r="K5626" t="e">
        <f>VLOOKUP(B5626,'REGISTRO ABONOS'!$B$8:$BC$10041,54,0)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hidden="1" x14ac:dyDescent="0.2">
      <c r="B5627" s="31">
        <v>5618</v>
      </c>
      <c r="J5627">
        <f t="shared" si="93"/>
        <v>105000</v>
      </c>
      <c r="K5627" t="e">
        <f>VLOOKUP(B5627,'REGISTRO ABONOS'!$B$8:$BC$10041,54,0)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hidden="1" x14ac:dyDescent="0.2">
      <c r="B5628" s="31">
        <v>5619</v>
      </c>
      <c r="J5628">
        <f t="shared" si="93"/>
        <v>105000</v>
      </c>
      <c r="K5628" t="e">
        <f>VLOOKUP(B5628,'REGISTRO ABONOS'!$B$8:$BC$10041,54,0)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hidden="1" x14ac:dyDescent="0.2">
      <c r="B5629" s="31">
        <v>5620</v>
      </c>
      <c r="J5629">
        <f t="shared" si="93"/>
        <v>105000</v>
      </c>
      <c r="K5629" t="e">
        <f>VLOOKUP(B5629,'REGISTRO ABONOS'!$B$8:$BC$10041,54,0)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3"/>
        <v>105000</v>
      </c>
      <c r="K5630" t="e">
        <f>VLOOKUP(B5630,'REGISTRO ABONOS'!$B$8:$BC$10041,54,0)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hidden="1" x14ac:dyDescent="0.2">
      <c r="B5631" s="31">
        <v>5622</v>
      </c>
      <c r="J5631">
        <f t="shared" si="93"/>
        <v>105000</v>
      </c>
      <c r="K5631" t="e">
        <f>VLOOKUP(B5631,'REGISTRO ABONOS'!$B$8:$BC$10041,54,0)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hidden="1" x14ac:dyDescent="0.2">
      <c r="B5632" s="31">
        <v>5623</v>
      </c>
      <c r="J5632">
        <f t="shared" si="93"/>
        <v>105000</v>
      </c>
      <c r="K5632" t="e">
        <f>VLOOKUP(B5632,'REGISTRO ABONOS'!$B$8:$BC$10041,54,0)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hidden="1" x14ac:dyDescent="0.2">
      <c r="B5633" s="31">
        <v>5624</v>
      </c>
      <c r="J5633">
        <f t="shared" si="93"/>
        <v>105000</v>
      </c>
      <c r="K5633" t="e">
        <f>VLOOKUP(B5633,'REGISTRO ABONOS'!$B$8:$BC$10041,54,0)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hidden="1" x14ac:dyDescent="0.2">
      <c r="B5634" s="31">
        <v>5625</v>
      </c>
      <c r="J5634">
        <f t="shared" si="93"/>
        <v>105000</v>
      </c>
      <c r="K5634" t="e">
        <f>VLOOKUP(B5634,'REGISTRO ABONOS'!$B$8:$BC$10041,54,0)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hidden="1" x14ac:dyDescent="0.2">
      <c r="B5635" s="31">
        <v>5626</v>
      </c>
      <c r="J5635">
        <f t="shared" si="93"/>
        <v>105000</v>
      </c>
      <c r="K5635" t="e">
        <f>VLOOKUP(B5635,'REGISTRO ABONOS'!$B$8:$BC$10041,54,0)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hidden="1" x14ac:dyDescent="0.2">
      <c r="B5636" s="31">
        <v>5627</v>
      </c>
      <c r="J5636">
        <f t="shared" si="93"/>
        <v>105000</v>
      </c>
      <c r="K5636" t="e">
        <f>VLOOKUP(B5636,'REGISTRO ABONOS'!$B$8:$BC$10041,54,0)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hidden="1" x14ac:dyDescent="0.2">
      <c r="B5637" s="31">
        <v>5628</v>
      </c>
      <c r="J5637">
        <f t="shared" si="93"/>
        <v>105000</v>
      </c>
      <c r="K5637" t="e">
        <f>VLOOKUP(B5637,'REGISTRO ABONOS'!$B$8:$BC$10041,54,0)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hidden="1" x14ac:dyDescent="0.2">
      <c r="B5638" s="31">
        <v>5629</v>
      </c>
      <c r="J5638">
        <f t="shared" si="93"/>
        <v>105000</v>
      </c>
      <c r="K5638" t="e">
        <f>VLOOKUP(B5638,'REGISTRO ABONOS'!$B$8:$BC$10041,54,0)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hidden="1" x14ac:dyDescent="0.2">
      <c r="B5639" s="31">
        <v>5630</v>
      </c>
      <c r="J5639">
        <f t="shared" si="93"/>
        <v>105000</v>
      </c>
      <c r="K5639" t="e">
        <f>VLOOKUP(B5639,'REGISTRO ABONOS'!$B$8:$BC$10041,54,0)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hidden="1" x14ac:dyDescent="0.2">
      <c r="B5640" s="31">
        <v>5631</v>
      </c>
      <c r="J5640">
        <f t="shared" si="93"/>
        <v>105000</v>
      </c>
      <c r="K5640" t="e">
        <f>VLOOKUP(B5640,'REGISTRO ABONOS'!$B$8:$BC$10041,54,0)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hidden="1" x14ac:dyDescent="0.2">
      <c r="B5641" s="31">
        <v>5632</v>
      </c>
      <c r="J5641">
        <f t="shared" si="93"/>
        <v>105000</v>
      </c>
      <c r="K5641" t="e">
        <f>VLOOKUP(B5641,'REGISTRO ABONOS'!$B$8:$BC$10041,54,0)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hidden="1" x14ac:dyDescent="0.2">
      <c r="B5642" s="31">
        <v>5633</v>
      </c>
      <c r="J5642">
        <f t="shared" si="93"/>
        <v>105000</v>
      </c>
      <c r="K5642" t="e">
        <f>VLOOKUP(B5642,'REGISTRO ABONOS'!$B$8:$BC$10041,54,0)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hidden="1" x14ac:dyDescent="0.2">
      <c r="B5643" s="31">
        <v>5634</v>
      </c>
      <c r="J5643">
        <f t="shared" si="93"/>
        <v>105000</v>
      </c>
      <c r="K5643" t="e">
        <f>VLOOKUP(B5643,'REGISTRO ABONOS'!$B$8:$BC$10041,54,0)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hidden="1" x14ac:dyDescent="0.2">
      <c r="B5644" s="31">
        <v>5635</v>
      </c>
      <c r="J5644">
        <f t="shared" si="93"/>
        <v>105000</v>
      </c>
      <c r="K5644" t="e">
        <f>VLOOKUP(B5644,'REGISTRO ABONOS'!$B$8:$BC$10041,54,0)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hidden="1" x14ac:dyDescent="0.2">
      <c r="B5645" s="31">
        <v>5636</v>
      </c>
      <c r="J5645">
        <f t="shared" si="93"/>
        <v>105000</v>
      </c>
      <c r="K5645" t="e">
        <f>VLOOKUP(B5645,'REGISTRO ABONOS'!$B$8:$BC$10041,54,0)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hidden="1" x14ac:dyDescent="0.2">
      <c r="B5646" s="31">
        <v>5637</v>
      </c>
      <c r="J5646">
        <f t="shared" si="93"/>
        <v>105000</v>
      </c>
      <c r="K5646" t="e">
        <f>VLOOKUP(B5646,'REGISTRO ABONOS'!$B$8:$BC$10041,54,0)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hidden="1" x14ac:dyDescent="0.2">
      <c r="B5647" s="31">
        <v>5638</v>
      </c>
      <c r="J5647">
        <f t="shared" si="93"/>
        <v>105000</v>
      </c>
      <c r="K5647" t="e">
        <f>VLOOKUP(B5647,'REGISTRO ABONOS'!$B$8:$BC$10041,54,0)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hidden="1" x14ac:dyDescent="0.2">
      <c r="B5648" s="31">
        <v>5639</v>
      </c>
      <c r="J5648">
        <f t="shared" si="93"/>
        <v>105000</v>
      </c>
      <c r="K5648" t="e">
        <f>VLOOKUP(B5648,'REGISTRO ABONOS'!$B$8:$BC$10041,54,0)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hidden="1" x14ac:dyDescent="0.2">
      <c r="B5649" s="31">
        <v>5640</v>
      </c>
      <c r="J5649">
        <f t="shared" si="93"/>
        <v>105000</v>
      </c>
      <c r="K5649" t="e">
        <f>VLOOKUP(B5649,'REGISTRO ABONOS'!$B$8:$BC$10041,54,0)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hidden="1" x14ac:dyDescent="0.2">
      <c r="B5650" s="31">
        <v>5641</v>
      </c>
      <c r="J5650">
        <f t="shared" si="93"/>
        <v>105000</v>
      </c>
      <c r="K5650" t="e">
        <f>VLOOKUP(B5650,'REGISTRO ABONOS'!$B$8:$BC$10041,54,0)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hidden="1" x14ac:dyDescent="0.2">
      <c r="B5651" s="31">
        <v>5642</v>
      </c>
      <c r="J5651">
        <f t="shared" si="93"/>
        <v>105000</v>
      </c>
      <c r="K5651" t="e">
        <f>VLOOKUP(B5651,'REGISTRO ABONOS'!$B$8:$BC$10041,54,0)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hidden="1" x14ac:dyDescent="0.2">
      <c r="B5652" s="31">
        <v>5643</v>
      </c>
      <c r="J5652">
        <f t="shared" si="93"/>
        <v>105000</v>
      </c>
      <c r="K5652" t="e">
        <f>VLOOKUP(B5652,'REGISTRO ABONOS'!$B$8:$BC$10041,54,0)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hidden="1" x14ac:dyDescent="0.2">
      <c r="B5653" s="31">
        <v>5644</v>
      </c>
      <c r="J5653">
        <f t="shared" si="93"/>
        <v>105000</v>
      </c>
      <c r="K5653" t="e">
        <f>VLOOKUP(B5653,'REGISTRO ABONOS'!$B$8:$BC$10041,54,0)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hidden="1" x14ac:dyDescent="0.2">
      <c r="B5654" s="31">
        <v>5645</v>
      </c>
      <c r="J5654">
        <f t="shared" si="93"/>
        <v>105000</v>
      </c>
      <c r="K5654" t="e">
        <f>VLOOKUP(B5654,'REGISTRO ABONOS'!$B$8:$BC$10041,54,0)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hidden="1" x14ac:dyDescent="0.2">
      <c r="B5655" s="31">
        <v>5646</v>
      </c>
      <c r="J5655">
        <f t="shared" si="93"/>
        <v>105000</v>
      </c>
      <c r="K5655" t="e">
        <f>VLOOKUP(B5655,'REGISTRO ABONOS'!$B$8:$BC$10041,54,0)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3"/>
        <v>105000</v>
      </c>
      <c r="K5656" t="e">
        <f>VLOOKUP(B5656,'REGISTRO ABONOS'!$B$8:$BC$10041,54,0)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hidden="1" x14ac:dyDescent="0.2">
      <c r="B5657" s="31">
        <v>5648</v>
      </c>
      <c r="J5657">
        <f t="shared" si="93"/>
        <v>105000</v>
      </c>
      <c r="K5657" t="e">
        <f>VLOOKUP(B5657,'REGISTRO ABONOS'!$B$8:$BC$10041,54,0)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3"/>
        <v>105000</v>
      </c>
      <c r="K5658" t="e">
        <f>VLOOKUP(B5658,'REGISTRO ABONOS'!$B$8:$BC$10041,54,0)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hidden="1" x14ac:dyDescent="0.2">
      <c r="B5659" s="31">
        <v>5650</v>
      </c>
      <c r="J5659">
        <f t="shared" si="93"/>
        <v>105000</v>
      </c>
      <c r="K5659" t="e">
        <f>VLOOKUP(B5659,'REGISTRO ABONOS'!$B$8:$BC$10041,54,0)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hidden="1" x14ac:dyDescent="0.2">
      <c r="B5660" s="31">
        <v>5651</v>
      </c>
      <c r="J5660">
        <f t="shared" si="93"/>
        <v>105000</v>
      </c>
      <c r="K5660" t="e">
        <f>VLOOKUP(B5660,'REGISTRO ABONOS'!$B$8:$BC$10041,54,0)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hidden="1" x14ac:dyDescent="0.2">
      <c r="B5661" s="31">
        <v>5652</v>
      </c>
      <c r="J5661">
        <f t="shared" si="93"/>
        <v>105000</v>
      </c>
      <c r="K5661" t="e">
        <f>VLOOKUP(B5661,'REGISTRO ABONOS'!$B$8:$BC$10041,54,0)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hidden="1" x14ac:dyDescent="0.2">
      <c r="B5662" s="31">
        <v>5653</v>
      </c>
      <c r="J5662">
        <f t="shared" si="93"/>
        <v>105000</v>
      </c>
      <c r="K5662" t="e">
        <f>VLOOKUP(B5662,'REGISTRO ABONOS'!$B$8:$BC$10041,54,0)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hidden="1" x14ac:dyDescent="0.2">
      <c r="B5663" s="31">
        <v>5654</v>
      </c>
      <c r="J5663">
        <f t="shared" si="93"/>
        <v>105000</v>
      </c>
      <c r="K5663" t="e">
        <f>VLOOKUP(B5663,'REGISTRO ABONOS'!$B$8:$BC$10041,54,0)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hidden="1" x14ac:dyDescent="0.2">
      <c r="B5664" s="31">
        <v>5655</v>
      </c>
      <c r="J5664">
        <f t="shared" si="93"/>
        <v>105000</v>
      </c>
      <c r="K5664" t="e">
        <f>VLOOKUP(B5664,'REGISTRO ABONOS'!$B$8:$BC$10041,54,0)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hidden="1" x14ac:dyDescent="0.2">
      <c r="B5665" s="31">
        <v>5656</v>
      </c>
      <c r="J5665">
        <f t="shared" si="93"/>
        <v>105000</v>
      </c>
      <c r="K5665" t="e">
        <f>VLOOKUP(B5665,'REGISTRO ABONOS'!$B$8:$BC$10041,54,0)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hidden="1" x14ac:dyDescent="0.2">
      <c r="B5666" s="31">
        <v>5657</v>
      </c>
      <c r="J5666">
        <f t="shared" si="93"/>
        <v>105000</v>
      </c>
      <c r="K5666" t="e">
        <f>VLOOKUP(B5666,'REGISTRO ABONOS'!$B$8:$BC$10041,54,0)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hidden="1" x14ac:dyDescent="0.2">
      <c r="B5667" s="31">
        <v>5658</v>
      </c>
      <c r="J5667">
        <f t="shared" si="93"/>
        <v>105000</v>
      </c>
      <c r="K5667" t="e">
        <f>VLOOKUP(B5667,'REGISTRO ABONOS'!$B$8:$BC$10041,54,0)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hidden="1" x14ac:dyDescent="0.2">
      <c r="B5668" s="31">
        <v>5659</v>
      </c>
      <c r="J5668">
        <f t="shared" si="93"/>
        <v>105000</v>
      </c>
      <c r="K5668" t="e">
        <f>VLOOKUP(B5668,'REGISTRO ABONOS'!$B$8:$BC$10041,54,0)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hidden="1" x14ac:dyDescent="0.2">
      <c r="B5669" s="31">
        <v>5660</v>
      </c>
      <c r="J5669">
        <f t="shared" si="93"/>
        <v>105000</v>
      </c>
      <c r="K5669" t="e">
        <f>VLOOKUP(B5669,'REGISTRO ABONOS'!$B$8:$BC$10041,54,0)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hidden="1" x14ac:dyDescent="0.2">
      <c r="B5670" s="31">
        <v>5661</v>
      </c>
      <c r="J5670">
        <f t="shared" si="93"/>
        <v>105000</v>
      </c>
      <c r="K5670" t="e">
        <f>VLOOKUP(B5670,'REGISTRO ABONOS'!$B$8:$BC$10041,54,0)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hidden="1" x14ac:dyDescent="0.2">
      <c r="B5671" s="31">
        <v>5662</v>
      </c>
      <c r="J5671">
        <f t="shared" si="93"/>
        <v>105000</v>
      </c>
      <c r="K5671" t="e">
        <f>VLOOKUP(B5671,'REGISTRO ABONOS'!$B$8:$BC$10041,54,0)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hidden="1" x14ac:dyDescent="0.2">
      <c r="B5672" s="31">
        <v>5663</v>
      </c>
      <c r="J5672">
        <f t="shared" si="93"/>
        <v>105000</v>
      </c>
      <c r="K5672" t="e">
        <f>VLOOKUP(B5672,'REGISTRO ABONOS'!$B$8:$BC$10041,54,0)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hidden="1" x14ac:dyDescent="0.2">
      <c r="B5673" s="31">
        <v>5664</v>
      </c>
      <c r="J5673">
        <f t="shared" si="93"/>
        <v>105000</v>
      </c>
      <c r="K5673" t="e">
        <f>VLOOKUP(B5673,'REGISTRO ABONOS'!$B$8:$BC$10041,54,0)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hidden="1" x14ac:dyDescent="0.2">
      <c r="B5674" s="31">
        <v>5665</v>
      </c>
      <c r="J5674">
        <f t="shared" si="93"/>
        <v>105000</v>
      </c>
      <c r="K5674" t="e">
        <f>VLOOKUP(B5674,'REGISTRO ABONOS'!$B$8:$BC$10041,54,0)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hidden="1" x14ac:dyDescent="0.2">
      <c r="B5675" s="31">
        <v>5666</v>
      </c>
      <c r="J5675">
        <f t="shared" si="93"/>
        <v>105000</v>
      </c>
      <c r="K5675" t="e">
        <f>VLOOKUP(B5675,'REGISTRO ABONOS'!$B$8:$BC$10041,54,0)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hidden="1" x14ac:dyDescent="0.2">
      <c r="B5676" s="31">
        <v>5667</v>
      </c>
      <c r="J5676">
        <f t="shared" si="93"/>
        <v>105000</v>
      </c>
      <c r="K5676" t="e">
        <f>VLOOKUP(B5676,'REGISTRO ABONOS'!$B$8:$BC$10041,54,0)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hidden="1" x14ac:dyDescent="0.2">
      <c r="B5677" s="31">
        <v>5668</v>
      </c>
      <c r="J5677">
        <f t="shared" si="93"/>
        <v>105000</v>
      </c>
      <c r="K5677" t="e">
        <f>VLOOKUP(B5677,'REGISTRO ABONOS'!$B$8:$BC$10041,54,0)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hidden="1" x14ac:dyDescent="0.2">
      <c r="B5678" s="31">
        <v>5669</v>
      </c>
      <c r="J5678">
        <f t="shared" si="93"/>
        <v>105000</v>
      </c>
      <c r="K5678" t="e">
        <f>VLOOKUP(B5678,'REGISTRO ABONOS'!$B$8:$BC$10041,54,0)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hidden="1" x14ac:dyDescent="0.2">
      <c r="B5679" s="31">
        <v>5670</v>
      </c>
      <c r="J5679">
        <f t="shared" si="93"/>
        <v>105000</v>
      </c>
      <c r="K5679" t="e">
        <f>VLOOKUP(B5679,'REGISTRO ABONOS'!$B$8:$BC$10041,54,0)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hidden="1" x14ac:dyDescent="0.2">
      <c r="B5680" s="31">
        <v>5671</v>
      </c>
      <c r="J5680">
        <f t="shared" si="93"/>
        <v>105000</v>
      </c>
      <c r="K5680" t="e">
        <f>VLOOKUP(B5680,'REGISTRO ABONOS'!$B$8:$BC$10041,54,0)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hidden="1" x14ac:dyDescent="0.2">
      <c r="B5681" s="31">
        <v>5672</v>
      </c>
      <c r="J5681">
        <f t="shared" si="93"/>
        <v>105000</v>
      </c>
      <c r="K5681" t="e">
        <f>VLOOKUP(B5681,'REGISTRO ABONOS'!$B$8:$BC$10041,54,0)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hidden="1" x14ac:dyDescent="0.2">
      <c r="B5682" s="31">
        <v>5673</v>
      </c>
      <c r="J5682">
        <f t="shared" si="93"/>
        <v>105000</v>
      </c>
      <c r="K5682" t="e">
        <f>VLOOKUP(B5682,'REGISTRO ABONOS'!$B$8:$BC$10041,54,0)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hidden="1" x14ac:dyDescent="0.2">
      <c r="B5683" s="31">
        <v>5674</v>
      </c>
      <c r="J5683">
        <f t="shared" si="93"/>
        <v>105000</v>
      </c>
      <c r="K5683" t="e">
        <f>VLOOKUP(B5683,'REGISTRO ABONOS'!$B$8:$BC$10041,54,0)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hidden="1" x14ac:dyDescent="0.2">
      <c r="B5684" s="31">
        <v>5675</v>
      </c>
      <c r="J5684">
        <f t="shared" si="93"/>
        <v>105000</v>
      </c>
      <c r="K5684" t="e">
        <f>VLOOKUP(B5684,'REGISTRO ABONOS'!$B$8:$BC$10041,54,0)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hidden="1" x14ac:dyDescent="0.2">
      <c r="B5685" s="31">
        <v>5676</v>
      </c>
      <c r="J5685">
        <f t="shared" si="93"/>
        <v>105000</v>
      </c>
      <c r="K5685" t="e">
        <f>VLOOKUP(B5685,'REGISTRO ABONOS'!$B$8:$BC$10041,54,0)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hidden="1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ABONOS'!$B$8:$BC$10041,54,0)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hidden="1" x14ac:dyDescent="0.2">
      <c r="B5687" s="31">
        <v>5678</v>
      </c>
      <c r="J5687">
        <f t="shared" si="94"/>
        <v>105000</v>
      </c>
      <c r="K5687" t="e">
        <f>VLOOKUP(B5687,'REGISTRO ABONOS'!$B$8:$BC$10041,54,0)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hidden="1" x14ac:dyDescent="0.2">
      <c r="B5688" s="31">
        <v>5679</v>
      </c>
      <c r="J5688">
        <f t="shared" si="94"/>
        <v>105000</v>
      </c>
      <c r="K5688" t="e">
        <f>VLOOKUP(B5688,'REGISTRO ABONOS'!$B$8:$BC$10041,54,0)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hidden="1" x14ac:dyDescent="0.2">
      <c r="B5689" s="31">
        <v>5680</v>
      </c>
      <c r="J5689">
        <f t="shared" si="94"/>
        <v>105000</v>
      </c>
      <c r="K5689" t="e">
        <f>VLOOKUP(B5689,'REGISTRO ABONOS'!$B$8:$BC$10041,54,0)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hidden="1" x14ac:dyDescent="0.2">
      <c r="B5690" s="31">
        <v>5681</v>
      </c>
      <c r="J5690">
        <f t="shared" si="94"/>
        <v>105000</v>
      </c>
      <c r="K5690" t="e">
        <f>VLOOKUP(B5690,'REGISTRO ABONOS'!$B$8:$BC$10041,54,0)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hidden="1" x14ac:dyDescent="0.2">
      <c r="B5691" s="31">
        <v>5682</v>
      </c>
      <c r="J5691">
        <f t="shared" si="94"/>
        <v>105000</v>
      </c>
      <c r="K5691" t="e">
        <f>VLOOKUP(B5691,'REGISTRO ABONOS'!$B$8:$BC$10041,54,0)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hidden="1" x14ac:dyDescent="0.2">
      <c r="B5692" s="31">
        <v>5683</v>
      </c>
      <c r="J5692">
        <f t="shared" si="94"/>
        <v>105000</v>
      </c>
      <c r="K5692" t="e">
        <f>VLOOKUP(B5692,'REGISTRO ABONOS'!$B$8:$BC$10041,54,0)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hidden="1" x14ac:dyDescent="0.2">
      <c r="B5693" s="31">
        <v>5684</v>
      </c>
      <c r="J5693">
        <f t="shared" si="94"/>
        <v>105000</v>
      </c>
      <c r="K5693" t="e">
        <f>VLOOKUP(B5693,'REGISTRO ABONOS'!$B$8:$BC$10041,54,0)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hidden="1" x14ac:dyDescent="0.2">
      <c r="B5694" s="31">
        <v>5685</v>
      </c>
      <c r="J5694">
        <f t="shared" si="94"/>
        <v>105000</v>
      </c>
      <c r="K5694" t="e">
        <f>VLOOKUP(B5694,'REGISTRO ABONOS'!$B$8:$BC$10041,54,0)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hidden="1" x14ac:dyDescent="0.2">
      <c r="B5695" s="31">
        <v>5686</v>
      </c>
      <c r="J5695">
        <f t="shared" si="94"/>
        <v>105000</v>
      </c>
      <c r="K5695" t="e">
        <f>VLOOKUP(B5695,'REGISTRO ABONOS'!$B$8:$BC$10041,54,0)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hidden="1" x14ac:dyDescent="0.2">
      <c r="B5696" s="31">
        <v>5687</v>
      </c>
      <c r="J5696">
        <f t="shared" si="94"/>
        <v>105000</v>
      </c>
      <c r="K5696" t="e">
        <f>VLOOKUP(B5696,'REGISTRO ABONOS'!$B$8:$BC$10041,54,0)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hidden="1" x14ac:dyDescent="0.2">
      <c r="B5697" s="31">
        <v>5688</v>
      </c>
      <c r="J5697">
        <f t="shared" si="94"/>
        <v>105000</v>
      </c>
      <c r="K5697" t="e">
        <f>VLOOKUP(B5697,'REGISTRO ABONOS'!$B$8:$BC$10041,54,0)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hidden="1" x14ac:dyDescent="0.2">
      <c r="B5698" s="31">
        <v>5689</v>
      </c>
      <c r="J5698">
        <f t="shared" si="94"/>
        <v>105000</v>
      </c>
      <c r="K5698" t="e">
        <f>VLOOKUP(B5698,'REGISTRO ABONOS'!$B$8:$BC$10041,54,0)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hidden="1" x14ac:dyDescent="0.2">
      <c r="B5699" s="31">
        <v>5690</v>
      </c>
      <c r="J5699">
        <f t="shared" si="94"/>
        <v>105000</v>
      </c>
      <c r="K5699" t="e">
        <f>VLOOKUP(B5699,'REGISTRO ABONOS'!$B$8:$BC$10041,54,0)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hidden="1" x14ac:dyDescent="0.2">
      <c r="B5700" s="31">
        <v>5691</v>
      </c>
      <c r="J5700">
        <f t="shared" si="94"/>
        <v>105000</v>
      </c>
      <c r="K5700" t="e">
        <f>VLOOKUP(B5700,'REGISTRO ABONOS'!$B$8:$BC$10041,54,0)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hidden="1" x14ac:dyDescent="0.2">
      <c r="B5701" s="31">
        <v>5692</v>
      </c>
      <c r="J5701">
        <f t="shared" si="94"/>
        <v>105000</v>
      </c>
      <c r="K5701" t="e">
        <f>VLOOKUP(B5701,'REGISTRO ABONOS'!$B$8:$BC$10041,54,0)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hidden="1" x14ac:dyDescent="0.2">
      <c r="B5702" s="31">
        <v>5693</v>
      </c>
      <c r="J5702">
        <f t="shared" si="94"/>
        <v>105000</v>
      </c>
      <c r="K5702" t="e">
        <f>VLOOKUP(B5702,'REGISTRO ABONOS'!$B$8:$BC$10041,54,0)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hidden="1" x14ac:dyDescent="0.2">
      <c r="B5703" s="31">
        <v>5694</v>
      </c>
      <c r="J5703">
        <f t="shared" si="94"/>
        <v>105000</v>
      </c>
      <c r="K5703" t="e">
        <f>VLOOKUP(B5703,'REGISTRO ABONOS'!$B$8:$BC$10041,54,0)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hidden="1" x14ac:dyDescent="0.2">
      <c r="B5704" s="31">
        <v>5695</v>
      </c>
      <c r="J5704">
        <f t="shared" si="94"/>
        <v>105000</v>
      </c>
      <c r="K5704" t="e">
        <f>VLOOKUP(B5704,'REGISTRO ABONOS'!$B$8:$BC$10041,54,0)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hidden="1" x14ac:dyDescent="0.2">
      <c r="B5705" s="31">
        <v>5696</v>
      </c>
      <c r="J5705">
        <f t="shared" si="94"/>
        <v>105000</v>
      </c>
      <c r="K5705" t="e">
        <f>VLOOKUP(B5705,'REGISTRO ABONOS'!$B$8:$BC$10041,54,0)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hidden="1" x14ac:dyDescent="0.2">
      <c r="B5706" s="31">
        <v>5697</v>
      </c>
      <c r="J5706">
        <f t="shared" si="94"/>
        <v>105000</v>
      </c>
      <c r="K5706" t="e">
        <f>VLOOKUP(B5706,'REGISTRO ABONOS'!$B$8:$BC$10041,54,0)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hidden="1" x14ac:dyDescent="0.2">
      <c r="B5707" s="31">
        <v>5698</v>
      </c>
      <c r="J5707">
        <f t="shared" si="94"/>
        <v>105000</v>
      </c>
      <c r="K5707" t="e">
        <f>VLOOKUP(B5707,'REGISTRO ABONOS'!$B$8:$BC$10041,54,0)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hidden="1" x14ac:dyDescent="0.2">
      <c r="B5708" s="31">
        <v>5699</v>
      </c>
      <c r="J5708">
        <f t="shared" si="94"/>
        <v>105000</v>
      </c>
      <c r="K5708" t="e">
        <f>VLOOKUP(B5708,'REGISTRO ABONOS'!$B$8:$BC$10041,54,0)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hidden="1" x14ac:dyDescent="0.2">
      <c r="B5709" s="31">
        <v>5700</v>
      </c>
      <c r="J5709">
        <f t="shared" si="94"/>
        <v>105000</v>
      </c>
      <c r="K5709" t="e">
        <f>VLOOKUP(B5709,'REGISTRO ABONOS'!$B$8:$BC$10041,54,0)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hidden="1" x14ac:dyDescent="0.2">
      <c r="B5710" s="31">
        <v>5701</v>
      </c>
      <c r="J5710">
        <f t="shared" si="94"/>
        <v>105000</v>
      </c>
      <c r="K5710" t="e">
        <f>VLOOKUP(B5710,'REGISTRO ABONOS'!$B$8:$BC$10041,54,0)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hidden="1" x14ac:dyDescent="0.2">
      <c r="B5711" s="31">
        <v>5702</v>
      </c>
      <c r="J5711">
        <f t="shared" si="94"/>
        <v>105000</v>
      </c>
      <c r="K5711" t="e">
        <f>VLOOKUP(B5711,'REGISTRO ABONOS'!$B$8:$BC$10041,54,0)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hidden="1" x14ac:dyDescent="0.2">
      <c r="B5712" s="31">
        <v>5703</v>
      </c>
      <c r="J5712">
        <f t="shared" si="94"/>
        <v>105000</v>
      </c>
      <c r="K5712" t="e">
        <f>VLOOKUP(B5712,'REGISTRO ABONOS'!$B$8:$BC$10041,54,0)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hidden="1" x14ac:dyDescent="0.2">
      <c r="B5713" s="31">
        <v>5704</v>
      </c>
      <c r="J5713">
        <f t="shared" si="94"/>
        <v>105000</v>
      </c>
      <c r="K5713" t="e">
        <f>VLOOKUP(B5713,'REGISTRO ABONOS'!$B$8:$BC$10041,54,0)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hidden="1" x14ac:dyDescent="0.2">
      <c r="B5714" s="31">
        <v>5705</v>
      </c>
      <c r="J5714">
        <f t="shared" si="94"/>
        <v>105000</v>
      </c>
      <c r="K5714" t="e">
        <f>VLOOKUP(B5714,'REGISTRO ABONOS'!$B$8:$BC$10041,54,0)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hidden="1" x14ac:dyDescent="0.2">
      <c r="B5715" s="31">
        <v>5706</v>
      </c>
      <c r="J5715">
        <f t="shared" si="94"/>
        <v>105000</v>
      </c>
      <c r="K5715" t="e">
        <f>VLOOKUP(B5715,'REGISTRO ABONOS'!$B$8:$BC$10041,54,0)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hidden="1" x14ac:dyDescent="0.2">
      <c r="B5716" s="31">
        <v>5707</v>
      </c>
      <c r="J5716">
        <f t="shared" si="94"/>
        <v>105000</v>
      </c>
      <c r="K5716" t="e">
        <f>VLOOKUP(B5716,'REGISTRO ABONOS'!$B$8:$BC$10041,54,0)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hidden="1" x14ac:dyDescent="0.2">
      <c r="B5717" s="31">
        <v>5708</v>
      </c>
      <c r="J5717">
        <f t="shared" si="94"/>
        <v>105000</v>
      </c>
      <c r="K5717" t="e">
        <f>VLOOKUP(B5717,'REGISTRO ABONOS'!$B$8:$BC$10041,54,0)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hidden="1" x14ac:dyDescent="0.2">
      <c r="B5718" s="31">
        <v>5709</v>
      </c>
      <c r="J5718">
        <f t="shared" si="94"/>
        <v>105000</v>
      </c>
      <c r="K5718" t="e">
        <f>VLOOKUP(B5718,'REGISTRO ABONOS'!$B$8:$BC$10041,54,0)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hidden="1" x14ac:dyDescent="0.2">
      <c r="B5719" s="31">
        <v>5710</v>
      </c>
      <c r="J5719">
        <f t="shared" si="94"/>
        <v>105000</v>
      </c>
      <c r="K5719" t="e">
        <f>VLOOKUP(B5719,'REGISTRO ABONOS'!$B$8:$BC$10041,54,0)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hidden="1" x14ac:dyDescent="0.2">
      <c r="B5720" s="31">
        <v>5711</v>
      </c>
      <c r="J5720">
        <f t="shared" si="94"/>
        <v>105000</v>
      </c>
      <c r="K5720" t="e">
        <f>VLOOKUP(B5720,'REGISTRO ABONOS'!$B$8:$BC$10041,54,0)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hidden="1" x14ac:dyDescent="0.2">
      <c r="B5721" s="31">
        <v>5712</v>
      </c>
      <c r="J5721">
        <f t="shared" si="94"/>
        <v>105000</v>
      </c>
      <c r="K5721" t="e">
        <f>VLOOKUP(B5721,'REGISTRO ABONOS'!$B$8:$BC$10041,54,0)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hidden="1" x14ac:dyDescent="0.2">
      <c r="B5722" s="31">
        <v>5713</v>
      </c>
      <c r="J5722">
        <f t="shared" si="94"/>
        <v>105000</v>
      </c>
      <c r="K5722" t="e">
        <f>VLOOKUP(B5722,'REGISTRO ABONOS'!$B$8:$BC$10041,54,0)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4"/>
        <v>105000</v>
      </c>
      <c r="K5723" t="e">
        <f>VLOOKUP(B5723,'REGISTRO ABONOS'!$B$8:$BC$10041,54,0)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hidden="1" x14ac:dyDescent="0.2">
      <c r="B5724" s="31">
        <v>5715</v>
      </c>
      <c r="J5724">
        <f t="shared" si="94"/>
        <v>105000</v>
      </c>
      <c r="K5724" t="e">
        <f>VLOOKUP(B5724,'REGISTRO ABONOS'!$B$8:$BC$10041,54,0)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hidden="1" x14ac:dyDescent="0.2">
      <c r="B5725" s="31">
        <v>5716</v>
      </c>
      <c r="J5725">
        <f t="shared" si="94"/>
        <v>105000</v>
      </c>
      <c r="K5725" t="e">
        <f>VLOOKUP(B5725,'REGISTRO ABONOS'!$B$8:$BC$10041,54,0)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hidden="1" x14ac:dyDescent="0.2">
      <c r="B5726" s="31">
        <v>5717</v>
      </c>
      <c r="J5726">
        <f t="shared" si="94"/>
        <v>105000</v>
      </c>
      <c r="K5726" t="e">
        <f>VLOOKUP(B5726,'REGISTRO ABONOS'!$B$8:$BC$10041,54,0)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hidden="1" x14ac:dyDescent="0.2">
      <c r="B5727" s="31">
        <v>5718</v>
      </c>
      <c r="J5727">
        <f t="shared" si="94"/>
        <v>105000</v>
      </c>
      <c r="K5727" t="e">
        <f>VLOOKUP(B5727,'REGISTRO ABONOS'!$B$8:$BC$10041,54,0)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hidden="1" x14ac:dyDescent="0.2">
      <c r="B5728" s="31">
        <v>5719</v>
      </c>
      <c r="J5728">
        <f t="shared" si="94"/>
        <v>105000</v>
      </c>
      <c r="K5728" t="e">
        <f>VLOOKUP(B5728,'REGISTRO ABONOS'!$B$8:$BC$10041,54,0)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hidden="1" x14ac:dyDescent="0.2">
      <c r="B5729" s="31">
        <v>5720</v>
      </c>
      <c r="J5729">
        <f t="shared" si="94"/>
        <v>105000</v>
      </c>
      <c r="K5729" t="e">
        <f>VLOOKUP(B5729,'REGISTRO ABONOS'!$B$8:$BC$10041,54,0)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hidden="1" x14ac:dyDescent="0.2">
      <c r="B5730" s="31">
        <v>5721</v>
      </c>
      <c r="J5730">
        <f t="shared" si="94"/>
        <v>105000</v>
      </c>
      <c r="K5730" t="e">
        <f>VLOOKUP(B5730,'REGISTRO ABONOS'!$B$8:$BC$10041,54,0)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hidden="1" x14ac:dyDescent="0.2">
      <c r="B5731" s="31">
        <v>5722</v>
      </c>
      <c r="J5731">
        <f t="shared" si="94"/>
        <v>105000</v>
      </c>
      <c r="K5731" t="e">
        <f>VLOOKUP(B5731,'REGISTRO ABONOS'!$B$8:$BC$10041,54,0)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hidden="1" x14ac:dyDescent="0.2">
      <c r="B5732" s="31">
        <v>5723</v>
      </c>
      <c r="J5732">
        <f t="shared" si="94"/>
        <v>105000</v>
      </c>
      <c r="K5732" t="e">
        <f>VLOOKUP(B5732,'REGISTRO ABONOS'!$B$8:$BC$10041,54,0)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hidden="1" x14ac:dyDescent="0.2">
      <c r="B5733" s="31">
        <v>5724</v>
      </c>
      <c r="J5733">
        <f t="shared" si="94"/>
        <v>105000</v>
      </c>
      <c r="K5733" t="e">
        <f>VLOOKUP(B5733,'REGISTRO ABONOS'!$B$8:$BC$10041,54,0)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hidden="1" x14ac:dyDescent="0.2">
      <c r="B5734" s="31">
        <v>5725</v>
      </c>
      <c r="J5734">
        <f t="shared" si="94"/>
        <v>105000</v>
      </c>
      <c r="K5734" t="e">
        <f>VLOOKUP(B5734,'REGISTRO ABONOS'!$B$8:$BC$10041,54,0)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hidden="1" x14ac:dyDescent="0.2">
      <c r="B5735" s="31">
        <v>5726</v>
      </c>
      <c r="J5735">
        <f t="shared" si="94"/>
        <v>105000</v>
      </c>
      <c r="K5735" t="e">
        <f>VLOOKUP(B5735,'REGISTRO ABONOS'!$B$8:$BC$10041,54,0)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hidden="1" x14ac:dyDescent="0.2">
      <c r="B5736" s="31">
        <v>5727</v>
      </c>
      <c r="J5736">
        <f t="shared" si="94"/>
        <v>105000</v>
      </c>
      <c r="K5736" t="e">
        <f>VLOOKUP(B5736,'REGISTRO ABONOS'!$B$8:$BC$10041,54,0)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hidden="1" x14ac:dyDescent="0.2">
      <c r="B5737" s="31">
        <v>5728</v>
      </c>
      <c r="J5737">
        <f t="shared" si="94"/>
        <v>105000</v>
      </c>
      <c r="K5737" t="e">
        <f>VLOOKUP(B5737,'REGISTRO ABONOS'!$B$8:$BC$10041,54,0)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hidden="1" x14ac:dyDescent="0.2">
      <c r="B5738" s="31">
        <v>5729</v>
      </c>
      <c r="J5738">
        <f t="shared" si="94"/>
        <v>105000</v>
      </c>
      <c r="K5738" t="e">
        <f>VLOOKUP(B5738,'REGISTRO ABONOS'!$B$8:$BC$10041,54,0)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hidden="1" x14ac:dyDescent="0.2">
      <c r="B5739" s="31">
        <v>5730</v>
      </c>
      <c r="J5739">
        <f t="shared" si="94"/>
        <v>105000</v>
      </c>
      <c r="K5739" t="e">
        <f>VLOOKUP(B5739,'REGISTRO ABONOS'!$B$8:$BC$10041,54,0)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hidden="1" x14ac:dyDescent="0.2">
      <c r="B5740" s="31">
        <v>5731</v>
      </c>
      <c r="J5740">
        <f t="shared" si="94"/>
        <v>105000</v>
      </c>
      <c r="K5740" t="e">
        <f>VLOOKUP(B5740,'REGISTRO ABONOS'!$B$8:$BC$10041,54,0)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hidden="1" x14ac:dyDescent="0.2">
      <c r="B5741" s="31">
        <v>5732</v>
      </c>
      <c r="J5741">
        <f t="shared" si="94"/>
        <v>105000</v>
      </c>
      <c r="K5741" t="e">
        <f>VLOOKUP(B5741,'REGISTRO ABONOS'!$B$8:$BC$10041,54,0)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hidden="1" x14ac:dyDescent="0.2">
      <c r="B5742" s="31">
        <v>5733</v>
      </c>
      <c r="J5742">
        <f t="shared" si="94"/>
        <v>105000</v>
      </c>
      <c r="K5742" t="e">
        <f>VLOOKUP(B5742,'REGISTRO ABONOS'!$B$8:$BC$10041,54,0)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hidden="1" x14ac:dyDescent="0.2">
      <c r="B5743" s="31">
        <v>5734</v>
      </c>
      <c r="J5743">
        <f t="shared" si="94"/>
        <v>105000</v>
      </c>
      <c r="K5743" t="e">
        <f>VLOOKUP(B5743,'REGISTRO ABONOS'!$B$8:$BC$10041,54,0)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hidden="1" x14ac:dyDescent="0.2">
      <c r="B5744" s="31">
        <v>5735</v>
      </c>
      <c r="J5744">
        <f t="shared" si="94"/>
        <v>105000</v>
      </c>
      <c r="K5744" t="e">
        <f>VLOOKUP(B5744,'REGISTRO ABONOS'!$B$8:$BC$10041,54,0)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hidden="1" x14ac:dyDescent="0.2">
      <c r="B5745" s="31">
        <v>5736</v>
      </c>
      <c r="J5745">
        <f t="shared" si="94"/>
        <v>105000</v>
      </c>
      <c r="K5745" t="e">
        <f>VLOOKUP(B5745,'REGISTRO ABONOS'!$B$8:$BC$10041,54,0)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hidden="1" x14ac:dyDescent="0.2">
      <c r="B5746" s="31">
        <v>5737</v>
      </c>
      <c r="J5746">
        <f t="shared" si="94"/>
        <v>105000</v>
      </c>
      <c r="K5746" t="e">
        <f>VLOOKUP(B5746,'REGISTRO ABONOS'!$B$8:$BC$10041,54,0)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hidden="1" x14ac:dyDescent="0.2">
      <c r="B5747" s="31">
        <v>5738</v>
      </c>
      <c r="J5747">
        <f t="shared" si="94"/>
        <v>105000</v>
      </c>
      <c r="K5747" t="e">
        <f>VLOOKUP(B5747,'REGISTRO ABONOS'!$B$8:$BC$10041,54,0)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hidden="1" x14ac:dyDescent="0.2">
      <c r="B5748" s="31">
        <v>5739</v>
      </c>
      <c r="J5748">
        <f t="shared" si="94"/>
        <v>105000</v>
      </c>
      <c r="K5748" t="e">
        <f>VLOOKUP(B5748,'REGISTRO ABONOS'!$B$8:$BC$10041,54,0)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hidden="1" x14ac:dyDescent="0.2">
      <c r="B5749" s="31">
        <v>5740</v>
      </c>
      <c r="J5749">
        <f t="shared" si="94"/>
        <v>105000</v>
      </c>
      <c r="K5749" t="e">
        <f>VLOOKUP(B5749,'REGISTRO ABONOS'!$B$8:$BC$10041,54,0)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hidden="1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ABONOS'!$B$8:$BC$10041,54,0)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hidden="1" x14ac:dyDescent="0.2">
      <c r="B5751" s="31">
        <v>5742</v>
      </c>
      <c r="J5751">
        <f t="shared" si="95"/>
        <v>105000</v>
      </c>
      <c r="K5751" t="e">
        <f>VLOOKUP(B5751,'REGISTRO ABONOS'!$B$8:$BC$10041,54,0)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hidden="1" x14ac:dyDescent="0.2">
      <c r="B5752" s="31">
        <v>5743</v>
      </c>
      <c r="J5752">
        <f t="shared" si="95"/>
        <v>105000</v>
      </c>
      <c r="K5752" t="e">
        <f>VLOOKUP(B5752,'REGISTRO ABONOS'!$B$8:$BC$10041,54,0)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hidden="1" x14ac:dyDescent="0.2">
      <c r="B5753" s="31">
        <v>5744</v>
      </c>
      <c r="J5753">
        <f t="shared" si="95"/>
        <v>105000</v>
      </c>
      <c r="K5753" t="e">
        <f>VLOOKUP(B5753,'REGISTRO ABONOS'!$B$8:$BC$10041,54,0)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hidden="1" x14ac:dyDescent="0.2">
      <c r="B5754" s="31">
        <v>5745</v>
      </c>
      <c r="J5754">
        <f t="shared" si="95"/>
        <v>105000</v>
      </c>
      <c r="K5754" t="e">
        <f>VLOOKUP(B5754,'REGISTRO ABONOS'!$B$8:$BC$10041,54,0)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hidden="1" x14ac:dyDescent="0.2">
      <c r="B5755" s="31">
        <v>5746</v>
      </c>
      <c r="J5755">
        <f t="shared" si="95"/>
        <v>105000</v>
      </c>
      <c r="K5755" t="e">
        <f>VLOOKUP(B5755,'REGISTRO ABONOS'!$B$8:$BC$10041,54,0)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hidden="1" x14ac:dyDescent="0.2">
      <c r="B5756" s="31">
        <v>5747</v>
      </c>
      <c r="J5756">
        <f t="shared" si="95"/>
        <v>105000</v>
      </c>
      <c r="K5756" t="e">
        <f>VLOOKUP(B5756,'REGISTRO ABONOS'!$B$8:$BC$10041,54,0)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hidden="1" x14ac:dyDescent="0.2">
      <c r="B5757" s="31">
        <v>5748</v>
      </c>
      <c r="J5757">
        <f t="shared" si="95"/>
        <v>105000</v>
      </c>
      <c r="K5757" t="e">
        <f>VLOOKUP(B5757,'REGISTRO ABONOS'!$B$8:$BC$10041,54,0)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hidden="1" x14ac:dyDescent="0.2">
      <c r="B5758" s="31">
        <v>5749</v>
      </c>
      <c r="J5758">
        <f t="shared" si="95"/>
        <v>105000</v>
      </c>
      <c r="K5758" t="e">
        <f>VLOOKUP(B5758,'REGISTRO ABONOS'!$B$8:$BC$10041,54,0)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hidden="1" x14ac:dyDescent="0.2">
      <c r="B5759" s="31">
        <v>5750</v>
      </c>
      <c r="J5759">
        <f t="shared" si="95"/>
        <v>105000</v>
      </c>
      <c r="K5759" t="e">
        <f>VLOOKUP(B5759,'REGISTRO ABONOS'!$B$8:$BC$10041,54,0)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hidden="1" x14ac:dyDescent="0.2">
      <c r="B5760" s="31">
        <v>5751</v>
      </c>
      <c r="J5760">
        <f t="shared" si="95"/>
        <v>105000</v>
      </c>
      <c r="K5760" t="e">
        <f>VLOOKUP(B5760,'REGISTRO ABONOS'!$B$8:$BC$10041,54,0)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hidden="1" x14ac:dyDescent="0.2">
      <c r="B5761" s="31">
        <v>5752</v>
      </c>
      <c r="J5761">
        <f t="shared" si="95"/>
        <v>105000</v>
      </c>
      <c r="K5761" t="e">
        <f>VLOOKUP(B5761,'REGISTRO ABONOS'!$B$8:$BC$10041,54,0)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hidden="1" x14ac:dyDescent="0.2">
      <c r="B5762" s="31">
        <v>5753</v>
      </c>
      <c r="J5762">
        <f t="shared" si="95"/>
        <v>105000</v>
      </c>
      <c r="K5762" t="e">
        <f>VLOOKUP(B5762,'REGISTRO ABONOS'!$B$8:$BC$10041,54,0)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hidden="1" x14ac:dyDescent="0.2">
      <c r="B5763" s="31">
        <v>5754</v>
      </c>
      <c r="J5763">
        <f t="shared" si="95"/>
        <v>105000</v>
      </c>
      <c r="K5763" t="e">
        <f>VLOOKUP(B5763,'REGISTRO ABONOS'!$B$8:$BC$10041,54,0)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hidden="1" x14ac:dyDescent="0.2">
      <c r="B5764" s="31">
        <v>5755</v>
      </c>
      <c r="J5764">
        <f t="shared" si="95"/>
        <v>105000</v>
      </c>
      <c r="K5764" t="e">
        <f>VLOOKUP(B5764,'REGISTRO ABONOS'!$B$8:$BC$10041,54,0)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hidden="1" x14ac:dyDescent="0.2">
      <c r="B5765" s="31">
        <v>5756</v>
      </c>
      <c r="J5765">
        <f t="shared" si="95"/>
        <v>105000</v>
      </c>
      <c r="K5765" t="e">
        <f>VLOOKUP(B5765,'REGISTRO ABONOS'!$B$8:$BC$10041,54,0)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hidden="1" x14ac:dyDescent="0.2">
      <c r="B5766" s="31">
        <v>5757</v>
      </c>
      <c r="J5766">
        <f t="shared" si="95"/>
        <v>105000</v>
      </c>
      <c r="K5766" t="e">
        <f>VLOOKUP(B5766,'REGISTRO ABONOS'!$B$8:$BC$10041,54,0)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hidden="1" x14ac:dyDescent="0.2">
      <c r="B5767" s="31">
        <v>5758</v>
      </c>
      <c r="J5767">
        <f t="shared" si="95"/>
        <v>105000</v>
      </c>
      <c r="K5767" t="e">
        <f>VLOOKUP(B5767,'REGISTRO ABONOS'!$B$8:$BC$10041,54,0)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hidden="1" x14ac:dyDescent="0.2">
      <c r="B5768" s="31">
        <v>5759</v>
      </c>
      <c r="J5768">
        <f t="shared" si="95"/>
        <v>105000</v>
      </c>
      <c r="K5768" t="e">
        <f>VLOOKUP(B5768,'REGISTRO ABONOS'!$B$8:$BC$10041,54,0)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hidden="1" x14ac:dyDescent="0.2">
      <c r="B5769" s="31">
        <v>5760</v>
      </c>
      <c r="J5769">
        <f t="shared" si="95"/>
        <v>105000</v>
      </c>
      <c r="K5769" t="e">
        <f>VLOOKUP(B5769,'REGISTRO ABONOS'!$B$8:$BC$10041,54,0)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hidden="1" x14ac:dyDescent="0.2">
      <c r="B5770" s="31">
        <v>5761</v>
      </c>
      <c r="J5770">
        <f t="shared" si="95"/>
        <v>105000</v>
      </c>
      <c r="K5770" t="e">
        <f>VLOOKUP(B5770,'REGISTRO ABONOS'!$B$8:$BC$10041,54,0)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hidden="1" x14ac:dyDescent="0.2">
      <c r="B5771" s="31">
        <v>5762</v>
      </c>
      <c r="J5771">
        <f t="shared" si="95"/>
        <v>105000</v>
      </c>
      <c r="K5771" t="e">
        <f>VLOOKUP(B5771,'REGISTRO ABONOS'!$B$8:$BC$10041,54,0)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hidden="1" x14ac:dyDescent="0.2">
      <c r="B5772" s="31">
        <v>5763</v>
      </c>
      <c r="J5772">
        <f t="shared" si="95"/>
        <v>105000</v>
      </c>
      <c r="K5772" t="e">
        <f>VLOOKUP(B5772,'REGISTRO ABONOS'!$B$8:$BC$10041,54,0)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hidden="1" x14ac:dyDescent="0.2">
      <c r="B5773" s="31">
        <v>5764</v>
      </c>
      <c r="J5773">
        <f t="shared" si="95"/>
        <v>105000</v>
      </c>
      <c r="K5773" t="e">
        <f>VLOOKUP(B5773,'REGISTRO ABONOS'!$B$8:$BC$10041,54,0)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hidden="1" x14ac:dyDescent="0.2">
      <c r="B5774" s="31">
        <v>5765</v>
      </c>
      <c r="J5774">
        <f t="shared" si="95"/>
        <v>105000</v>
      </c>
      <c r="K5774" t="e">
        <f>VLOOKUP(B5774,'REGISTRO ABONOS'!$B$8:$BC$10041,54,0)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hidden="1" x14ac:dyDescent="0.2">
      <c r="B5775" s="31">
        <v>5766</v>
      </c>
      <c r="J5775">
        <f t="shared" si="95"/>
        <v>105000</v>
      </c>
      <c r="K5775" t="e">
        <f>VLOOKUP(B5775,'REGISTRO ABONOS'!$B$8:$BC$10041,54,0)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hidden="1" x14ac:dyDescent="0.2">
      <c r="B5776" s="31">
        <v>5767</v>
      </c>
      <c r="J5776">
        <f t="shared" si="95"/>
        <v>105000</v>
      </c>
      <c r="K5776" t="e">
        <f>VLOOKUP(B5776,'REGISTRO ABONOS'!$B$8:$BC$10041,54,0)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hidden="1" x14ac:dyDescent="0.2">
      <c r="B5777" s="31">
        <v>5768</v>
      </c>
      <c r="J5777">
        <f t="shared" si="95"/>
        <v>105000</v>
      </c>
      <c r="K5777" t="e">
        <f>VLOOKUP(B5777,'REGISTRO ABONOS'!$B$8:$BC$10041,54,0)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hidden="1" x14ac:dyDescent="0.2">
      <c r="B5778" s="31">
        <v>5769</v>
      </c>
      <c r="J5778">
        <f t="shared" si="95"/>
        <v>105000</v>
      </c>
      <c r="K5778" t="e">
        <f>VLOOKUP(B5778,'REGISTRO ABONOS'!$B$8:$BC$10041,54,0)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hidden="1" x14ac:dyDescent="0.2">
      <c r="B5779" s="31">
        <v>5770</v>
      </c>
      <c r="J5779">
        <f t="shared" si="95"/>
        <v>105000</v>
      </c>
      <c r="K5779" t="e">
        <f>VLOOKUP(B5779,'REGISTRO ABONOS'!$B$8:$BC$10041,54,0)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hidden="1" x14ac:dyDescent="0.2">
      <c r="B5780" s="31">
        <v>5771</v>
      </c>
      <c r="J5780">
        <f t="shared" si="95"/>
        <v>105000</v>
      </c>
      <c r="K5780" t="e">
        <f>VLOOKUP(B5780,'REGISTRO ABONOS'!$B$8:$BC$10041,54,0)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hidden="1" x14ac:dyDescent="0.2">
      <c r="B5781" s="31">
        <v>5772</v>
      </c>
      <c r="J5781">
        <f t="shared" si="95"/>
        <v>105000</v>
      </c>
      <c r="K5781" t="e">
        <f>VLOOKUP(B5781,'REGISTRO ABONOS'!$B$8:$BC$10041,54,0)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hidden="1" x14ac:dyDescent="0.2">
      <c r="B5782" s="31">
        <v>5773</v>
      </c>
      <c r="J5782">
        <f t="shared" si="95"/>
        <v>105000</v>
      </c>
      <c r="K5782" t="e">
        <f>VLOOKUP(B5782,'REGISTRO ABONOS'!$B$8:$BC$10041,54,0)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hidden="1" x14ac:dyDescent="0.2">
      <c r="B5783" s="31">
        <v>5774</v>
      </c>
      <c r="J5783">
        <f t="shared" si="95"/>
        <v>105000</v>
      </c>
      <c r="K5783" t="e">
        <f>VLOOKUP(B5783,'REGISTRO ABONOS'!$B$8:$BC$10041,54,0)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hidden="1" x14ac:dyDescent="0.2">
      <c r="B5784" s="31">
        <v>5775</v>
      </c>
      <c r="J5784">
        <f t="shared" si="95"/>
        <v>105000</v>
      </c>
      <c r="K5784" t="e">
        <f>VLOOKUP(B5784,'REGISTRO ABONOS'!$B$8:$BC$10041,54,0)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hidden="1" x14ac:dyDescent="0.2">
      <c r="B5785" s="31">
        <v>5776</v>
      </c>
      <c r="J5785">
        <f t="shared" si="95"/>
        <v>105000</v>
      </c>
      <c r="K5785" t="e">
        <f>VLOOKUP(B5785,'REGISTRO ABONOS'!$B$8:$BC$10041,54,0)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hidden="1" x14ac:dyDescent="0.2">
      <c r="B5786" s="31">
        <v>5777</v>
      </c>
      <c r="J5786">
        <f t="shared" si="95"/>
        <v>105000</v>
      </c>
      <c r="K5786" t="e">
        <f>VLOOKUP(B5786,'REGISTRO ABONOS'!$B$8:$BC$10041,54,0)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hidden="1" x14ac:dyDescent="0.2">
      <c r="B5787" s="31">
        <v>5778</v>
      </c>
      <c r="J5787">
        <f t="shared" si="95"/>
        <v>105000</v>
      </c>
      <c r="K5787" t="e">
        <f>VLOOKUP(B5787,'REGISTRO ABONOS'!$B$8:$BC$10041,54,0)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hidden="1" x14ac:dyDescent="0.2">
      <c r="B5788" s="31">
        <v>5779</v>
      </c>
      <c r="J5788">
        <f t="shared" si="95"/>
        <v>105000</v>
      </c>
      <c r="K5788" t="e">
        <f>VLOOKUP(B5788,'REGISTRO ABONOS'!$B$8:$BC$10041,54,0)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hidden="1" x14ac:dyDescent="0.2">
      <c r="B5789" s="31">
        <v>5780</v>
      </c>
      <c r="J5789">
        <f t="shared" si="95"/>
        <v>105000</v>
      </c>
      <c r="K5789" t="e">
        <f>VLOOKUP(B5789,'REGISTRO ABONOS'!$B$8:$BC$10041,54,0)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hidden="1" x14ac:dyDescent="0.2">
      <c r="B5790" s="31">
        <v>5781</v>
      </c>
      <c r="J5790">
        <f t="shared" si="95"/>
        <v>105000</v>
      </c>
      <c r="K5790" t="e">
        <f>VLOOKUP(B5790,'REGISTRO ABONOS'!$B$8:$BC$10041,54,0)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hidden="1" x14ac:dyDescent="0.2">
      <c r="B5791" s="31">
        <v>5782</v>
      </c>
      <c r="J5791">
        <f t="shared" si="95"/>
        <v>105000</v>
      </c>
      <c r="K5791" t="e">
        <f>VLOOKUP(B5791,'REGISTRO ABONOS'!$B$8:$BC$10041,54,0)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hidden="1" x14ac:dyDescent="0.2">
      <c r="B5792" s="31">
        <v>5783</v>
      </c>
      <c r="J5792">
        <f t="shared" si="95"/>
        <v>105000</v>
      </c>
      <c r="K5792" t="e">
        <f>VLOOKUP(B5792,'REGISTRO ABONOS'!$B$8:$BC$10041,54,0)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hidden="1" x14ac:dyDescent="0.2">
      <c r="B5793" s="31">
        <v>5784</v>
      </c>
      <c r="J5793">
        <f t="shared" si="95"/>
        <v>105000</v>
      </c>
      <c r="K5793" t="e">
        <f>VLOOKUP(B5793,'REGISTRO ABONOS'!$B$8:$BC$10041,54,0)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hidden="1" x14ac:dyDescent="0.2">
      <c r="B5794" s="31">
        <v>5785</v>
      </c>
      <c r="J5794">
        <f t="shared" si="95"/>
        <v>105000</v>
      </c>
      <c r="K5794" t="e">
        <f>VLOOKUP(B5794,'REGISTRO ABONOS'!$B$8:$BC$10041,54,0)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hidden="1" x14ac:dyDescent="0.2">
      <c r="B5795" s="31">
        <v>5786</v>
      </c>
      <c r="J5795">
        <f t="shared" si="95"/>
        <v>105000</v>
      </c>
      <c r="K5795" t="e">
        <f>VLOOKUP(B5795,'REGISTRO ABONOS'!$B$8:$BC$10041,54,0)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hidden="1" x14ac:dyDescent="0.2">
      <c r="B5796" s="31">
        <v>5787</v>
      </c>
      <c r="J5796">
        <f t="shared" si="95"/>
        <v>105000</v>
      </c>
      <c r="K5796" t="e">
        <f>VLOOKUP(B5796,'REGISTRO ABONOS'!$B$8:$BC$10041,54,0)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hidden="1" x14ac:dyDescent="0.2">
      <c r="B5797" s="31">
        <v>5788</v>
      </c>
      <c r="J5797">
        <f t="shared" si="95"/>
        <v>105000</v>
      </c>
      <c r="K5797" t="e">
        <f>VLOOKUP(B5797,'REGISTRO ABONOS'!$B$8:$BC$10041,54,0)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hidden="1" x14ac:dyDescent="0.2">
      <c r="B5798" s="31">
        <v>5789</v>
      </c>
      <c r="J5798">
        <f t="shared" si="95"/>
        <v>105000</v>
      </c>
      <c r="K5798" t="e">
        <f>VLOOKUP(B5798,'REGISTRO ABONOS'!$B$8:$BC$10041,54,0)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hidden="1" x14ac:dyDescent="0.2">
      <c r="B5799" s="31">
        <v>5790</v>
      </c>
      <c r="J5799">
        <f t="shared" si="95"/>
        <v>105000</v>
      </c>
      <c r="K5799" t="e">
        <f>VLOOKUP(B5799,'REGISTRO ABONOS'!$B$8:$BC$10041,54,0)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hidden="1" x14ac:dyDescent="0.2">
      <c r="B5800" s="31">
        <v>5791</v>
      </c>
      <c r="J5800">
        <f t="shared" si="95"/>
        <v>105000</v>
      </c>
      <c r="K5800" t="e">
        <f>VLOOKUP(B5800,'REGISTRO ABONOS'!$B$8:$BC$10041,54,0)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hidden="1" x14ac:dyDescent="0.2">
      <c r="B5801" s="31">
        <v>5792</v>
      </c>
      <c r="J5801">
        <f t="shared" si="95"/>
        <v>105000</v>
      </c>
      <c r="K5801" t="e">
        <f>VLOOKUP(B5801,'REGISTRO ABONOS'!$B$8:$BC$10041,54,0)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hidden="1" x14ac:dyDescent="0.2">
      <c r="B5802" s="31">
        <v>5793</v>
      </c>
      <c r="J5802">
        <f t="shared" si="95"/>
        <v>105000</v>
      </c>
      <c r="K5802" t="e">
        <f>VLOOKUP(B5802,'REGISTRO ABONOS'!$B$8:$BC$10041,54,0)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hidden="1" x14ac:dyDescent="0.2">
      <c r="B5803" s="31">
        <v>5794</v>
      </c>
      <c r="J5803">
        <f t="shared" si="95"/>
        <v>105000</v>
      </c>
      <c r="K5803" t="e">
        <f>VLOOKUP(B5803,'REGISTRO ABONOS'!$B$8:$BC$10041,54,0)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hidden="1" x14ac:dyDescent="0.2">
      <c r="B5804" s="31">
        <v>5795</v>
      </c>
      <c r="J5804">
        <f t="shared" si="95"/>
        <v>105000</v>
      </c>
      <c r="K5804" t="e">
        <f>VLOOKUP(B5804,'REGISTRO ABONOS'!$B$8:$BC$10041,54,0)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hidden="1" x14ac:dyDescent="0.2">
      <c r="B5805" s="31">
        <v>5796</v>
      </c>
      <c r="J5805">
        <f t="shared" si="95"/>
        <v>105000</v>
      </c>
      <c r="K5805" t="e">
        <f>VLOOKUP(B5805,'REGISTRO ABONOS'!$B$8:$BC$10041,54,0)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hidden="1" x14ac:dyDescent="0.2">
      <c r="B5806" s="31">
        <v>5797</v>
      </c>
      <c r="J5806">
        <f t="shared" si="95"/>
        <v>105000</v>
      </c>
      <c r="K5806" t="e">
        <f>VLOOKUP(B5806,'REGISTRO ABONOS'!$B$8:$BC$10041,54,0)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hidden="1" x14ac:dyDescent="0.2">
      <c r="B5807" s="31">
        <v>5798</v>
      </c>
      <c r="J5807">
        <f t="shared" si="95"/>
        <v>105000</v>
      </c>
      <c r="K5807" t="e">
        <f>VLOOKUP(B5807,'REGISTRO ABONOS'!$B$8:$BC$10041,54,0)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hidden="1" x14ac:dyDescent="0.2">
      <c r="B5808" s="31">
        <v>5799</v>
      </c>
      <c r="J5808">
        <f t="shared" si="95"/>
        <v>105000</v>
      </c>
      <c r="K5808" t="e">
        <f>VLOOKUP(B5808,'REGISTRO ABONOS'!$B$8:$BC$10041,54,0)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hidden="1" x14ac:dyDescent="0.2">
      <c r="B5809" s="31">
        <v>5800</v>
      </c>
      <c r="J5809">
        <f t="shared" si="95"/>
        <v>105000</v>
      </c>
      <c r="K5809" t="e">
        <f>VLOOKUP(B5809,'REGISTRO ABONOS'!$B$8:$BC$10041,54,0)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hidden="1" x14ac:dyDescent="0.2">
      <c r="B5810" s="31">
        <v>5801</v>
      </c>
      <c r="J5810">
        <f t="shared" si="95"/>
        <v>105000</v>
      </c>
      <c r="K5810" t="e">
        <f>VLOOKUP(B5810,'REGISTRO ABONOS'!$B$8:$BC$10041,54,0)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hidden="1" x14ac:dyDescent="0.2">
      <c r="B5811" s="31">
        <v>5802</v>
      </c>
      <c r="J5811">
        <f t="shared" si="95"/>
        <v>105000</v>
      </c>
      <c r="K5811" t="e">
        <f>VLOOKUP(B5811,'REGISTRO ABONOS'!$B$8:$BC$10041,54,0)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hidden="1" x14ac:dyDescent="0.2">
      <c r="B5812" s="31">
        <v>5803</v>
      </c>
      <c r="J5812">
        <f t="shared" si="95"/>
        <v>105000</v>
      </c>
      <c r="K5812" t="e">
        <f>VLOOKUP(B5812,'REGISTRO ABONOS'!$B$8:$BC$10041,54,0)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hidden="1" x14ac:dyDescent="0.2">
      <c r="B5813" s="31">
        <v>5804</v>
      </c>
      <c r="J5813">
        <f t="shared" si="95"/>
        <v>105000</v>
      </c>
      <c r="K5813" t="e">
        <f>VLOOKUP(B5813,'REGISTRO ABONOS'!$B$8:$BC$10041,54,0)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hidden="1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ABONOS'!$B$8:$BC$10041,54,0)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hidden="1" x14ac:dyDescent="0.2">
      <c r="B5815" s="31">
        <v>5806</v>
      </c>
      <c r="J5815">
        <f t="shared" si="96"/>
        <v>105000</v>
      </c>
      <c r="K5815" t="e">
        <f>VLOOKUP(B5815,'REGISTRO ABONOS'!$B$8:$BC$10041,54,0)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hidden="1" x14ac:dyDescent="0.2">
      <c r="B5816" s="31">
        <v>5807</v>
      </c>
      <c r="J5816">
        <f t="shared" si="96"/>
        <v>105000</v>
      </c>
      <c r="K5816" t="e">
        <f>VLOOKUP(B5816,'REGISTRO ABONOS'!$B$8:$BC$10041,54,0)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hidden="1" x14ac:dyDescent="0.2">
      <c r="B5817" s="31">
        <v>5808</v>
      </c>
      <c r="J5817">
        <f t="shared" si="96"/>
        <v>105000</v>
      </c>
      <c r="K5817" t="e">
        <f>VLOOKUP(B5817,'REGISTRO ABONOS'!$B$8:$BC$10041,54,0)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hidden="1" x14ac:dyDescent="0.2">
      <c r="B5818" s="31">
        <v>5809</v>
      </c>
      <c r="J5818">
        <f t="shared" si="96"/>
        <v>105000</v>
      </c>
      <c r="K5818" t="e">
        <f>VLOOKUP(B5818,'REGISTRO ABONOS'!$B$8:$BC$10041,54,0)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hidden="1" x14ac:dyDescent="0.2">
      <c r="B5819" s="31">
        <v>5810</v>
      </c>
      <c r="J5819">
        <f t="shared" si="96"/>
        <v>105000</v>
      </c>
      <c r="K5819" t="e">
        <f>VLOOKUP(B5819,'REGISTRO ABONOS'!$B$8:$BC$10041,54,0)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hidden="1" x14ac:dyDescent="0.2">
      <c r="B5820" s="31">
        <v>5811</v>
      </c>
      <c r="J5820">
        <f t="shared" si="96"/>
        <v>105000</v>
      </c>
      <c r="K5820" t="e">
        <f>VLOOKUP(B5820,'REGISTRO ABONOS'!$B$8:$BC$10041,54,0)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hidden="1" x14ac:dyDescent="0.2">
      <c r="B5821" s="31">
        <v>5812</v>
      </c>
      <c r="J5821">
        <f t="shared" si="96"/>
        <v>105000</v>
      </c>
      <c r="K5821" t="e">
        <f>VLOOKUP(B5821,'REGISTRO ABONOS'!$B$8:$BC$10041,54,0)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hidden="1" x14ac:dyDescent="0.2">
      <c r="B5822" s="31">
        <v>5813</v>
      </c>
      <c r="J5822">
        <f t="shared" si="96"/>
        <v>105000</v>
      </c>
      <c r="K5822" t="e">
        <f>VLOOKUP(B5822,'REGISTRO ABONOS'!$B$8:$BC$10041,54,0)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hidden="1" x14ac:dyDescent="0.2">
      <c r="B5823" s="31">
        <v>5814</v>
      </c>
      <c r="J5823">
        <f t="shared" si="96"/>
        <v>105000</v>
      </c>
      <c r="K5823" t="e">
        <f>VLOOKUP(B5823,'REGISTRO ABONOS'!$B$8:$BC$10041,54,0)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hidden="1" x14ac:dyDescent="0.2">
      <c r="B5824" s="31">
        <v>5815</v>
      </c>
      <c r="J5824">
        <f t="shared" si="96"/>
        <v>105000</v>
      </c>
      <c r="K5824" t="e">
        <f>VLOOKUP(B5824,'REGISTRO ABONOS'!$B$8:$BC$10041,54,0)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hidden="1" x14ac:dyDescent="0.2">
      <c r="B5825" s="31">
        <v>5816</v>
      </c>
      <c r="J5825">
        <f t="shared" si="96"/>
        <v>105000</v>
      </c>
      <c r="K5825" t="e">
        <f>VLOOKUP(B5825,'REGISTRO ABONOS'!$B$8:$BC$10041,54,0)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6"/>
        <v>105000</v>
      </c>
      <c r="K5826" t="e">
        <f>VLOOKUP(B5826,'REGISTRO ABONOS'!$B$8:$BC$10041,54,0)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hidden="1" x14ac:dyDescent="0.2">
      <c r="B5827" s="31">
        <v>5818</v>
      </c>
      <c r="J5827">
        <f t="shared" si="96"/>
        <v>105000</v>
      </c>
      <c r="K5827" t="e">
        <f>VLOOKUP(B5827,'REGISTRO ABONOS'!$B$8:$BC$10041,54,0)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hidden="1" x14ac:dyDescent="0.2">
      <c r="B5828" s="31">
        <v>5819</v>
      </c>
      <c r="J5828">
        <f t="shared" si="96"/>
        <v>105000</v>
      </c>
      <c r="K5828" t="e">
        <f>VLOOKUP(B5828,'REGISTRO ABONOS'!$B$8:$BC$10041,54,0)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hidden="1" x14ac:dyDescent="0.2">
      <c r="B5829" s="31">
        <v>5820</v>
      </c>
      <c r="J5829">
        <f t="shared" si="96"/>
        <v>105000</v>
      </c>
      <c r="K5829" t="e">
        <f>VLOOKUP(B5829,'REGISTRO ABONOS'!$B$8:$BC$10041,54,0)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hidden="1" x14ac:dyDescent="0.2">
      <c r="B5830" s="31">
        <v>5821</v>
      </c>
      <c r="J5830">
        <f t="shared" si="96"/>
        <v>105000</v>
      </c>
      <c r="K5830" t="e">
        <f>VLOOKUP(B5830,'REGISTRO ABONOS'!$B$8:$BC$10041,54,0)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hidden="1" x14ac:dyDescent="0.2">
      <c r="B5831" s="31">
        <v>5822</v>
      </c>
      <c r="J5831">
        <f t="shared" si="96"/>
        <v>105000</v>
      </c>
      <c r="K5831" t="e">
        <f>VLOOKUP(B5831,'REGISTRO ABONOS'!$B$8:$BC$10041,54,0)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hidden="1" x14ac:dyDescent="0.2">
      <c r="B5832" s="31">
        <v>5823</v>
      </c>
      <c r="J5832">
        <f t="shared" si="96"/>
        <v>105000</v>
      </c>
      <c r="K5832" t="e">
        <f>VLOOKUP(B5832,'REGISTRO ABONOS'!$B$8:$BC$10041,54,0)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hidden="1" x14ac:dyDescent="0.2">
      <c r="B5833" s="31">
        <v>5824</v>
      </c>
      <c r="J5833">
        <f t="shared" si="96"/>
        <v>105000</v>
      </c>
      <c r="K5833" t="e">
        <f>VLOOKUP(B5833,'REGISTRO ABONOS'!$B$8:$BC$10041,54,0)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hidden="1" x14ac:dyDescent="0.2">
      <c r="B5834" s="31">
        <v>5825</v>
      </c>
      <c r="J5834">
        <f t="shared" si="96"/>
        <v>105000</v>
      </c>
      <c r="K5834" t="e">
        <f>VLOOKUP(B5834,'REGISTRO ABONOS'!$B$8:$BC$10041,54,0)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hidden="1" x14ac:dyDescent="0.2">
      <c r="B5835" s="31">
        <v>5826</v>
      </c>
      <c r="J5835">
        <f t="shared" si="96"/>
        <v>105000</v>
      </c>
      <c r="K5835" t="e">
        <f>VLOOKUP(B5835,'REGISTRO ABONOS'!$B$8:$BC$10041,54,0)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hidden="1" x14ac:dyDescent="0.2">
      <c r="B5836" s="31">
        <v>5827</v>
      </c>
      <c r="J5836">
        <f t="shared" si="96"/>
        <v>105000</v>
      </c>
      <c r="K5836" t="e">
        <f>VLOOKUP(B5836,'REGISTRO ABONOS'!$B$8:$BC$10041,54,0)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hidden="1" x14ac:dyDescent="0.2">
      <c r="B5837" s="31">
        <v>5828</v>
      </c>
      <c r="J5837">
        <f t="shared" si="96"/>
        <v>105000</v>
      </c>
      <c r="K5837" t="e">
        <f>VLOOKUP(B5837,'REGISTRO ABONOS'!$B$8:$BC$10041,54,0)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hidden="1" x14ac:dyDescent="0.2">
      <c r="B5838" s="31">
        <v>5829</v>
      </c>
      <c r="J5838">
        <f t="shared" si="96"/>
        <v>105000</v>
      </c>
      <c r="K5838" t="e">
        <f>VLOOKUP(B5838,'REGISTRO ABONOS'!$B$8:$BC$10041,54,0)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hidden="1" x14ac:dyDescent="0.2">
      <c r="B5839" s="31">
        <v>5830</v>
      </c>
      <c r="J5839">
        <f t="shared" si="96"/>
        <v>105000</v>
      </c>
      <c r="K5839" t="e">
        <f>VLOOKUP(B5839,'REGISTRO ABONOS'!$B$8:$BC$10041,54,0)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hidden="1" x14ac:dyDescent="0.2">
      <c r="B5840" s="31">
        <v>5831</v>
      </c>
      <c r="J5840">
        <f t="shared" si="96"/>
        <v>105000</v>
      </c>
      <c r="K5840" t="e">
        <f>VLOOKUP(B5840,'REGISTRO ABONOS'!$B$8:$BC$10041,54,0)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hidden="1" x14ac:dyDescent="0.2">
      <c r="B5841" s="31">
        <v>5832</v>
      </c>
      <c r="J5841">
        <f t="shared" si="96"/>
        <v>105000</v>
      </c>
      <c r="K5841" t="e">
        <f>VLOOKUP(B5841,'REGISTRO ABONOS'!$B$8:$BC$10041,54,0)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hidden="1" x14ac:dyDescent="0.2">
      <c r="B5842" s="31">
        <v>5833</v>
      </c>
      <c r="J5842">
        <f t="shared" si="96"/>
        <v>105000</v>
      </c>
      <c r="K5842" t="e">
        <f>VLOOKUP(B5842,'REGISTRO ABONOS'!$B$8:$BC$10041,54,0)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hidden="1" x14ac:dyDescent="0.2">
      <c r="B5843" s="31">
        <v>5834</v>
      </c>
      <c r="J5843">
        <f t="shared" si="96"/>
        <v>105000</v>
      </c>
      <c r="K5843" t="e">
        <f>VLOOKUP(B5843,'REGISTRO ABONOS'!$B$8:$BC$10041,54,0)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hidden="1" x14ac:dyDescent="0.2">
      <c r="B5844" s="31">
        <v>5835</v>
      </c>
      <c r="J5844">
        <f t="shared" si="96"/>
        <v>105000</v>
      </c>
      <c r="K5844" t="e">
        <f>VLOOKUP(B5844,'REGISTRO ABONOS'!$B$8:$BC$10041,54,0)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hidden="1" x14ac:dyDescent="0.2">
      <c r="B5845" s="31">
        <v>5836</v>
      </c>
      <c r="J5845">
        <f t="shared" si="96"/>
        <v>105000</v>
      </c>
      <c r="K5845" t="e">
        <f>VLOOKUP(B5845,'REGISTRO ABONOS'!$B$8:$BC$10041,54,0)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hidden="1" x14ac:dyDescent="0.2">
      <c r="B5846" s="31">
        <v>5837</v>
      </c>
      <c r="J5846">
        <f t="shared" si="96"/>
        <v>105000</v>
      </c>
      <c r="K5846" t="e">
        <f>VLOOKUP(B5846,'REGISTRO ABONOS'!$B$8:$BC$10041,54,0)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hidden="1" x14ac:dyDescent="0.2">
      <c r="B5847" s="31">
        <v>5838</v>
      </c>
      <c r="J5847">
        <f t="shared" si="96"/>
        <v>105000</v>
      </c>
      <c r="K5847" t="e">
        <f>VLOOKUP(B5847,'REGISTRO ABONOS'!$B$8:$BC$10041,54,0)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hidden="1" x14ac:dyDescent="0.2">
      <c r="B5848" s="31">
        <v>5839</v>
      </c>
      <c r="J5848">
        <f t="shared" si="96"/>
        <v>105000</v>
      </c>
      <c r="K5848" t="e">
        <f>VLOOKUP(B5848,'REGISTRO ABONOS'!$B$8:$BC$10041,54,0)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hidden="1" x14ac:dyDescent="0.2">
      <c r="B5849" s="31">
        <v>5840</v>
      </c>
      <c r="J5849">
        <f t="shared" si="96"/>
        <v>105000</v>
      </c>
      <c r="K5849" t="e">
        <f>VLOOKUP(B5849,'REGISTRO ABONOS'!$B$8:$BC$10041,54,0)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hidden="1" x14ac:dyDescent="0.2">
      <c r="B5850" s="31">
        <v>5841</v>
      </c>
      <c r="J5850">
        <f t="shared" si="96"/>
        <v>105000</v>
      </c>
      <c r="K5850" t="e">
        <f>VLOOKUP(B5850,'REGISTRO ABONOS'!$B$8:$BC$10041,54,0)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hidden="1" x14ac:dyDescent="0.2">
      <c r="B5851" s="31">
        <v>5842</v>
      </c>
      <c r="J5851">
        <f t="shared" si="96"/>
        <v>105000</v>
      </c>
      <c r="K5851" t="e">
        <f>VLOOKUP(B5851,'REGISTRO ABONOS'!$B$8:$BC$10041,54,0)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hidden="1" x14ac:dyDescent="0.2">
      <c r="B5852" s="31">
        <v>5843</v>
      </c>
      <c r="J5852">
        <f t="shared" si="96"/>
        <v>105000</v>
      </c>
      <c r="K5852" t="e">
        <f>VLOOKUP(B5852,'REGISTRO ABONOS'!$B$8:$BC$10041,54,0)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hidden="1" x14ac:dyDescent="0.2">
      <c r="B5853" s="31">
        <v>5844</v>
      </c>
      <c r="J5853">
        <f t="shared" si="96"/>
        <v>105000</v>
      </c>
      <c r="K5853" t="e">
        <f>VLOOKUP(B5853,'REGISTRO ABONOS'!$B$8:$BC$10041,54,0)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hidden="1" x14ac:dyDescent="0.2">
      <c r="B5854" s="31">
        <v>5845</v>
      </c>
      <c r="J5854">
        <f t="shared" si="96"/>
        <v>105000</v>
      </c>
      <c r="K5854" t="e">
        <f>VLOOKUP(B5854,'REGISTRO ABONOS'!$B$8:$BC$10041,54,0)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hidden="1" x14ac:dyDescent="0.2">
      <c r="B5855" s="31">
        <v>5846</v>
      </c>
      <c r="J5855">
        <f t="shared" si="96"/>
        <v>105000</v>
      </c>
      <c r="K5855" t="e">
        <f>VLOOKUP(B5855,'REGISTRO ABONOS'!$B$8:$BC$10041,54,0)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hidden="1" x14ac:dyDescent="0.2">
      <c r="B5856" s="31">
        <v>5847</v>
      </c>
      <c r="J5856">
        <f t="shared" si="96"/>
        <v>105000</v>
      </c>
      <c r="K5856" t="e">
        <f>VLOOKUP(B5856,'REGISTRO ABONOS'!$B$8:$BC$10041,54,0)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hidden="1" x14ac:dyDescent="0.2">
      <c r="B5857" s="31">
        <v>5848</v>
      </c>
      <c r="J5857">
        <f t="shared" si="96"/>
        <v>105000</v>
      </c>
      <c r="K5857" t="e">
        <f>VLOOKUP(B5857,'REGISTRO ABONOS'!$B$8:$BC$10041,54,0)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hidden="1" x14ac:dyDescent="0.2">
      <c r="B5858" s="31">
        <v>5849</v>
      </c>
      <c r="J5858">
        <f t="shared" si="96"/>
        <v>105000</v>
      </c>
      <c r="K5858" t="e">
        <f>VLOOKUP(B5858,'REGISTRO ABONOS'!$B$8:$BC$10041,54,0)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hidden="1" x14ac:dyDescent="0.2">
      <c r="B5859" s="31">
        <v>5850</v>
      </c>
      <c r="J5859">
        <f t="shared" si="96"/>
        <v>105000</v>
      </c>
      <c r="K5859" t="e">
        <f>VLOOKUP(B5859,'REGISTRO ABONOS'!$B$8:$BC$10041,54,0)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hidden="1" x14ac:dyDescent="0.2">
      <c r="B5860" s="31">
        <v>5851</v>
      </c>
      <c r="J5860">
        <f t="shared" si="96"/>
        <v>105000</v>
      </c>
      <c r="K5860" t="e">
        <f>VLOOKUP(B5860,'REGISTRO ABONOS'!$B$8:$BC$10041,54,0)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hidden="1" x14ac:dyDescent="0.2">
      <c r="B5861" s="31">
        <v>5852</v>
      </c>
      <c r="J5861">
        <f t="shared" si="96"/>
        <v>105000</v>
      </c>
      <c r="K5861" t="e">
        <f>VLOOKUP(B5861,'REGISTRO ABONOS'!$B$8:$BC$10041,54,0)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hidden="1" x14ac:dyDescent="0.2">
      <c r="B5862" s="31">
        <v>5853</v>
      </c>
      <c r="J5862">
        <f t="shared" si="96"/>
        <v>105000</v>
      </c>
      <c r="K5862" t="e">
        <f>VLOOKUP(B5862,'REGISTRO ABONOS'!$B$8:$BC$10041,54,0)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hidden="1" x14ac:dyDescent="0.2">
      <c r="B5863" s="31">
        <v>5854</v>
      </c>
      <c r="J5863">
        <f t="shared" si="96"/>
        <v>105000</v>
      </c>
      <c r="K5863" t="e">
        <f>VLOOKUP(B5863,'REGISTRO ABONOS'!$B$8:$BC$10041,54,0)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hidden="1" x14ac:dyDescent="0.2">
      <c r="B5864" s="31">
        <v>5855</v>
      </c>
      <c r="J5864">
        <f t="shared" si="96"/>
        <v>105000</v>
      </c>
      <c r="K5864" t="e">
        <f>VLOOKUP(B5864,'REGISTRO ABONOS'!$B$8:$BC$10041,54,0)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hidden="1" x14ac:dyDescent="0.2">
      <c r="B5865" s="31">
        <v>5856</v>
      </c>
      <c r="J5865">
        <f t="shared" si="96"/>
        <v>105000</v>
      </c>
      <c r="K5865" t="e">
        <f>VLOOKUP(B5865,'REGISTRO ABONOS'!$B$8:$BC$10041,54,0)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hidden="1" x14ac:dyDescent="0.2">
      <c r="B5866" s="31">
        <v>5857</v>
      </c>
      <c r="J5866">
        <f t="shared" si="96"/>
        <v>105000</v>
      </c>
      <c r="K5866" t="e">
        <f>VLOOKUP(B5866,'REGISTRO ABONOS'!$B$8:$BC$10041,54,0)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hidden="1" x14ac:dyDescent="0.2">
      <c r="B5867" s="31">
        <v>5858</v>
      </c>
      <c r="J5867">
        <f t="shared" si="96"/>
        <v>105000</v>
      </c>
      <c r="K5867" t="e">
        <f>VLOOKUP(B5867,'REGISTRO ABONOS'!$B$8:$BC$10041,54,0)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hidden="1" x14ac:dyDescent="0.2">
      <c r="B5868" s="31">
        <v>5859</v>
      </c>
      <c r="J5868">
        <f t="shared" si="96"/>
        <v>105000</v>
      </c>
      <c r="K5868" t="e">
        <f>VLOOKUP(B5868,'REGISTRO ABONOS'!$B$8:$BC$10041,54,0)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hidden="1" x14ac:dyDescent="0.2">
      <c r="B5869" s="31">
        <v>5860</v>
      </c>
      <c r="J5869">
        <f t="shared" si="96"/>
        <v>105000</v>
      </c>
      <c r="K5869" t="e">
        <f>VLOOKUP(B5869,'REGISTRO ABONOS'!$B$8:$BC$10041,54,0)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hidden="1" x14ac:dyDescent="0.2">
      <c r="B5870" s="31">
        <v>5861</v>
      </c>
      <c r="J5870">
        <f t="shared" si="96"/>
        <v>105000</v>
      </c>
      <c r="K5870" t="e">
        <f>VLOOKUP(B5870,'REGISTRO ABONOS'!$B$8:$BC$10041,54,0)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hidden="1" x14ac:dyDescent="0.2">
      <c r="B5871" s="31">
        <v>5862</v>
      </c>
      <c r="J5871">
        <f t="shared" si="96"/>
        <v>105000</v>
      </c>
      <c r="K5871" t="e">
        <f>VLOOKUP(B5871,'REGISTRO ABONOS'!$B$8:$BC$10041,54,0)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hidden="1" x14ac:dyDescent="0.2">
      <c r="B5872" s="31">
        <v>5863</v>
      </c>
      <c r="J5872">
        <f t="shared" si="96"/>
        <v>105000</v>
      </c>
      <c r="K5872" t="e">
        <f>VLOOKUP(B5872,'REGISTRO ABONOS'!$B$8:$BC$10041,54,0)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hidden="1" x14ac:dyDescent="0.2">
      <c r="B5873" s="31">
        <v>5864</v>
      </c>
      <c r="J5873">
        <f t="shared" si="96"/>
        <v>105000</v>
      </c>
      <c r="K5873" t="e">
        <f>VLOOKUP(B5873,'REGISTRO ABONOS'!$B$8:$BC$10041,54,0)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hidden="1" x14ac:dyDescent="0.2">
      <c r="B5874" s="31">
        <v>5865</v>
      </c>
      <c r="J5874">
        <f t="shared" si="96"/>
        <v>105000</v>
      </c>
      <c r="K5874" t="e">
        <f>VLOOKUP(B5874,'REGISTRO ABONOS'!$B$8:$BC$10041,54,0)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hidden="1" x14ac:dyDescent="0.2">
      <c r="B5875" s="31">
        <v>5866</v>
      </c>
      <c r="J5875">
        <f t="shared" si="96"/>
        <v>105000</v>
      </c>
      <c r="K5875" t="e">
        <f>VLOOKUP(B5875,'REGISTRO ABONOS'!$B$8:$BC$10041,54,0)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hidden="1" x14ac:dyDescent="0.2">
      <c r="B5876" s="31">
        <v>5867</v>
      </c>
      <c r="J5876">
        <f t="shared" si="96"/>
        <v>105000</v>
      </c>
      <c r="K5876" t="e">
        <f>VLOOKUP(B5876,'REGISTRO ABONOS'!$B$8:$BC$10041,54,0)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hidden="1" x14ac:dyDescent="0.2">
      <c r="B5877" s="31">
        <v>5868</v>
      </c>
      <c r="J5877">
        <f t="shared" si="96"/>
        <v>105000</v>
      </c>
      <c r="K5877" t="e">
        <f>VLOOKUP(B5877,'REGISTRO ABONOS'!$B$8:$BC$10041,54,0)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hidden="1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ABONOS'!$B$8:$BC$10041,54,0)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hidden="1" x14ac:dyDescent="0.2">
      <c r="B5879" s="31">
        <v>5870</v>
      </c>
      <c r="J5879">
        <f t="shared" si="97"/>
        <v>105000</v>
      </c>
      <c r="K5879" t="e">
        <f>VLOOKUP(B5879,'REGISTRO ABONOS'!$B$8:$BC$10041,54,0)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hidden="1" x14ac:dyDescent="0.2">
      <c r="B5880" s="31">
        <v>5871</v>
      </c>
      <c r="J5880">
        <f t="shared" si="97"/>
        <v>105000</v>
      </c>
      <c r="K5880" t="e">
        <f>VLOOKUP(B5880,'REGISTRO ABONOS'!$B$8:$BC$10041,54,0)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hidden="1" x14ac:dyDescent="0.2">
      <c r="B5881" s="31">
        <v>5872</v>
      </c>
      <c r="J5881">
        <f t="shared" si="97"/>
        <v>105000</v>
      </c>
      <c r="K5881" t="e">
        <f>VLOOKUP(B5881,'REGISTRO ABONOS'!$B$8:$BC$10041,54,0)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hidden="1" x14ac:dyDescent="0.2">
      <c r="B5882" s="31">
        <v>5873</v>
      </c>
      <c r="J5882">
        <f t="shared" si="97"/>
        <v>105000</v>
      </c>
      <c r="K5882" t="e">
        <f>VLOOKUP(B5882,'REGISTRO ABONOS'!$B$8:$BC$10041,54,0)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hidden="1" x14ac:dyDescent="0.2">
      <c r="B5883" s="31">
        <v>5874</v>
      </c>
      <c r="J5883">
        <f t="shared" si="97"/>
        <v>105000</v>
      </c>
      <c r="K5883" t="e">
        <f>VLOOKUP(B5883,'REGISTRO ABONOS'!$B$8:$BC$10041,54,0)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hidden="1" x14ac:dyDescent="0.2">
      <c r="B5884" s="31">
        <v>5875</v>
      </c>
      <c r="J5884">
        <f t="shared" si="97"/>
        <v>105000</v>
      </c>
      <c r="K5884" t="e">
        <f>VLOOKUP(B5884,'REGISTRO ABONOS'!$B$8:$BC$10041,54,0)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hidden="1" x14ac:dyDescent="0.2">
      <c r="B5885" s="31">
        <v>5876</v>
      </c>
      <c r="J5885">
        <f t="shared" si="97"/>
        <v>105000</v>
      </c>
      <c r="K5885" t="e">
        <f>VLOOKUP(B5885,'REGISTRO ABONOS'!$B$8:$BC$10041,54,0)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hidden="1" x14ac:dyDescent="0.2">
      <c r="B5886" s="31">
        <v>5877</v>
      </c>
      <c r="J5886">
        <f t="shared" si="97"/>
        <v>105000</v>
      </c>
      <c r="K5886" t="e">
        <f>VLOOKUP(B5886,'REGISTRO ABONOS'!$B$8:$BC$10041,54,0)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hidden="1" x14ac:dyDescent="0.2">
      <c r="B5887" s="31">
        <v>5878</v>
      </c>
      <c r="J5887">
        <f t="shared" si="97"/>
        <v>105000</v>
      </c>
      <c r="K5887" t="e">
        <f>VLOOKUP(B5887,'REGISTRO ABONOS'!$B$8:$BC$10041,54,0)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hidden="1" x14ac:dyDescent="0.2">
      <c r="B5888" s="31">
        <v>5879</v>
      </c>
      <c r="J5888">
        <f t="shared" si="97"/>
        <v>105000</v>
      </c>
      <c r="K5888" t="e">
        <f>VLOOKUP(B5888,'REGISTRO ABONOS'!$B$8:$BC$10041,54,0)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hidden="1" x14ac:dyDescent="0.2">
      <c r="B5889" s="31">
        <v>5880</v>
      </c>
      <c r="J5889">
        <f t="shared" si="97"/>
        <v>105000</v>
      </c>
      <c r="K5889" t="e">
        <f>VLOOKUP(B5889,'REGISTRO ABONOS'!$B$8:$BC$10041,54,0)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hidden="1" x14ac:dyDescent="0.2">
      <c r="B5890" s="31">
        <v>5881</v>
      </c>
      <c r="J5890">
        <f t="shared" si="97"/>
        <v>105000</v>
      </c>
      <c r="K5890" t="e">
        <f>VLOOKUP(B5890,'REGISTRO ABONOS'!$B$8:$BC$10041,54,0)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hidden="1" x14ac:dyDescent="0.2">
      <c r="B5891" s="31">
        <v>5882</v>
      </c>
      <c r="J5891">
        <f t="shared" si="97"/>
        <v>105000</v>
      </c>
      <c r="K5891" t="e">
        <f>VLOOKUP(B5891,'REGISTRO ABONOS'!$B$8:$BC$10041,54,0)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hidden="1" x14ac:dyDescent="0.2">
      <c r="B5892" s="31">
        <v>5883</v>
      </c>
      <c r="J5892">
        <f t="shared" si="97"/>
        <v>105000</v>
      </c>
      <c r="K5892" t="e">
        <f>VLOOKUP(B5892,'REGISTRO ABONOS'!$B$8:$BC$10041,54,0)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hidden="1" x14ac:dyDescent="0.2">
      <c r="B5893" s="31">
        <v>5884</v>
      </c>
      <c r="J5893">
        <f t="shared" si="97"/>
        <v>105000</v>
      </c>
      <c r="K5893" t="e">
        <f>VLOOKUP(B5893,'REGISTRO ABONOS'!$B$8:$BC$10041,54,0)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hidden="1" x14ac:dyDescent="0.2">
      <c r="B5894" s="31">
        <v>5885</v>
      </c>
      <c r="J5894">
        <f t="shared" si="97"/>
        <v>105000</v>
      </c>
      <c r="K5894" t="e">
        <f>VLOOKUP(B5894,'REGISTRO ABONOS'!$B$8:$BC$10041,54,0)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hidden="1" x14ac:dyDescent="0.2">
      <c r="B5895" s="31">
        <v>5886</v>
      </c>
      <c r="J5895">
        <f t="shared" si="97"/>
        <v>105000</v>
      </c>
      <c r="K5895" t="e">
        <f>VLOOKUP(B5895,'REGISTRO ABONOS'!$B$8:$BC$10041,54,0)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hidden="1" x14ac:dyDescent="0.2">
      <c r="B5896" s="31">
        <v>5887</v>
      </c>
      <c r="J5896">
        <f t="shared" si="97"/>
        <v>105000</v>
      </c>
      <c r="K5896" t="e">
        <f>VLOOKUP(B5896,'REGISTRO ABONOS'!$B$8:$BC$10041,54,0)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hidden="1" x14ac:dyDescent="0.2">
      <c r="B5897" s="31">
        <v>5888</v>
      </c>
      <c r="J5897">
        <f t="shared" si="97"/>
        <v>105000</v>
      </c>
      <c r="K5897" t="e">
        <f>VLOOKUP(B5897,'REGISTRO ABONOS'!$B$8:$BC$10041,54,0)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hidden="1" x14ac:dyDescent="0.2">
      <c r="B5898" s="31">
        <v>5889</v>
      </c>
      <c r="J5898">
        <f t="shared" si="97"/>
        <v>105000</v>
      </c>
      <c r="K5898" t="e">
        <f>VLOOKUP(B5898,'REGISTRO ABONOS'!$B$8:$BC$10041,54,0)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hidden="1" x14ac:dyDescent="0.2">
      <c r="B5899" s="31">
        <v>5890</v>
      </c>
      <c r="J5899">
        <f t="shared" si="97"/>
        <v>105000</v>
      </c>
      <c r="K5899" t="e">
        <f>VLOOKUP(B5899,'REGISTRO ABONOS'!$B$8:$BC$10041,54,0)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hidden="1" x14ac:dyDescent="0.2">
      <c r="B5900" s="31">
        <v>5891</v>
      </c>
      <c r="J5900">
        <f t="shared" si="97"/>
        <v>105000</v>
      </c>
      <c r="K5900" t="e">
        <f>VLOOKUP(B5900,'REGISTRO ABONOS'!$B$8:$BC$10041,54,0)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hidden="1" x14ac:dyDescent="0.2">
      <c r="B5901" s="31">
        <v>5892</v>
      </c>
      <c r="J5901">
        <f t="shared" si="97"/>
        <v>105000</v>
      </c>
      <c r="K5901" t="e">
        <f>VLOOKUP(B5901,'REGISTRO ABONOS'!$B$8:$BC$10041,54,0)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hidden="1" x14ac:dyDescent="0.2">
      <c r="B5902" s="31">
        <v>5893</v>
      </c>
      <c r="J5902">
        <f t="shared" si="97"/>
        <v>105000</v>
      </c>
      <c r="K5902" t="e">
        <f>VLOOKUP(B5902,'REGISTRO ABONOS'!$B$8:$BC$10041,54,0)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hidden="1" x14ac:dyDescent="0.2">
      <c r="B5903" s="31">
        <v>5894</v>
      </c>
      <c r="J5903">
        <f t="shared" si="97"/>
        <v>105000</v>
      </c>
      <c r="K5903" t="e">
        <f>VLOOKUP(B5903,'REGISTRO ABONOS'!$B$8:$BC$10041,54,0)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hidden="1" x14ac:dyDescent="0.2">
      <c r="B5904" s="31">
        <v>5895</v>
      </c>
      <c r="J5904">
        <f t="shared" si="97"/>
        <v>105000</v>
      </c>
      <c r="K5904" t="e">
        <f>VLOOKUP(B5904,'REGISTRO ABONOS'!$B$8:$BC$10041,54,0)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hidden="1" x14ac:dyDescent="0.2">
      <c r="B5905" s="31">
        <v>5896</v>
      </c>
      <c r="J5905">
        <f t="shared" si="97"/>
        <v>105000</v>
      </c>
      <c r="K5905" t="e">
        <f>VLOOKUP(B5905,'REGISTRO ABONOS'!$B$8:$BC$10041,54,0)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hidden="1" x14ac:dyDescent="0.2">
      <c r="B5906" s="31">
        <v>5897</v>
      </c>
      <c r="J5906">
        <f t="shared" si="97"/>
        <v>105000</v>
      </c>
      <c r="K5906" t="e">
        <f>VLOOKUP(B5906,'REGISTRO ABONOS'!$B$8:$BC$10041,54,0)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hidden="1" x14ac:dyDescent="0.2">
      <c r="B5907" s="31">
        <v>5898</v>
      </c>
      <c r="J5907">
        <f t="shared" si="97"/>
        <v>105000</v>
      </c>
      <c r="K5907" t="e">
        <f>VLOOKUP(B5907,'REGISTRO ABONOS'!$B$8:$BC$10041,54,0)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hidden="1" x14ac:dyDescent="0.2">
      <c r="B5908" s="31">
        <v>5899</v>
      </c>
      <c r="J5908">
        <f t="shared" si="97"/>
        <v>105000</v>
      </c>
      <c r="K5908" t="e">
        <f>VLOOKUP(B5908,'REGISTRO ABONOS'!$B$8:$BC$10041,54,0)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hidden="1" x14ac:dyDescent="0.2">
      <c r="B5909" s="31">
        <v>5900</v>
      </c>
      <c r="J5909">
        <f t="shared" si="97"/>
        <v>105000</v>
      </c>
      <c r="K5909" t="e">
        <f>VLOOKUP(B5909,'REGISTRO ABONOS'!$B$8:$BC$10041,54,0)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hidden="1" x14ac:dyDescent="0.2">
      <c r="B5910" s="31">
        <v>5901</v>
      </c>
      <c r="J5910">
        <f t="shared" si="97"/>
        <v>105000</v>
      </c>
      <c r="K5910" t="e">
        <f>VLOOKUP(B5910,'REGISTRO ABONOS'!$B$8:$BC$10041,54,0)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hidden="1" x14ac:dyDescent="0.2">
      <c r="B5911" s="31">
        <v>5902</v>
      </c>
      <c r="J5911">
        <f t="shared" si="97"/>
        <v>105000</v>
      </c>
      <c r="K5911" t="e">
        <f>VLOOKUP(B5911,'REGISTRO ABONOS'!$B$8:$BC$10041,54,0)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hidden="1" x14ac:dyDescent="0.2">
      <c r="B5912" s="31">
        <v>5903</v>
      </c>
      <c r="J5912">
        <f t="shared" si="97"/>
        <v>105000</v>
      </c>
      <c r="K5912" t="e">
        <f>VLOOKUP(B5912,'REGISTRO ABONOS'!$B$8:$BC$10041,54,0)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hidden="1" x14ac:dyDescent="0.2">
      <c r="B5913" s="31">
        <v>5904</v>
      </c>
      <c r="J5913">
        <f t="shared" si="97"/>
        <v>105000</v>
      </c>
      <c r="K5913" t="e">
        <f>VLOOKUP(B5913,'REGISTRO ABONOS'!$B$8:$BC$10041,54,0)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hidden="1" x14ac:dyDescent="0.2">
      <c r="B5914" s="31">
        <v>5905</v>
      </c>
      <c r="J5914">
        <f t="shared" si="97"/>
        <v>105000</v>
      </c>
      <c r="K5914" t="e">
        <f>VLOOKUP(B5914,'REGISTRO ABONOS'!$B$8:$BC$10041,54,0)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hidden="1" x14ac:dyDescent="0.2">
      <c r="B5915" s="31">
        <v>5906</v>
      </c>
      <c r="J5915">
        <f t="shared" si="97"/>
        <v>105000</v>
      </c>
      <c r="K5915" t="e">
        <f>VLOOKUP(B5915,'REGISTRO ABONOS'!$B$8:$BC$10041,54,0)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hidden="1" x14ac:dyDescent="0.2">
      <c r="B5916" s="31">
        <v>5907</v>
      </c>
      <c r="J5916">
        <f t="shared" si="97"/>
        <v>105000</v>
      </c>
      <c r="K5916" t="e">
        <f>VLOOKUP(B5916,'REGISTRO ABONOS'!$B$8:$BC$10041,54,0)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hidden="1" x14ac:dyDescent="0.2">
      <c r="B5917" s="31">
        <v>5908</v>
      </c>
      <c r="J5917">
        <f t="shared" si="97"/>
        <v>105000</v>
      </c>
      <c r="K5917" t="e">
        <f>VLOOKUP(B5917,'REGISTRO ABONOS'!$B$8:$BC$10041,54,0)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hidden="1" x14ac:dyDescent="0.2">
      <c r="B5918" s="31">
        <v>5909</v>
      </c>
      <c r="J5918">
        <f t="shared" si="97"/>
        <v>105000</v>
      </c>
      <c r="K5918" t="e">
        <f>VLOOKUP(B5918,'REGISTRO ABONOS'!$B$8:$BC$10041,54,0)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hidden="1" x14ac:dyDescent="0.2">
      <c r="B5919" s="31">
        <v>5910</v>
      </c>
      <c r="J5919">
        <f t="shared" si="97"/>
        <v>105000</v>
      </c>
      <c r="K5919" t="e">
        <f>VLOOKUP(B5919,'REGISTRO ABONOS'!$B$8:$BC$10041,54,0)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hidden="1" x14ac:dyDescent="0.2">
      <c r="B5920" s="31">
        <v>5911</v>
      </c>
      <c r="J5920">
        <f t="shared" si="97"/>
        <v>105000</v>
      </c>
      <c r="K5920" t="e">
        <f>VLOOKUP(B5920,'REGISTRO ABONOS'!$B$8:$BC$10041,54,0)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hidden="1" x14ac:dyDescent="0.2">
      <c r="B5921" s="31">
        <v>5912</v>
      </c>
      <c r="J5921">
        <f t="shared" si="97"/>
        <v>105000</v>
      </c>
      <c r="K5921" t="e">
        <f>VLOOKUP(B5921,'REGISTRO ABONOS'!$B$8:$BC$10041,54,0)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hidden="1" x14ac:dyDescent="0.2">
      <c r="B5922" s="31">
        <v>5913</v>
      </c>
      <c r="J5922">
        <f t="shared" si="97"/>
        <v>105000</v>
      </c>
      <c r="K5922" t="e">
        <f>VLOOKUP(B5922,'REGISTRO ABONOS'!$B$8:$BC$10041,54,0)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hidden="1" x14ac:dyDescent="0.2">
      <c r="B5923" s="31">
        <v>5914</v>
      </c>
      <c r="J5923">
        <f t="shared" si="97"/>
        <v>105000</v>
      </c>
      <c r="K5923" t="e">
        <f>VLOOKUP(B5923,'REGISTRO ABONOS'!$B$8:$BC$10041,54,0)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hidden="1" x14ac:dyDescent="0.2">
      <c r="B5924" s="31">
        <v>5915</v>
      </c>
      <c r="J5924">
        <f t="shared" si="97"/>
        <v>105000</v>
      </c>
      <c r="K5924" t="e">
        <f>VLOOKUP(B5924,'REGISTRO ABONOS'!$B$8:$BC$10041,54,0)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hidden="1" x14ac:dyDescent="0.2">
      <c r="B5925" s="31">
        <v>5916</v>
      </c>
      <c r="J5925">
        <f t="shared" si="97"/>
        <v>105000</v>
      </c>
      <c r="K5925" t="e">
        <f>VLOOKUP(B5925,'REGISTRO ABONOS'!$B$8:$BC$10041,54,0)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hidden="1" x14ac:dyDescent="0.2">
      <c r="B5926" s="31">
        <v>5917</v>
      </c>
      <c r="J5926">
        <f t="shared" si="97"/>
        <v>105000</v>
      </c>
      <c r="K5926" t="e">
        <f>VLOOKUP(B5926,'REGISTRO ABONOS'!$B$8:$BC$10041,54,0)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hidden="1" x14ac:dyDescent="0.2">
      <c r="B5927" s="31">
        <v>5918</v>
      </c>
      <c r="J5927">
        <f t="shared" si="97"/>
        <v>105000</v>
      </c>
      <c r="K5927" t="e">
        <f>VLOOKUP(B5927,'REGISTRO ABONOS'!$B$8:$BC$10041,54,0)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hidden="1" x14ac:dyDescent="0.2">
      <c r="B5928" s="31">
        <v>5919</v>
      </c>
      <c r="J5928">
        <f t="shared" si="97"/>
        <v>105000</v>
      </c>
      <c r="K5928" t="e">
        <f>VLOOKUP(B5928,'REGISTRO ABONOS'!$B$8:$BC$10041,54,0)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hidden="1" x14ac:dyDescent="0.2">
      <c r="B5929" s="31">
        <v>5920</v>
      </c>
      <c r="J5929">
        <f t="shared" si="97"/>
        <v>105000</v>
      </c>
      <c r="K5929" t="e">
        <f>VLOOKUP(B5929,'REGISTRO ABONOS'!$B$8:$BC$10041,54,0)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hidden="1" x14ac:dyDescent="0.2">
      <c r="B5930" s="31">
        <v>5921</v>
      </c>
      <c r="J5930">
        <f t="shared" si="97"/>
        <v>105000</v>
      </c>
      <c r="K5930" t="e">
        <f>VLOOKUP(B5930,'REGISTRO ABONOS'!$B$8:$BC$10041,54,0)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hidden="1" x14ac:dyDescent="0.2">
      <c r="B5931" s="31">
        <v>5922</v>
      </c>
      <c r="J5931">
        <f t="shared" si="97"/>
        <v>105000</v>
      </c>
      <c r="K5931" t="e">
        <f>VLOOKUP(B5931,'REGISTRO ABONOS'!$B$8:$BC$10041,54,0)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hidden="1" x14ac:dyDescent="0.2">
      <c r="B5932" s="31">
        <v>5923</v>
      </c>
      <c r="J5932">
        <f t="shared" si="97"/>
        <v>105000</v>
      </c>
      <c r="K5932" t="e">
        <f>VLOOKUP(B5932,'REGISTRO ABONOS'!$B$8:$BC$10041,54,0)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hidden="1" x14ac:dyDescent="0.2">
      <c r="B5933" s="31">
        <v>5924</v>
      </c>
      <c r="J5933">
        <f t="shared" si="97"/>
        <v>105000</v>
      </c>
      <c r="K5933" t="e">
        <f>VLOOKUP(B5933,'REGISTRO ABONOS'!$B$8:$BC$10041,54,0)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hidden="1" x14ac:dyDescent="0.2">
      <c r="B5934" s="31">
        <v>5925</v>
      </c>
      <c r="J5934">
        <f t="shared" si="97"/>
        <v>105000</v>
      </c>
      <c r="K5934" t="e">
        <f>VLOOKUP(B5934,'REGISTRO ABONOS'!$B$8:$BC$10041,54,0)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hidden="1" x14ac:dyDescent="0.2">
      <c r="B5935" s="31">
        <v>5926</v>
      </c>
      <c r="J5935">
        <f t="shared" si="97"/>
        <v>105000</v>
      </c>
      <c r="K5935" t="e">
        <f>VLOOKUP(B5935,'REGISTRO ABONOS'!$B$8:$BC$10041,54,0)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hidden="1" x14ac:dyDescent="0.2">
      <c r="B5936" s="31">
        <v>5927</v>
      </c>
      <c r="J5936">
        <f t="shared" si="97"/>
        <v>105000</v>
      </c>
      <c r="K5936" t="e">
        <f>VLOOKUP(B5936,'REGISTRO ABONOS'!$B$8:$BC$10041,54,0)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hidden="1" x14ac:dyDescent="0.2">
      <c r="B5937" s="31">
        <v>5928</v>
      </c>
      <c r="J5937">
        <f t="shared" si="97"/>
        <v>105000</v>
      </c>
      <c r="K5937" t="e">
        <f>VLOOKUP(B5937,'REGISTRO ABONOS'!$B$8:$BC$10041,54,0)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hidden="1" x14ac:dyDescent="0.2">
      <c r="B5938" s="31">
        <v>5929</v>
      </c>
      <c r="J5938">
        <f t="shared" si="97"/>
        <v>105000</v>
      </c>
      <c r="K5938" t="e">
        <f>VLOOKUP(B5938,'REGISTRO ABONOS'!$B$8:$BC$10041,54,0)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hidden="1" x14ac:dyDescent="0.2">
      <c r="B5939" s="31">
        <v>5930</v>
      </c>
      <c r="J5939">
        <f t="shared" si="97"/>
        <v>105000</v>
      </c>
      <c r="K5939" t="e">
        <f>VLOOKUP(B5939,'REGISTRO ABONOS'!$B$8:$BC$10041,54,0)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hidden="1" x14ac:dyDescent="0.2">
      <c r="B5940" s="31">
        <v>5931</v>
      </c>
      <c r="J5940">
        <f t="shared" si="97"/>
        <v>105000</v>
      </c>
      <c r="K5940" t="e">
        <f>VLOOKUP(B5940,'REGISTRO ABONOS'!$B$8:$BC$10041,54,0)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hidden="1" x14ac:dyDescent="0.2">
      <c r="B5941" s="31">
        <v>5932</v>
      </c>
      <c r="J5941">
        <f t="shared" si="97"/>
        <v>105000</v>
      </c>
      <c r="K5941" t="e">
        <f>VLOOKUP(B5941,'REGISTRO ABONOS'!$B$8:$BC$10041,54,0)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hidden="1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ABONOS'!$B$8:$BC$10041,54,0)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hidden="1" x14ac:dyDescent="0.2">
      <c r="B5943" s="31">
        <v>5934</v>
      </c>
      <c r="J5943">
        <f t="shared" si="98"/>
        <v>105000</v>
      </c>
      <c r="K5943" t="e">
        <f>VLOOKUP(B5943,'REGISTRO ABONOS'!$B$8:$BC$10041,54,0)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hidden="1" x14ac:dyDescent="0.2">
      <c r="B5944" s="31">
        <v>5935</v>
      </c>
      <c r="J5944">
        <f t="shared" si="98"/>
        <v>105000</v>
      </c>
      <c r="K5944" t="e">
        <f>VLOOKUP(B5944,'REGISTRO ABONOS'!$B$8:$BC$10041,54,0)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hidden="1" x14ac:dyDescent="0.2">
      <c r="B5945" s="31">
        <v>5936</v>
      </c>
      <c r="J5945">
        <f t="shared" si="98"/>
        <v>105000</v>
      </c>
      <c r="K5945" t="e">
        <f>VLOOKUP(B5945,'REGISTRO ABONOS'!$B$8:$BC$10041,54,0)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8"/>
        <v>105000</v>
      </c>
      <c r="K5946" t="e">
        <f>VLOOKUP(B5946,'REGISTRO ABONOS'!$B$8:$BC$10041,54,0)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hidden="1" x14ac:dyDescent="0.2">
      <c r="B5947" s="31">
        <v>5938</v>
      </c>
      <c r="J5947">
        <f t="shared" si="98"/>
        <v>105000</v>
      </c>
      <c r="K5947" t="e">
        <f>VLOOKUP(B5947,'REGISTRO ABONOS'!$B$8:$BC$10041,54,0)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hidden="1" x14ac:dyDescent="0.2">
      <c r="B5948" s="31">
        <v>5939</v>
      </c>
      <c r="J5948">
        <f t="shared" si="98"/>
        <v>105000</v>
      </c>
      <c r="K5948" t="e">
        <f>VLOOKUP(B5948,'REGISTRO ABONOS'!$B$8:$BC$10041,54,0)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hidden="1" x14ac:dyDescent="0.2">
      <c r="B5949" s="31">
        <v>5940</v>
      </c>
      <c r="J5949">
        <f t="shared" si="98"/>
        <v>105000</v>
      </c>
      <c r="K5949" t="e">
        <f>VLOOKUP(B5949,'REGISTRO ABONOS'!$B$8:$BC$10041,54,0)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hidden="1" x14ac:dyDescent="0.2">
      <c r="B5950" s="31">
        <v>5941</v>
      </c>
      <c r="J5950">
        <f t="shared" si="98"/>
        <v>105000</v>
      </c>
      <c r="K5950" t="e">
        <f>VLOOKUP(B5950,'REGISTRO ABONOS'!$B$8:$BC$10041,54,0)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hidden="1" x14ac:dyDescent="0.2">
      <c r="B5951" s="31">
        <v>5942</v>
      </c>
      <c r="J5951">
        <f t="shared" si="98"/>
        <v>105000</v>
      </c>
      <c r="K5951" t="e">
        <f>VLOOKUP(B5951,'REGISTRO ABONOS'!$B$8:$BC$10041,54,0)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hidden="1" x14ac:dyDescent="0.2">
      <c r="B5952" s="31">
        <v>5943</v>
      </c>
      <c r="J5952">
        <f t="shared" si="98"/>
        <v>105000</v>
      </c>
      <c r="K5952" t="e">
        <f>VLOOKUP(B5952,'REGISTRO ABONOS'!$B$8:$BC$10041,54,0)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hidden="1" x14ac:dyDescent="0.2">
      <c r="B5953" s="31">
        <v>5944</v>
      </c>
      <c r="J5953">
        <f t="shared" si="98"/>
        <v>105000</v>
      </c>
      <c r="K5953" t="e">
        <f>VLOOKUP(B5953,'REGISTRO ABONOS'!$B$8:$BC$10041,54,0)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hidden="1" x14ac:dyDescent="0.2">
      <c r="B5954" s="31">
        <v>5945</v>
      </c>
      <c r="J5954">
        <f t="shared" si="98"/>
        <v>105000</v>
      </c>
      <c r="K5954" t="e">
        <f>VLOOKUP(B5954,'REGISTRO ABONOS'!$B$8:$BC$10041,54,0)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hidden="1" x14ac:dyDescent="0.2">
      <c r="B5955" s="31">
        <v>5946</v>
      </c>
      <c r="J5955">
        <f t="shared" si="98"/>
        <v>105000</v>
      </c>
      <c r="K5955" t="e">
        <f>VLOOKUP(B5955,'REGISTRO ABONOS'!$B$8:$BC$10041,54,0)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hidden="1" x14ac:dyDescent="0.2">
      <c r="B5956" s="31">
        <v>5947</v>
      </c>
      <c r="J5956">
        <f t="shared" si="98"/>
        <v>105000</v>
      </c>
      <c r="K5956" t="e">
        <f>VLOOKUP(B5956,'REGISTRO ABONOS'!$B$8:$BC$10041,54,0)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hidden="1" x14ac:dyDescent="0.2">
      <c r="B5957" s="31">
        <v>5948</v>
      </c>
      <c r="J5957">
        <f t="shared" si="98"/>
        <v>105000</v>
      </c>
      <c r="K5957" t="e">
        <f>VLOOKUP(B5957,'REGISTRO ABONOS'!$B$8:$BC$10041,54,0)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hidden="1" x14ac:dyDescent="0.2">
      <c r="B5958" s="31">
        <v>5949</v>
      </c>
      <c r="J5958">
        <f t="shared" si="98"/>
        <v>105000</v>
      </c>
      <c r="K5958" t="e">
        <f>VLOOKUP(B5958,'REGISTRO ABONOS'!$B$8:$BC$10041,54,0)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hidden="1" x14ac:dyDescent="0.2">
      <c r="B5959" s="31">
        <v>5950</v>
      </c>
      <c r="J5959">
        <f t="shared" si="98"/>
        <v>105000</v>
      </c>
      <c r="K5959" t="e">
        <f>VLOOKUP(B5959,'REGISTRO ABONOS'!$B$8:$BC$10041,54,0)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hidden="1" x14ac:dyDescent="0.2">
      <c r="B5960" s="31">
        <v>5951</v>
      </c>
      <c r="J5960">
        <f t="shared" si="98"/>
        <v>105000</v>
      </c>
      <c r="K5960" t="e">
        <f>VLOOKUP(B5960,'REGISTRO ABONOS'!$B$8:$BC$10041,54,0)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hidden="1" x14ac:dyDescent="0.2">
      <c r="B5961" s="31">
        <v>5952</v>
      </c>
      <c r="J5961">
        <f t="shared" si="98"/>
        <v>105000</v>
      </c>
      <c r="K5961" t="e">
        <f>VLOOKUP(B5961,'REGISTRO ABONOS'!$B$8:$BC$10041,54,0)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hidden="1" x14ac:dyDescent="0.2">
      <c r="B5962" s="31">
        <v>5953</v>
      </c>
      <c r="J5962">
        <f t="shared" si="98"/>
        <v>105000</v>
      </c>
      <c r="K5962" t="e">
        <f>VLOOKUP(B5962,'REGISTRO ABONOS'!$B$8:$BC$10041,54,0)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hidden="1" x14ac:dyDescent="0.2">
      <c r="B5963" s="31">
        <v>5954</v>
      </c>
      <c r="J5963">
        <f t="shared" si="98"/>
        <v>105000</v>
      </c>
      <c r="K5963" t="e">
        <f>VLOOKUP(B5963,'REGISTRO ABONOS'!$B$8:$BC$10041,54,0)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hidden="1" x14ac:dyDescent="0.2">
      <c r="B5964" s="31">
        <v>5955</v>
      </c>
      <c r="J5964">
        <f t="shared" si="98"/>
        <v>105000</v>
      </c>
      <c r="K5964" t="e">
        <f>VLOOKUP(B5964,'REGISTRO ABONOS'!$B$8:$BC$10041,54,0)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hidden="1" x14ac:dyDescent="0.2">
      <c r="B5965" s="31">
        <v>5956</v>
      </c>
      <c r="J5965">
        <f t="shared" si="98"/>
        <v>105000</v>
      </c>
      <c r="K5965" t="e">
        <f>VLOOKUP(B5965,'REGISTRO ABONOS'!$B$8:$BC$10041,54,0)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hidden="1" x14ac:dyDescent="0.2">
      <c r="B5966" s="31">
        <v>5957</v>
      </c>
      <c r="J5966">
        <f t="shared" si="98"/>
        <v>105000</v>
      </c>
      <c r="K5966" t="e">
        <f>VLOOKUP(B5966,'REGISTRO ABONOS'!$B$8:$BC$10041,54,0)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hidden="1" x14ac:dyDescent="0.2">
      <c r="B5967" s="31">
        <v>5958</v>
      </c>
      <c r="J5967">
        <f t="shared" si="98"/>
        <v>105000</v>
      </c>
      <c r="K5967" t="e">
        <f>VLOOKUP(B5967,'REGISTRO ABONOS'!$B$8:$BC$10041,54,0)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hidden="1" x14ac:dyDescent="0.2">
      <c r="B5968" s="31">
        <v>5959</v>
      </c>
      <c r="J5968">
        <f t="shared" si="98"/>
        <v>105000</v>
      </c>
      <c r="K5968" t="e">
        <f>VLOOKUP(B5968,'REGISTRO ABONOS'!$B$8:$BC$10041,54,0)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hidden="1" x14ac:dyDescent="0.2">
      <c r="B5969" s="31">
        <v>5960</v>
      </c>
      <c r="J5969">
        <f t="shared" si="98"/>
        <v>105000</v>
      </c>
      <c r="K5969" t="e">
        <f>VLOOKUP(B5969,'REGISTRO ABONOS'!$B$8:$BC$10041,54,0)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hidden="1" x14ac:dyDescent="0.2">
      <c r="B5970" s="31">
        <v>5961</v>
      </c>
      <c r="J5970">
        <f t="shared" si="98"/>
        <v>105000</v>
      </c>
      <c r="K5970" t="e">
        <f>VLOOKUP(B5970,'REGISTRO ABONOS'!$B$8:$BC$10041,54,0)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hidden="1" x14ac:dyDescent="0.2">
      <c r="B5971" s="31">
        <v>5962</v>
      </c>
      <c r="J5971">
        <f t="shared" si="98"/>
        <v>105000</v>
      </c>
      <c r="K5971" t="e">
        <f>VLOOKUP(B5971,'REGISTRO ABONOS'!$B$8:$BC$10041,54,0)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hidden="1" x14ac:dyDescent="0.2">
      <c r="B5972" s="31">
        <v>5963</v>
      </c>
      <c r="J5972">
        <f t="shared" si="98"/>
        <v>105000</v>
      </c>
      <c r="K5972" t="e">
        <f>VLOOKUP(B5972,'REGISTRO ABONOS'!$B$8:$BC$10041,54,0)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hidden="1" x14ac:dyDescent="0.2">
      <c r="B5973" s="31">
        <v>5964</v>
      </c>
      <c r="J5973">
        <f t="shared" si="98"/>
        <v>105000</v>
      </c>
      <c r="K5973" t="e">
        <f>VLOOKUP(B5973,'REGISTRO ABONOS'!$B$8:$BC$10041,54,0)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hidden="1" x14ac:dyDescent="0.2">
      <c r="B5974" s="31">
        <v>5965</v>
      </c>
      <c r="J5974">
        <f t="shared" si="98"/>
        <v>105000</v>
      </c>
      <c r="K5974" t="e">
        <f>VLOOKUP(B5974,'REGISTRO ABONOS'!$B$8:$BC$10041,54,0)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hidden="1" x14ac:dyDescent="0.2">
      <c r="B5975" s="31">
        <v>5966</v>
      </c>
      <c r="J5975">
        <f t="shared" si="98"/>
        <v>105000</v>
      </c>
      <c r="K5975" t="e">
        <f>VLOOKUP(B5975,'REGISTRO ABONOS'!$B$8:$BC$10041,54,0)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hidden="1" x14ac:dyDescent="0.2">
      <c r="B5976" s="31">
        <v>5967</v>
      </c>
      <c r="J5976">
        <f t="shared" si="98"/>
        <v>105000</v>
      </c>
      <c r="K5976" t="e">
        <f>VLOOKUP(B5976,'REGISTRO ABONOS'!$B$8:$BC$10041,54,0)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hidden="1" x14ac:dyDescent="0.2">
      <c r="B5977" s="31">
        <v>5968</v>
      </c>
      <c r="J5977">
        <f t="shared" si="98"/>
        <v>105000</v>
      </c>
      <c r="K5977" t="e">
        <f>VLOOKUP(B5977,'REGISTRO ABONOS'!$B$8:$BC$10041,54,0)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hidden="1" x14ac:dyDescent="0.2">
      <c r="B5978" s="31">
        <v>5969</v>
      </c>
      <c r="J5978">
        <f t="shared" si="98"/>
        <v>105000</v>
      </c>
      <c r="K5978" t="e">
        <f>VLOOKUP(B5978,'REGISTRO ABONOS'!$B$8:$BC$10041,54,0)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hidden="1" x14ac:dyDescent="0.2">
      <c r="B5979" s="31">
        <v>5970</v>
      </c>
      <c r="J5979">
        <f t="shared" si="98"/>
        <v>105000</v>
      </c>
      <c r="K5979" t="e">
        <f>VLOOKUP(B5979,'REGISTRO ABONOS'!$B$8:$BC$10041,54,0)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hidden="1" x14ac:dyDescent="0.2">
      <c r="B5980" s="31">
        <v>5971</v>
      </c>
      <c r="J5980">
        <f t="shared" si="98"/>
        <v>105000</v>
      </c>
      <c r="K5980" t="e">
        <f>VLOOKUP(B5980,'REGISTRO ABONOS'!$B$8:$BC$10041,54,0)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hidden="1" x14ac:dyDescent="0.2">
      <c r="B5981" s="31">
        <v>5972</v>
      </c>
      <c r="J5981">
        <f t="shared" si="98"/>
        <v>105000</v>
      </c>
      <c r="K5981" t="e">
        <f>VLOOKUP(B5981,'REGISTRO ABONOS'!$B$8:$BC$10041,54,0)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hidden="1" x14ac:dyDescent="0.2">
      <c r="B5982" s="31">
        <v>5973</v>
      </c>
      <c r="J5982">
        <f t="shared" si="98"/>
        <v>105000</v>
      </c>
      <c r="K5982" t="e">
        <f>VLOOKUP(B5982,'REGISTRO ABONOS'!$B$8:$BC$10041,54,0)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hidden="1" x14ac:dyDescent="0.2">
      <c r="B5983" s="31">
        <v>5974</v>
      </c>
      <c r="J5983">
        <f t="shared" si="98"/>
        <v>105000</v>
      </c>
      <c r="K5983" t="e">
        <f>VLOOKUP(B5983,'REGISTRO ABONOS'!$B$8:$BC$10041,54,0)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hidden="1" x14ac:dyDescent="0.2">
      <c r="B5984" s="31">
        <v>5975</v>
      </c>
      <c r="J5984">
        <f t="shared" si="98"/>
        <v>105000</v>
      </c>
      <c r="K5984" t="e">
        <f>VLOOKUP(B5984,'REGISTRO ABONOS'!$B$8:$BC$10041,54,0)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hidden="1" x14ac:dyDescent="0.2">
      <c r="B5985" s="31">
        <v>5976</v>
      </c>
      <c r="J5985">
        <f t="shared" si="98"/>
        <v>105000</v>
      </c>
      <c r="K5985" t="e">
        <f>VLOOKUP(B5985,'REGISTRO ABONOS'!$B$8:$BC$10041,54,0)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hidden="1" x14ac:dyDescent="0.2">
      <c r="B5986" s="31">
        <v>5977</v>
      </c>
      <c r="J5986">
        <f t="shared" si="98"/>
        <v>105000</v>
      </c>
      <c r="K5986" t="e">
        <f>VLOOKUP(B5986,'REGISTRO ABONOS'!$B$8:$BC$10041,54,0)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hidden="1" x14ac:dyDescent="0.2">
      <c r="B5987" s="31">
        <v>5978</v>
      </c>
      <c r="J5987">
        <f t="shared" si="98"/>
        <v>105000</v>
      </c>
      <c r="K5987" t="e">
        <f>VLOOKUP(B5987,'REGISTRO ABONOS'!$B$8:$BC$10041,54,0)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hidden="1" x14ac:dyDescent="0.2">
      <c r="B5988" s="31">
        <v>5979</v>
      </c>
      <c r="J5988">
        <f t="shared" si="98"/>
        <v>105000</v>
      </c>
      <c r="K5988" t="e">
        <f>VLOOKUP(B5988,'REGISTRO ABONOS'!$B$8:$BC$10041,54,0)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hidden="1" x14ac:dyDescent="0.2">
      <c r="B5989" s="31">
        <v>5980</v>
      </c>
      <c r="J5989">
        <f t="shared" si="98"/>
        <v>105000</v>
      </c>
      <c r="K5989" t="e">
        <f>VLOOKUP(B5989,'REGISTRO ABONOS'!$B$8:$BC$10041,54,0)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hidden="1" x14ac:dyDescent="0.2">
      <c r="B5990" s="31">
        <v>5981</v>
      </c>
      <c r="J5990">
        <f t="shared" si="98"/>
        <v>105000</v>
      </c>
      <c r="K5990" t="e">
        <f>VLOOKUP(B5990,'REGISTRO ABONOS'!$B$8:$BC$10041,54,0)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hidden="1" x14ac:dyDescent="0.2">
      <c r="B5991" s="31">
        <v>5982</v>
      </c>
      <c r="J5991">
        <f t="shared" si="98"/>
        <v>105000</v>
      </c>
      <c r="K5991" t="e">
        <f>VLOOKUP(B5991,'REGISTRO ABONOS'!$B$8:$BC$10041,54,0)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hidden="1" x14ac:dyDescent="0.2">
      <c r="B5992" s="31">
        <v>5983</v>
      </c>
      <c r="J5992">
        <f t="shared" si="98"/>
        <v>105000</v>
      </c>
      <c r="K5992" t="e">
        <f>VLOOKUP(B5992,'REGISTRO ABONOS'!$B$8:$BC$10041,54,0)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hidden="1" x14ac:dyDescent="0.2">
      <c r="B5993" s="31">
        <v>5984</v>
      </c>
      <c r="J5993">
        <f t="shared" si="98"/>
        <v>105000</v>
      </c>
      <c r="K5993" t="e">
        <f>VLOOKUP(B5993,'REGISTRO ABONOS'!$B$8:$BC$10041,54,0)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hidden="1" x14ac:dyDescent="0.2">
      <c r="B5994" s="31">
        <v>5985</v>
      </c>
      <c r="J5994">
        <f t="shared" si="98"/>
        <v>105000</v>
      </c>
      <c r="K5994" t="e">
        <f>VLOOKUP(B5994,'REGISTRO ABONOS'!$B$8:$BC$10041,54,0)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hidden="1" x14ac:dyDescent="0.2">
      <c r="B5995" s="31">
        <v>5986</v>
      </c>
      <c r="J5995">
        <f t="shared" si="98"/>
        <v>105000</v>
      </c>
      <c r="K5995" t="e">
        <f>VLOOKUP(B5995,'REGISTRO ABONOS'!$B$8:$BC$10041,54,0)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hidden="1" x14ac:dyDescent="0.2">
      <c r="B5996" s="31">
        <v>5987</v>
      </c>
      <c r="J5996">
        <f t="shared" si="98"/>
        <v>105000</v>
      </c>
      <c r="K5996" t="e">
        <f>VLOOKUP(B5996,'REGISTRO ABONOS'!$B$8:$BC$10041,54,0)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hidden="1" x14ac:dyDescent="0.2">
      <c r="B5997" s="31">
        <v>5988</v>
      </c>
      <c r="J5997">
        <f t="shared" si="98"/>
        <v>105000</v>
      </c>
      <c r="K5997" t="e">
        <f>VLOOKUP(B5997,'REGISTRO ABONOS'!$B$8:$BC$10041,54,0)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hidden="1" x14ac:dyDescent="0.2">
      <c r="B5998" s="31">
        <v>5989</v>
      </c>
      <c r="J5998">
        <f t="shared" si="98"/>
        <v>105000</v>
      </c>
      <c r="K5998" t="e">
        <f>VLOOKUP(B5998,'REGISTRO ABONOS'!$B$8:$BC$10041,54,0)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hidden="1" x14ac:dyDescent="0.2">
      <c r="B5999" s="31">
        <v>5990</v>
      </c>
      <c r="J5999">
        <f t="shared" si="98"/>
        <v>105000</v>
      </c>
      <c r="K5999" t="e">
        <f>VLOOKUP(B5999,'REGISTRO ABONOS'!$B$8:$BC$10041,54,0)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hidden="1" x14ac:dyDescent="0.2">
      <c r="B6000" s="31">
        <v>5991</v>
      </c>
      <c r="J6000">
        <f t="shared" si="98"/>
        <v>105000</v>
      </c>
      <c r="K6000" t="e">
        <f>VLOOKUP(B6000,'REGISTRO ABONOS'!$B$8:$BC$10041,54,0)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hidden="1" x14ac:dyDescent="0.2">
      <c r="B6001" s="31">
        <v>5992</v>
      </c>
      <c r="J6001">
        <f t="shared" si="98"/>
        <v>105000</v>
      </c>
      <c r="K6001" t="e">
        <f>VLOOKUP(B6001,'REGISTRO ABONOS'!$B$8:$BC$10041,54,0)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hidden="1" x14ac:dyDescent="0.2">
      <c r="B6002" s="31">
        <v>5993</v>
      </c>
      <c r="J6002">
        <f t="shared" si="98"/>
        <v>105000</v>
      </c>
      <c r="K6002" t="e">
        <f>VLOOKUP(B6002,'REGISTRO ABONOS'!$B$8:$BC$10041,54,0)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hidden="1" x14ac:dyDescent="0.2">
      <c r="B6003" s="31">
        <v>5994</v>
      </c>
      <c r="J6003">
        <f t="shared" si="98"/>
        <v>105000</v>
      </c>
      <c r="K6003" t="e">
        <f>VLOOKUP(B6003,'REGISTRO ABONOS'!$B$8:$BC$10041,54,0)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hidden="1" x14ac:dyDescent="0.2">
      <c r="B6004" s="31">
        <v>5995</v>
      </c>
      <c r="J6004">
        <f t="shared" si="98"/>
        <v>105000</v>
      </c>
      <c r="K6004" t="e">
        <f>VLOOKUP(B6004,'REGISTRO ABONOS'!$B$8:$BC$10041,54,0)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hidden="1" x14ac:dyDescent="0.2">
      <c r="B6005" s="31">
        <v>5996</v>
      </c>
      <c r="J6005">
        <f t="shared" si="98"/>
        <v>105000</v>
      </c>
      <c r="K6005" t="e">
        <f>VLOOKUP(B6005,'REGISTRO ABONOS'!$B$8:$BC$10041,54,0)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hidden="1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ABONOS'!$B$8:$BC$10041,54,0)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hidden="1" x14ac:dyDescent="0.2">
      <c r="B6007" s="31">
        <v>5998</v>
      </c>
      <c r="J6007">
        <f t="shared" si="99"/>
        <v>105000</v>
      </c>
      <c r="K6007" t="e">
        <f>VLOOKUP(B6007,'REGISTRO ABONOS'!$B$8:$BC$10041,54,0)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hidden="1" x14ac:dyDescent="0.2">
      <c r="B6008" s="31">
        <v>5999</v>
      </c>
      <c r="J6008">
        <f t="shared" si="99"/>
        <v>105000</v>
      </c>
      <c r="K6008" t="e">
        <f>VLOOKUP(B6008,'REGISTRO ABONOS'!$B$8:$BC$10041,54,0)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hidden="1" x14ac:dyDescent="0.2">
      <c r="B6009" s="31">
        <v>6000</v>
      </c>
      <c r="J6009">
        <f t="shared" si="99"/>
        <v>105000</v>
      </c>
      <c r="K6009" t="e">
        <f>VLOOKUP(B6009,'REGISTRO ABONOS'!$B$8:$BC$10041,54,0)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hidden="1" x14ac:dyDescent="0.2">
      <c r="B6010" s="31">
        <v>6001</v>
      </c>
      <c r="J6010">
        <f t="shared" si="99"/>
        <v>105000</v>
      </c>
      <c r="K6010" t="e">
        <f>VLOOKUP(B6010,'REGISTRO ABONOS'!$B$8:$BC$10041,54,0)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hidden="1" x14ac:dyDescent="0.2">
      <c r="B6011" s="31">
        <v>6002</v>
      </c>
      <c r="J6011">
        <f t="shared" si="99"/>
        <v>105000</v>
      </c>
      <c r="K6011" t="e">
        <f>VLOOKUP(B6011,'REGISTRO ABONOS'!$B$8:$BC$10041,54,0)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hidden="1" x14ac:dyDescent="0.2">
      <c r="B6012" s="31">
        <v>6003</v>
      </c>
      <c r="J6012">
        <f t="shared" si="99"/>
        <v>105000</v>
      </c>
      <c r="K6012" t="e">
        <f>VLOOKUP(B6012,'REGISTRO ABONOS'!$B$8:$BC$10041,54,0)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hidden="1" x14ac:dyDescent="0.2">
      <c r="B6013" s="31">
        <v>6004</v>
      </c>
      <c r="J6013">
        <f t="shared" si="99"/>
        <v>105000</v>
      </c>
      <c r="K6013" t="e">
        <f>VLOOKUP(B6013,'REGISTRO ABONOS'!$B$8:$BC$10041,54,0)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hidden="1" x14ac:dyDescent="0.2">
      <c r="B6014" s="31">
        <v>6005</v>
      </c>
      <c r="J6014">
        <f t="shared" si="99"/>
        <v>105000</v>
      </c>
      <c r="K6014" t="e">
        <f>VLOOKUP(B6014,'REGISTRO ABONOS'!$B$8:$BC$10041,54,0)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hidden="1" x14ac:dyDescent="0.2">
      <c r="B6015" s="31">
        <v>6006</v>
      </c>
      <c r="J6015">
        <f t="shared" si="99"/>
        <v>105000</v>
      </c>
      <c r="K6015" t="e">
        <f>VLOOKUP(B6015,'REGISTRO ABONOS'!$B$8:$BC$10041,54,0)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hidden="1" x14ac:dyDescent="0.2">
      <c r="B6016" s="31">
        <v>6007</v>
      </c>
      <c r="J6016">
        <f t="shared" si="99"/>
        <v>105000</v>
      </c>
      <c r="K6016" t="e">
        <f>VLOOKUP(B6016,'REGISTRO ABONOS'!$B$8:$BC$10041,54,0)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hidden="1" x14ac:dyDescent="0.2">
      <c r="B6017" s="31">
        <v>6008</v>
      </c>
      <c r="J6017">
        <f t="shared" si="99"/>
        <v>105000</v>
      </c>
      <c r="K6017" t="e">
        <f>VLOOKUP(B6017,'REGISTRO ABONOS'!$B$8:$BC$10041,54,0)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hidden="1" x14ac:dyDescent="0.2">
      <c r="B6018" s="31">
        <v>6009</v>
      </c>
      <c r="J6018">
        <f t="shared" si="99"/>
        <v>105000</v>
      </c>
      <c r="K6018" t="e">
        <f>VLOOKUP(B6018,'REGISTRO ABONOS'!$B$8:$BC$10041,54,0)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hidden="1" x14ac:dyDescent="0.2">
      <c r="B6019" s="31">
        <v>6010</v>
      </c>
      <c r="J6019">
        <f t="shared" si="99"/>
        <v>105000</v>
      </c>
      <c r="K6019" t="e">
        <f>VLOOKUP(B6019,'REGISTRO ABONOS'!$B$8:$BC$10041,54,0)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hidden="1" x14ac:dyDescent="0.2">
      <c r="B6020" s="31">
        <v>6011</v>
      </c>
      <c r="J6020">
        <f t="shared" si="99"/>
        <v>105000</v>
      </c>
      <c r="K6020" t="e">
        <f>VLOOKUP(B6020,'REGISTRO ABONOS'!$B$8:$BC$10041,54,0)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hidden="1" x14ac:dyDescent="0.2">
      <c r="B6021" s="31">
        <v>6012</v>
      </c>
      <c r="J6021">
        <f t="shared" si="99"/>
        <v>105000</v>
      </c>
      <c r="K6021" t="e">
        <f>VLOOKUP(B6021,'REGISTRO ABONOS'!$B$8:$BC$10041,54,0)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hidden="1" x14ac:dyDescent="0.2">
      <c r="B6022" s="31">
        <v>6013</v>
      </c>
      <c r="J6022">
        <f t="shared" si="99"/>
        <v>105000</v>
      </c>
      <c r="K6022" t="e">
        <f>VLOOKUP(B6022,'REGISTRO ABONOS'!$B$8:$BC$10041,54,0)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hidden="1" x14ac:dyDescent="0.2">
      <c r="B6023" s="31">
        <v>6014</v>
      </c>
      <c r="J6023">
        <f t="shared" si="99"/>
        <v>105000</v>
      </c>
      <c r="K6023" t="e">
        <f>VLOOKUP(B6023,'REGISTRO ABONOS'!$B$8:$BC$10041,54,0)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hidden="1" x14ac:dyDescent="0.2">
      <c r="B6024" s="31">
        <v>6015</v>
      </c>
      <c r="J6024">
        <f t="shared" si="99"/>
        <v>105000</v>
      </c>
      <c r="K6024" t="e">
        <f>VLOOKUP(B6024,'REGISTRO ABONOS'!$B$8:$BC$10041,54,0)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hidden="1" x14ac:dyDescent="0.2">
      <c r="B6025" s="31">
        <v>6016</v>
      </c>
      <c r="J6025">
        <f t="shared" si="99"/>
        <v>105000</v>
      </c>
      <c r="K6025" t="e">
        <f>VLOOKUP(B6025,'REGISTRO ABONOS'!$B$8:$BC$10041,54,0)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hidden="1" x14ac:dyDescent="0.2">
      <c r="B6026" s="31">
        <v>6017</v>
      </c>
      <c r="J6026">
        <f t="shared" si="99"/>
        <v>105000</v>
      </c>
      <c r="K6026" t="e">
        <f>VLOOKUP(B6026,'REGISTRO ABONOS'!$B$8:$BC$10041,54,0)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hidden="1" x14ac:dyDescent="0.2">
      <c r="B6027" s="31">
        <v>6018</v>
      </c>
      <c r="J6027">
        <f t="shared" si="99"/>
        <v>105000</v>
      </c>
      <c r="K6027" t="e">
        <f>VLOOKUP(B6027,'REGISTRO ABONOS'!$B$8:$BC$10041,54,0)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hidden="1" x14ac:dyDescent="0.2">
      <c r="B6028" s="31">
        <v>6019</v>
      </c>
      <c r="J6028">
        <f t="shared" si="99"/>
        <v>105000</v>
      </c>
      <c r="K6028" t="e">
        <f>VLOOKUP(B6028,'REGISTRO ABONOS'!$B$8:$BC$10041,54,0)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hidden="1" x14ac:dyDescent="0.2">
      <c r="B6029" s="31">
        <v>6020</v>
      </c>
      <c r="J6029">
        <f t="shared" si="99"/>
        <v>105000</v>
      </c>
      <c r="K6029" t="e">
        <f>VLOOKUP(B6029,'REGISTRO ABONOS'!$B$8:$BC$10041,54,0)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hidden="1" x14ac:dyDescent="0.2">
      <c r="B6030" s="31">
        <v>6021</v>
      </c>
      <c r="J6030">
        <f t="shared" si="99"/>
        <v>105000</v>
      </c>
      <c r="K6030" t="e">
        <f>VLOOKUP(B6030,'REGISTRO ABONOS'!$B$8:$BC$10041,54,0)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hidden="1" x14ac:dyDescent="0.2">
      <c r="B6031" s="31">
        <v>6022</v>
      </c>
      <c r="J6031">
        <f t="shared" si="99"/>
        <v>105000</v>
      </c>
      <c r="K6031" t="e">
        <f>VLOOKUP(B6031,'REGISTRO ABONOS'!$B$8:$BC$10041,54,0)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hidden="1" x14ac:dyDescent="0.2">
      <c r="B6032" s="31">
        <v>6023</v>
      </c>
      <c r="J6032">
        <f t="shared" si="99"/>
        <v>105000</v>
      </c>
      <c r="K6032" t="e">
        <f>VLOOKUP(B6032,'REGISTRO ABONOS'!$B$8:$BC$10041,54,0)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hidden="1" x14ac:dyDescent="0.2">
      <c r="B6033" s="31">
        <v>6024</v>
      </c>
      <c r="J6033">
        <f t="shared" si="99"/>
        <v>105000</v>
      </c>
      <c r="K6033" t="e">
        <f>VLOOKUP(B6033,'REGISTRO ABONOS'!$B$8:$BC$10041,54,0)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hidden="1" x14ac:dyDescent="0.2">
      <c r="B6034" s="31">
        <v>6025</v>
      </c>
      <c r="J6034">
        <f t="shared" si="99"/>
        <v>105000</v>
      </c>
      <c r="K6034" t="e">
        <f>VLOOKUP(B6034,'REGISTRO ABONOS'!$B$8:$BC$10041,54,0)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hidden="1" x14ac:dyDescent="0.2">
      <c r="B6035" s="31">
        <v>6026</v>
      </c>
      <c r="J6035">
        <f t="shared" si="99"/>
        <v>105000</v>
      </c>
      <c r="K6035" t="e">
        <f>VLOOKUP(B6035,'REGISTRO ABONOS'!$B$8:$BC$10041,54,0)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hidden="1" x14ac:dyDescent="0.2">
      <c r="B6036" s="31">
        <v>6027</v>
      </c>
      <c r="J6036">
        <f t="shared" si="99"/>
        <v>105000</v>
      </c>
      <c r="K6036" t="e">
        <f>VLOOKUP(B6036,'REGISTRO ABONOS'!$B$8:$BC$10041,54,0)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hidden="1" x14ac:dyDescent="0.2">
      <c r="B6037" s="31">
        <v>6028</v>
      </c>
      <c r="J6037">
        <f t="shared" si="99"/>
        <v>105000</v>
      </c>
      <c r="K6037" t="e">
        <f>VLOOKUP(B6037,'REGISTRO ABONOS'!$B$8:$BC$10041,54,0)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hidden="1" x14ac:dyDescent="0.2">
      <c r="B6038" s="31">
        <v>6029</v>
      </c>
      <c r="J6038">
        <f t="shared" si="99"/>
        <v>105000</v>
      </c>
      <c r="K6038" t="e">
        <f>VLOOKUP(B6038,'REGISTRO ABONOS'!$B$8:$BC$10041,54,0)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hidden="1" x14ac:dyDescent="0.2">
      <c r="B6039" s="31">
        <v>6030</v>
      </c>
      <c r="J6039">
        <f t="shared" si="99"/>
        <v>105000</v>
      </c>
      <c r="K6039" t="e">
        <f>VLOOKUP(B6039,'REGISTRO ABONOS'!$B$8:$BC$10041,54,0)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hidden="1" x14ac:dyDescent="0.2">
      <c r="B6040" s="31">
        <v>6031</v>
      </c>
      <c r="J6040">
        <f t="shared" si="99"/>
        <v>105000</v>
      </c>
      <c r="K6040" t="e">
        <f>VLOOKUP(B6040,'REGISTRO ABONOS'!$B$8:$BC$10041,54,0)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hidden="1" x14ac:dyDescent="0.2">
      <c r="B6041" s="31">
        <v>6032</v>
      </c>
      <c r="J6041">
        <f t="shared" si="99"/>
        <v>105000</v>
      </c>
      <c r="K6041" t="e">
        <f>VLOOKUP(B6041,'REGISTRO ABONOS'!$B$8:$BC$10041,54,0)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hidden="1" x14ac:dyDescent="0.2">
      <c r="B6042" s="31">
        <v>6033</v>
      </c>
      <c r="J6042">
        <f t="shared" si="99"/>
        <v>105000</v>
      </c>
      <c r="K6042" t="e">
        <f>VLOOKUP(B6042,'REGISTRO ABONOS'!$B$8:$BC$10041,54,0)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hidden="1" x14ac:dyDescent="0.2">
      <c r="B6043" s="31">
        <v>6034</v>
      </c>
      <c r="J6043">
        <f t="shared" si="99"/>
        <v>105000</v>
      </c>
      <c r="K6043" t="e">
        <f>VLOOKUP(B6043,'REGISTRO ABONOS'!$B$8:$BC$10041,54,0)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hidden="1" x14ac:dyDescent="0.2">
      <c r="B6044" s="31">
        <v>6035</v>
      </c>
      <c r="J6044">
        <f t="shared" si="99"/>
        <v>105000</v>
      </c>
      <c r="K6044" t="e">
        <f>VLOOKUP(B6044,'REGISTRO ABONOS'!$B$8:$BC$10041,54,0)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hidden="1" x14ac:dyDescent="0.2">
      <c r="B6045" s="31">
        <v>6036</v>
      </c>
      <c r="J6045">
        <f t="shared" si="99"/>
        <v>105000</v>
      </c>
      <c r="K6045" t="e">
        <f>VLOOKUP(B6045,'REGISTRO ABONOS'!$B$8:$BC$10041,54,0)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hidden="1" x14ac:dyDescent="0.2">
      <c r="B6046" s="31">
        <v>6037</v>
      </c>
      <c r="J6046">
        <f t="shared" si="99"/>
        <v>105000</v>
      </c>
      <c r="K6046" t="e">
        <f>VLOOKUP(B6046,'REGISTRO ABONOS'!$B$8:$BC$10041,54,0)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hidden="1" x14ac:dyDescent="0.2">
      <c r="B6047" s="31">
        <v>6038</v>
      </c>
      <c r="J6047">
        <f t="shared" si="99"/>
        <v>105000</v>
      </c>
      <c r="K6047" t="e">
        <f>VLOOKUP(B6047,'REGISTRO ABONOS'!$B$8:$BC$10041,54,0)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hidden="1" x14ac:dyDescent="0.2">
      <c r="B6048" s="31">
        <v>6039</v>
      </c>
      <c r="J6048">
        <f t="shared" si="99"/>
        <v>105000</v>
      </c>
      <c r="K6048" t="e">
        <f>VLOOKUP(B6048,'REGISTRO ABONOS'!$B$8:$BC$10041,54,0)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hidden="1" x14ac:dyDescent="0.2">
      <c r="B6049" s="31">
        <v>6040</v>
      </c>
      <c r="J6049">
        <f t="shared" si="99"/>
        <v>105000</v>
      </c>
      <c r="K6049" t="e">
        <f>VLOOKUP(B6049,'REGISTRO ABONOS'!$B$8:$BC$10041,54,0)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9"/>
        <v>105000</v>
      </c>
      <c r="K6050">
        <f>VLOOKUP(B6050,'REGISTRO ABONOS'!$B$8:$BC$10041,54,0)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hidden="1" x14ac:dyDescent="0.2">
      <c r="B6051" s="31">
        <v>6042</v>
      </c>
      <c r="J6051">
        <f t="shared" si="99"/>
        <v>105000</v>
      </c>
      <c r="K6051" t="e">
        <f>VLOOKUP(B6051,'REGISTRO ABONOS'!$B$8:$BC$10041,54,0)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hidden="1" x14ac:dyDescent="0.2">
      <c r="B6052" s="31">
        <v>6043</v>
      </c>
      <c r="J6052">
        <f t="shared" si="99"/>
        <v>105000</v>
      </c>
      <c r="K6052" t="e">
        <f>VLOOKUP(B6052,'REGISTRO ABONOS'!$B$8:$BC$10041,54,0)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hidden="1" x14ac:dyDescent="0.2">
      <c r="B6053" s="31">
        <v>6044</v>
      </c>
      <c r="J6053">
        <f t="shared" si="99"/>
        <v>105000</v>
      </c>
      <c r="K6053" t="e">
        <f>VLOOKUP(B6053,'REGISTRO ABONOS'!$B$8:$BC$10041,54,0)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hidden="1" x14ac:dyDescent="0.2">
      <c r="B6054" s="31">
        <v>6045</v>
      </c>
      <c r="J6054">
        <f t="shared" si="99"/>
        <v>105000</v>
      </c>
      <c r="K6054" t="e">
        <f>VLOOKUP(B6054,'REGISTRO ABONOS'!$B$8:$BC$10041,54,0)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hidden="1" x14ac:dyDescent="0.2">
      <c r="B6055" s="31">
        <v>6046</v>
      </c>
      <c r="J6055">
        <f t="shared" si="99"/>
        <v>105000</v>
      </c>
      <c r="K6055" t="e">
        <f>VLOOKUP(B6055,'REGISTRO ABONOS'!$B$8:$BC$10041,54,0)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hidden="1" x14ac:dyDescent="0.2">
      <c r="B6056" s="31">
        <v>6047</v>
      </c>
      <c r="J6056">
        <f t="shared" si="99"/>
        <v>105000</v>
      </c>
      <c r="K6056" t="e">
        <f>VLOOKUP(B6056,'REGISTRO ABONOS'!$B$8:$BC$10041,54,0)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hidden="1" x14ac:dyDescent="0.2">
      <c r="B6057" s="31">
        <v>6048</v>
      </c>
      <c r="J6057">
        <f t="shared" si="99"/>
        <v>105000</v>
      </c>
      <c r="K6057" t="e">
        <f>VLOOKUP(B6057,'REGISTRO ABONOS'!$B$8:$BC$10041,54,0)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hidden="1" x14ac:dyDescent="0.2">
      <c r="B6058" s="31">
        <v>6049</v>
      </c>
      <c r="J6058">
        <f t="shared" si="99"/>
        <v>105000</v>
      </c>
      <c r="K6058" t="e">
        <f>VLOOKUP(B6058,'REGISTRO ABONOS'!$B$8:$BC$10041,54,0)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hidden="1" x14ac:dyDescent="0.2">
      <c r="B6059" s="31">
        <v>6050</v>
      </c>
      <c r="J6059">
        <f t="shared" si="99"/>
        <v>105000</v>
      </c>
      <c r="K6059" t="e">
        <f>VLOOKUP(B6059,'REGISTRO ABONOS'!$B$8:$BC$10041,54,0)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hidden="1" x14ac:dyDescent="0.2">
      <c r="B6060" s="31">
        <v>6051</v>
      </c>
      <c r="J6060">
        <f t="shared" si="99"/>
        <v>105000</v>
      </c>
      <c r="K6060" t="e">
        <f>VLOOKUP(B6060,'REGISTRO ABONOS'!$B$8:$BC$10041,54,0)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hidden="1" x14ac:dyDescent="0.2">
      <c r="B6061" s="31">
        <v>6052</v>
      </c>
      <c r="J6061">
        <f t="shared" si="99"/>
        <v>105000</v>
      </c>
      <c r="K6061" t="e">
        <f>VLOOKUP(B6061,'REGISTRO ABONOS'!$B$8:$BC$10041,54,0)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hidden="1" x14ac:dyDescent="0.2">
      <c r="B6062" s="31">
        <v>6053</v>
      </c>
      <c r="J6062">
        <f t="shared" si="99"/>
        <v>105000</v>
      </c>
      <c r="K6062" t="e">
        <f>VLOOKUP(B6062,'REGISTRO ABONOS'!$B$8:$BC$10041,54,0)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hidden="1" x14ac:dyDescent="0.2">
      <c r="B6063" s="31">
        <v>6054</v>
      </c>
      <c r="J6063">
        <f t="shared" si="99"/>
        <v>105000</v>
      </c>
      <c r="K6063" t="e">
        <f>VLOOKUP(B6063,'REGISTRO ABONOS'!$B$8:$BC$10041,54,0)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hidden="1" x14ac:dyDescent="0.2">
      <c r="B6064" s="31">
        <v>6055</v>
      </c>
      <c r="J6064">
        <f t="shared" si="99"/>
        <v>105000</v>
      </c>
      <c r="K6064" t="e">
        <f>VLOOKUP(B6064,'REGISTRO ABONOS'!$B$8:$BC$10041,54,0)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hidden="1" x14ac:dyDescent="0.2">
      <c r="B6065" s="31">
        <v>6056</v>
      </c>
      <c r="J6065">
        <f t="shared" si="99"/>
        <v>105000</v>
      </c>
      <c r="K6065" t="e">
        <f>VLOOKUP(B6065,'REGISTRO ABONOS'!$B$8:$BC$10041,54,0)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hidden="1" x14ac:dyDescent="0.2">
      <c r="B6066" s="31">
        <v>6057</v>
      </c>
      <c r="J6066">
        <f t="shared" si="99"/>
        <v>105000</v>
      </c>
      <c r="K6066" t="e">
        <f>VLOOKUP(B6066,'REGISTRO ABONOS'!$B$8:$BC$10041,54,0)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hidden="1" x14ac:dyDescent="0.2">
      <c r="B6067" s="31">
        <v>6058</v>
      </c>
      <c r="J6067">
        <f t="shared" si="99"/>
        <v>105000</v>
      </c>
      <c r="K6067" t="e">
        <f>VLOOKUP(B6067,'REGISTRO ABONOS'!$B$8:$BC$10041,54,0)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hidden="1" x14ac:dyDescent="0.2">
      <c r="B6068" s="31">
        <v>6059</v>
      </c>
      <c r="J6068">
        <f t="shared" si="99"/>
        <v>105000</v>
      </c>
      <c r="K6068" t="e">
        <f>VLOOKUP(B6068,'REGISTRO ABONOS'!$B$8:$BC$10041,54,0)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hidden="1" x14ac:dyDescent="0.2">
      <c r="B6069" s="31">
        <v>6060</v>
      </c>
      <c r="J6069">
        <f t="shared" si="99"/>
        <v>105000</v>
      </c>
      <c r="K6069" t="e">
        <f>VLOOKUP(B6069,'REGISTRO ABONOS'!$B$8:$BC$10041,54,0)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hidden="1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ABONOS'!$B$8:$BC$10041,54,0)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hidden="1" x14ac:dyDescent="0.2">
      <c r="B6071" s="31">
        <v>6062</v>
      </c>
      <c r="J6071">
        <f t="shared" si="100"/>
        <v>105000</v>
      </c>
      <c r="K6071" t="e">
        <f>VLOOKUP(B6071,'REGISTRO ABONOS'!$B$8:$BC$10041,54,0)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hidden="1" x14ac:dyDescent="0.2">
      <c r="B6072" s="31">
        <v>6063</v>
      </c>
      <c r="J6072">
        <f t="shared" si="100"/>
        <v>105000</v>
      </c>
      <c r="K6072" t="e">
        <f>VLOOKUP(B6072,'REGISTRO ABONOS'!$B$8:$BC$10041,54,0)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hidden="1" x14ac:dyDescent="0.2">
      <c r="B6073" s="31">
        <v>6064</v>
      </c>
      <c r="J6073">
        <f t="shared" si="100"/>
        <v>105000</v>
      </c>
      <c r="K6073" t="e">
        <f>VLOOKUP(B6073,'REGISTRO ABONOS'!$B$8:$BC$10041,54,0)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hidden="1" x14ac:dyDescent="0.2">
      <c r="B6074" s="31">
        <v>6065</v>
      </c>
      <c r="J6074">
        <f t="shared" si="100"/>
        <v>105000</v>
      </c>
      <c r="K6074" t="e">
        <f>VLOOKUP(B6074,'REGISTRO ABONOS'!$B$8:$BC$10041,54,0)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hidden="1" x14ac:dyDescent="0.2">
      <c r="B6075" s="31">
        <v>6066</v>
      </c>
      <c r="J6075">
        <f t="shared" si="100"/>
        <v>105000</v>
      </c>
      <c r="K6075" t="e">
        <f>VLOOKUP(B6075,'REGISTRO ABONOS'!$B$8:$BC$10041,54,0)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hidden="1" x14ac:dyDescent="0.2">
      <c r="B6076" s="31">
        <v>6067</v>
      </c>
      <c r="J6076">
        <f t="shared" si="100"/>
        <v>105000</v>
      </c>
      <c r="K6076" t="e">
        <f>VLOOKUP(B6076,'REGISTRO ABONOS'!$B$8:$BC$10041,54,0)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hidden="1" x14ac:dyDescent="0.2">
      <c r="B6077" s="31">
        <v>6068</v>
      </c>
      <c r="J6077">
        <f t="shared" si="100"/>
        <v>105000</v>
      </c>
      <c r="K6077" t="e">
        <f>VLOOKUP(B6077,'REGISTRO ABONOS'!$B$8:$BC$10041,54,0)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hidden="1" x14ac:dyDescent="0.2">
      <c r="B6078" s="31">
        <v>6069</v>
      </c>
      <c r="J6078">
        <f t="shared" si="100"/>
        <v>105000</v>
      </c>
      <c r="K6078" t="e">
        <f>VLOOKUP(B6078,'REGISTRO ABONOS'!$B$8:$BC$10041,54,0)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hidden="1" x14ac:dyDescent="0.2">
      <c r="B6079" s="31">
        <v>6070</v>
      </c>
      <c r="J6079">
        <f t="shared" si="100"/>
        <v>105000</v>
      </c>
      <c r="K6079" t="e">
        <f>VLOOKUP(B6079,'REGISTRO ABONOS'!$B$8:$BC$10041,54,0)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hidden="1" x14ac:dyDescent="0.2">
      <c r="B6080" s="31">
        <v>6071</v>
      </c>
      <c r="J6080">
        <f t="shared" si="100"/>
        <v>105000</v>
      </c>
      <c r="K6080" t="e">
        <f>VLOOKUP(B6080,'REGISTRO ABONOS'!$B$8:$BC$10041,54,0)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hidden="1" x14ac:dyDescent="0.2">
      <c r="B6081" s="31">
        <v>6072</v>
      </c>
      <c r="J6081">
        <f t="shared" si="100"/>
        <v>105000</v>
      </c>
      <c r="K6081" t="e">
        <f>VLOOKUP(B6081,'REGISTRO ABONOS'!$B$8:$BC$10041,54,0)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hidden="1" x14ac:dyDescent="0.2">
      <c r="B6082" s="31">
        <v>6073</v>
      </c>
      <c r="J6082">
        <f t="shared" si="100"/>
        <v>105000</v>
      </c>
      <c r="K6082" t="e">
        <f>VLOOKUP(B6082,'REGISTRO ABONOS'!$B$8:$BC$10041,54,0)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hidden="1" x14ac:dyDescent="0.2">
      <c r="B6083" s="31">
        <v>6074</v>
      </c>
      <c r="C6083" s="10">
        <v>43571</v>
      </c>
      <c r="D6083" t="s">
        <v>520</v>
      </c>
      <c r="H6083" t="s">
        <v>520</v>
      </c>
      <c r="I6083" t="s">
        <v>322</v>
      </c>
      <c r="J6083">
        <f t="shared" si="100"/>
        <v>105000</v>
      </c>
      <c r="K6083" t="e">
        <f>VLOOKUP(B6083,'REGISTRO ABONOS'!$B$8:$BC$10041,54,0)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hidden="1" x14ac:dyDescent="0.2">
      <c r="B6084" s="31">
        <v>6075</v>
      </c>
      <c r="J6084">
        <f t="shared" si="100"/>
        <v>105000</v>
      </c>
      <c r="K6084" t="e">
        <f>VLOOKUP(B6084,'REGISTRO ABONOS'!$B$8:$BC$10041,54,0)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hidden="1" x14ac:dyDescent="0.2">
      <c r="B6085" s="31">
        <v>6076</v>
      </c>
      <c r="J6085">
        <f t="shared" si="100"/>
        <v>105000</v>
      </c>
      <c r="K6085" t="e">
        <f>VLOOKUP(B6085,'REGISTRO ABONOS'!$B$8:$BC$10041,54,0)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hidden="1" x14ac:dyDescent="0.2">
      <c r="B6086" s="31">
        <v>6077</v>
      </c>
      <c r="J6086">
        <f t="shared" si="100"/>
        <v>105000</v>
      </c>
      <c r="K6086" t="e">
        <f>VLOOKUP(B6086,'REGISTRO ABONOS'!$B$8:$BC$10041,54,0)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hidden="1" x14ac:dyDescent="0.2">
      <c r="B6087" s="31">
        <v>6078</v>
      </c>
      <c r="J6087">
        <f t="shared" si="100"/>
        <v>105000</v>
      </c>
      <c r="K6087" t="e">
        <f>VLOOKUP(B6087,'REGISTRO ABONOS'!$B$8:$BC$10041,54,0)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hidden="1" x14ac:dyDescent="0.2">
      <c r="B6088" s="31">
        <v>6079</v>
      </c>
      <c r="J6088">
        <f t="shared" si="100"/>
        <v>105000</v>
      </c>
      <c r="K6088" t="e">
        <f>VLOOKUP(B6088,'REGISTRO ABONOS'!$B$8:$BC$10041,54,0)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hidden="1" x14ac:dyDescent="0.2">
      <c r="B6089" s="31">
        <v>6080</v>
      </c>
      <c r="J6089">
        <f t="shared" si="100"/>
        <v>105000</v>
      </c>
      <c r="K6089" t="e">
        <f>VLOOKUP(B6089,'REGISTRO ABONOS'!$B$8:$BC$10041,54,0)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hidden="1" x14ac:dyDescent="0.2">
      <c r="B6090" s="31">
        <v>6081</v>
      </c>
      <c r="J6090">
        <f t="shared" si="100"/>
        <v>105000</v>
      </c>
      <c r="K6090" t="e">
        <f>VLOOKUP(B6090,'REGISTRO ABONOS'!$B$8:$BC$10041,54,0)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hidden="1" x14ac:dyDescent="0.2">
      <c r="B6091" s="31">
        <v>6082</v>
      </c>
      <c r="J6091">
        <f t="shared" si="100"/>
        <v>105000</v>
      </c>
      <c r="K6091" t="e">
        <f>VLOOKUP(B6091,'REGISTRO ABONOS'!$B$8:$BC$10041,54,0)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hidden="1" x14ac:dyDescent="0.2">
      <c r="B6092" s="31">
        <v>6083</v>
      </c>
      <c r="J6092">
        <f t="shared" si="100"/>
        <v>105000</v>
      </c>
      <c r="K6092" t="e">
        <f>VLOOKUP(B6092,'REGISTRO ABONOS'!$B$8:$BC$10041,54,0)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hidden="1" x14ac:dyDescent="0.2">
      <c r="B6093" s="31">
        <v>6084</v>
      </c>
      <c r="J6093">
        <f t="shared" si="100"/>
        <v>105000</v>
      </c>
      <c r="K6093" t="e">
        <f>VLOOKUP(B6093,'REGISTRO ABONOS'!$B$8:$BC$10041,54,0)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hidden="1" x14ac:dyDescent="0.2">
      <c r="B6094" s="31">
        <v>6085</v>
      </c>
      <c r="J6094">
        <f t="shared" si="100"/>
        <v>105000</v>
      </c>
      <c r="K6094" t="e">
        <f>VLOOKUP(B6094,'REGISTRO ABONOS'!$B$8:$BC$10041,54,0)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hidden="1" x14ac:dyDescent="0.2">
      <c r="B6095" s="31">
        <v>6086</v>
      </c>
      <c r="J6095">
        <f t="shared" si="100"/>
        <v>105000</v>
      </c>
      <c r="K6095" t="e">
        <f>VLOOKUP(B6095,'REGISTRO ABONOS'!$B$8:$BC$10041,54,0)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hidden="1" x14ac:dyDescent="0.2">
      <c r="B6096" s="31">
        <v>6087</v>
      </c>
      <c r="J6096">
        <f t="shared" si="100"/>
        <v>105000</v>
      </c>
      <c r="K6096" t="e">
        <f>VLOOKUP(B6096,'REGISTRO ABONOS'!$B$8:$BC$10041,54,0)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hidden="1" x14ac:dyDescent="0.2">
      <c r="B6097" s="31">
        <v>6088</v>
      </c>
      <c r="J6097">
        <f t="shared" si="100"/>
        <v>105000</v>
      </c>
      <c r="K6097" t="e">
        <f>VLOOKUP(B6097,'REGISTRO ABONOS'!$B$8:$BC$10041,54,0)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hidden="1" x14ac:dyDescent="0.2">
      <c r="B6098" s="31">
        <v>6089</v>
      </c>
      <c r="J6098">
        <f t="shared" si="100"/>
        <v>105000</v>
      </c>
      <c r="K6098" t="e">
        <f>VLOOKUP(B6098,'REGISTRO ABONOS'!$B$8:$BC$10041,54,0)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hidden="1" x14ac:dyDescent="0.2">
      <c r="B6099" s="31">
        <v>6090</v>
      </c>
      <c r="J6099">
        <f t="shared" si="100"/>
        <v>105000</v>
      </c>
      <c r="K6099" t="e">
        <f>VLOOKUP(B6099,'REGISTRO ABONOS'!$B$8:$BC$10041,54,0)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hidden="1" x14ac:dyDescent="0.2">
      <c r="B6100" s="31">
        <v>6091</v>
      </c>
      <c r="J6100">
        <f t="shared" si="100"/>
        <v>105000</v>
      </c>
      <c r="K6100" t="e">
        <f>VLOOKUP(B6100,'REGISTRO ABONOS'!$B$8:$BC$10041,54,0)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hidden="1" x14ac:dyDescent="0.2">
      <c r="B6101" s="31">
        <v>6092</v>
      </c>
      <c r="J6101">
        <f t="shared" si="100"/>
        <v>105000</v>
      </c>
      <c r="K6101" t="e">
        <f>VLOOKUP(B6101,'REGISTRO ABONOS'!$B$8:$BC$10041,54,0)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hidden="1" x14ac:dyDescent="0.2">
      <c r="B6102" s="31">
        <v>6093</v>
      </c>
      <c r="J6102">
        <f t="shared" si="100"/>
        <v>105000</v>
      </c>
      <c r="K6102" t="e">
        <f>VLOOKUP(B6102,'REGISTRO ABONOS'!$B$8:$BC$10041,54,0)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hidden="1" x14ac:dyDescent="0.2">
      <c r="B6103" s="31">
        <v>6094</v>
      </c>
      <c r="J6103">
        <f t="shared" si="100"/>
        <v>105000</v>
      </c>
      <c r="K6103" t="e">
        <f>VLOOKUP(B6103,'REGISTRO ABONOS'!$B$8:$BC$10041,54,0)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hidden="1" x14ac:dyDescent="0.2">
      <c r="B6104" s="31">
        <v>6095</v>
      </c>
      <c r="J6104">
        <f t="shared" si="100"/>
        <v>105000</v>
      </c>
      <c r="K6104" t="e">
        <f>VLOOKUP(B6104,'REGISTRO ABONOS'!$B$8:$BC$10041,54,0)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hidden="1" x14ac:dyDescent="0.2">
      <c r="B6105" s="31">
        <v>6096</v>
      </c>
      <c r="J6105">
        <f t="shared" si="100"/>
        <v>105000</v>
      </c>
      <c r="K6105" t="e">
        <f>VLOOKUP(B6105,'REGISTRO ABONOS'!$B$8:$BC$10041,54,0)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hidden="1" x14ac:dyDescent="0.2">
      <c r="B6106" s="31">
        <v>6097</v>
      </c>
      <c r="J6106">
        <f t="shared" si="100"/>
        <v>105000</v>
      </c>
      <c r="K6106" t="e">
        <f>VLOOKUP(B6106,'REGISTRO ABONOS'!$B$8:$BC$10041,54,0)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hidden="1" x14ac:dyDescent="0.2">
      <c r="B6107" s="31">
        <v>6098</v>
      </c>
      <c r="J6107">
        <f t="shared" si="100"/>
        <v>105000</v>
      </c>
      <c r="K6107" t="e">
        <f>VLOOKUP(B6107,'REGISTRO ABONOS'!$B$8:$BC$10041,54,0)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hidden="1" x14ac:dyDescent="0.2">
      <c r="B6108" s="31">
        <v>6099</v>
      </c>
      <c r="J6108">
        <f t="shared" si="100"/>
        <v>105000</v>
      </c>
      <c r="K6108" t="e">
        <f>VLOOKUP(B6108,'REGISTRO ABONOS'!$B$8:$BC$10041,54,0)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hidden="1" x14ac:dyDescent="0.2">
      <c r="B6109" s="31">
        <v>6100</v>
      </c>
      <c r="J6109">
        <f t="shared" si="100"/>
        <v>105000</v>
      </c>
      <c r="K6109" t="e">
        <f>VLOOKUP(B6109,'REGISTRO ABONOS'!$B$8:$BC$10041,54,0)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hidden="1" x14ac:dyDescent="0.2">
      <c r="B6110" s="31">
        <v>6101</v>
      </c>
      <c r="J6110">
        <f t="shared" si="100"/>
        <v>105000</v>
      </c>
      <c r="K6110" t="e">
        <f>VLOOKUP(B6110,'REGISTRO ABONOS'!$B$8:$BC$10041,54,0)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hidden="1" x14ac:dyDescent="0.2">
      <c r="B6111" s="31">
        <v>6102</v>
      </c>
      <c r="J6111">
        <f t="shared" si="100"/>
        <v>105000</v>
      </c>
      <c r="K6111" t="e">
        <f>VLOOKUP(B6111,'REGISTRO ABONOS'!$B$8:$BC$10041,54,0)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hidden="1" x14ac:dyDescent="0.2">
      <c r="B6112" s="31">
        <v>6103</v>
      </c>
      <c r="J6112">
        <f t="shared" si="100"/>
        <v>105000</v>
      </c>
      <c r="K6112" t="e">
        <f>VLOOKUP(B6112,'REGISTRO ABONOS'!$B$8:$BC$10041,54,0)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hidden="1" x14ac:dyDescent="0.2">
      <c r="B6113" s="31">
        <v>6104</v>
      </c>
      <c r="J6113">
        <f t="shared" si="100"/>
        <v>105000</v>
      </c>
      <c r="K6113" t="e">
        <f>VLOOKUP(B6113,'REGISTRO ABONOS'!$B$8:$BC$10041,54,0)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hidden="1" x14ac:dyDescent="0.2">
      <c r="B6114" s="31">
        <v>6105</v>
      </c>
      <c r="J6114">
        <f t="shared" si="100"/>
        <v>105000</v>
      </c>
      <c r="K6114" t="e">
        <f>VLOOKUP(B6114,'REGISTRO ABONOS'!$B$8:$BC$10041,54,0)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hidden="1" x14ac:dyDescent="0.2">
      <c r="B6115" s="31">
        <v>6106</v>
      </c>
      <c r="J6115">
        <f t="shared" si="100"/>
        <v>105000</v>
      </c>
      <c r="K6115" t="e">
        <f>VLOOKUP(B6115,'REGISTRO ABONOS'!$B$8:$BC$10041,54,0)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hidden="1" x14ac:dyDescent="0.2">
      <c r="B6116" s="31">
        <v>6107</v>
      </c>
      <c r="J6116">
        <f t="shared" si="100"/>
        <v>105000</v>
      </c>
      <c r="K6116" t="e">
        <f>VLOOKUP(B6116,'REGISTRO ABONOS'!$B$8:$BC$10041,54,0)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hidden="1" x14ac:dyDescent="0.2">
      <c r="B6117" s="31">
        <v>6108</v>
      </c>
      <c r="J6117">
        <f t="shared" si="100"/>
        <v>105000</v>
      </c>
      <c r="K6117" t="e">
        <f>VLOOKUP(B6117,'REGISTRO ABONOS'!$B$8:$BC$10041,54,0)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hidden="1" x14ac:dyDescent="0.2">
      <c r="B6118" s="31">
        <v>6109</v>
      </c>
      <c r="J6118">
        <f t="shared" si="100"/>
        <v>105000</v>
      </c>
      <c r="K6118" t="e">
        <f>VLOOKUP(B6118,'REGISTRO ABONOS'!$B$8:$BC$10041,54,0)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hidden="1" x14ac:dyDescent="0.2">
      <c r="B6119" s="31">
        <v>6110</v>
      </c>
      <c r="J6119">
        <f t="shared" si="100"/>
        <v>105000</v>
      </c>
      <c r="K6119" t="e">
        <f>VLOOKUP(B6119,'REGISTRO ABONOS'!$B$8:$BC$10041,54,0)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hidden="1" x14ac:dyDescent="0.2">
      <c r="B6120" s="31">
        <v>6111</v>
      </c>
      <c r="J6120">
        <f t="shared" si="100"/>
        <v>105000</v>
      </c>
      <c r="K6120" t="e">
        <f>VLOOKUP(B6120,'REGISTRO ABONOS'!$B$8:$BC$10041,54,0)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hidden="1" x14ac:dyDescent="0.2">
      <c r="B6121" s="31">
        <v>6112</v>
      </c>
      <c r="J6121">
        <f t="shared" si="100"/>
        <v>105000</v>
      </c>
      <c r="K6121" t="e">
        <f>VLOOKUP(B6121,'REGISTRO ABONOS'!$B$8:$BC$10041,54,0)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hidden="1" x14ac:dyDescent="0.2">
      <c r="B6122" s="31">
        <v>6113</v>
      </c>
      <c r="J6122">
        <f t="shared" si="100"/>
        <v>105000</v>
      </c>
      <c r="K6122" t="e">
        <f>VLOOKUP(B6122,'REGISTRO ABONOS'!$B$8:$BC$10041,54,0)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hidden="1" x14ac:dyDescent="0.2">
      <c r="B6123" s="31">
        <v>6114</v>
      </c>
      <c r="J6123">
        <f t="shared" si="100"/>
        <v>105000</v>
      </c>
      <c r="K6123" t="e">
        <f>VLOOKUP(B6123,'REGISTRO ABONOS'!$B$8:$BC$10041,54,0)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hidden="1" x14ac:dyDescent="0.2">
      <c r="B6124" s="31">
        <v>6115</v>
      </c>
      <c r="J6124">
        <f t="shared" si="100"/>
        <v>105000</v>
      </c>
      <c r="K6124" t="e">
        <f>VLOOKUP(B6124,'REGISTRO ABONOS'!$B$8:$BC$10041,54,0)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hidden="1" x14ac:dyDescent="0.2">
      <c r="B6125" s="31">
        <v>6116</v>
      </c>
      <c r="J6125">
        <f t="shared" si="100"/>
        <v>105000</v>
      </c>
      <c r="K6125" t="e">
        <f>VLOOKUP(B6125,'REGISTRO ABONOS'!$B$8:$BC$10041,54,0)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hidden="1" x14ac:dyDescent="0.2">
      <c r="B6126" s="31">
        <v>6117</v>
      </c>
      <c r="J6126">
        <f t="shared" si="100"/>
        <v>105000</v>
      </c>
      <c r="K6126" t="e">
        <f>VLOOKUP(B6126,'REGISTRO ABONOS'!$B$8:$BC$10041,54,0)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hidden="1" x14ac:dyDescent="0.2">
      <c r="B6127" s="31">
        <v>6118</v>
      </c>
      <c r="J6127">
        <f t="shared" si="100"/>
        <v>105000</v>
      </c>
      <c r="K6127" t="e">
        <f>VLOOKUP(B6127,'REGISTRO ABONOS'!$B$8:$BC$10041,54,0)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hidden="1" x14ac:dyDescent="0.2">
      <c r="B6128" s="31">
        <v>6119</v>
      </c>
      <c r="J6128">
        <f t="shared" si="100"/>
        <v>105000</v>
      </c>
      <c r="K6128" t="e">
        <f>VLOOKUP(B6128,'REGISTRO ABONOS'!$B$8:$BC$10041,54,0)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hidden="1" x14ac:dyDescent="0.2">
      <c r="B6129" s="31">
        <v>6120</v>
      </c>
      <c r="J6129">
        <f t="shared" si="100"/>
        <v>105000</v>
      </c>
      <c r="K6129" t="e">
        <f>VLOOKUP(B6129,'REGISTRO ABONOS'!$B$8:$BC$10041,54,0)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hidden="1" x14ac:dyDescent="0.2">
      <c r="B6130" s="31">
        <v>6121</v>
      </c>
      <c r="J6130">
        <f t="shared" si="100"/>
        <v>105000</v>
      </c>
      <c r="K6130" t="e">
        <f>VLOOKUP(B6130,'REGISTRO ABONOS'!$B$8:$BC$10041,54,0)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hidden="1" x14ac:dyDescent="0.2">
      <c r="B6131" s="31">
        <v>6122</v>
      </c>
      <c r="J6131">
        <f t="shared" si="100"/>
        <v>105000</v>
      </c>
      <c r="K6131" t="e">
        <f>VLOOKUP(B6131,'REGISTRO ABONOS'!$B$8:$BC$10041,54,0)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hidden="1" x14ac:dyDescent="0.2">
      <c r="B6132" s="31">
        <v>6123</v>
      </c>
      <c r="J6132">
        <f t="shared" si="100"/>
        <v>105000</v>
      </c>
      <c r="K6132" t="e">
        <f>VLOOKUP(B6132,'REGISTRO ABONOS'!$B$8:$BC$10041,54,0)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hidden="1" x14ac:dyDescent="0.2">
      <c r="B6133" s="31">
        <v>6124</v>
      </c>
      <c r="J6133">
        <f t="shared" si="100"/>
        <v>105000</v>
      </c>
      <c r="K6133" t="e">
        <f>VLOOKUP(B6133,'REGISTRO ABONOS'!$B$8:$BC$10041,54,0)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hidden="1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ABONOS'!$B$8:$BC$10041,54,0)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hidden="1" x14ac:dyDescent="0.2">
      <c r="B6135" s="31">
        <v>6126</v>
      </c>
      <c r="J6135">
        <f t="shared" si="101"/>
        <v>105000</v>
      </c>
      <c r="K6135" t="e">
        <f>VLOOKUP(B6135,'REGISTRO ABONOS'!$B$8:$BC$10041,54,0)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1"/>
        <v>105000</v>
      </c>
      <c r="K6136" t="e">
        <f>VLOOKUP(B6136,'REGISTRO ABONOS'!$B$8:$BC$10041,54,0)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hidden="1" x14ac:dyDescent="0.2">
      <c r="B6137" s="31">
        <v>6128</v>
      </c>
      <c r="J6137">
        <f t="shared" si="101"/>
        <v>105000</v>
      </c>
      <c r="K6137" t="e">
        <f>VLOOKUP(B6137,'REGISTRO ABONOS'!$B$8:$BC$10041,54,0)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hidden="1" x14ac:dyDescent="0.2">
      <c r="B6138" s="31">
        <v>6129</v>
      </c>
      <c r="J6138">
        <f t="shared" si="101"/>
        <v>105000</v>
      </c>
      <c r="K6138" t="e">
        <f>VLOOKUP(B6138,'REGISTRO ABONOS'!$B$8:$BC$10041,54,0)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hidden="1" x14ac:dyDescent="0.2">
      <c r="B6139" s="31">
        <v>6130</v>
      </c>
      <c r="J6139">
        <f t="shared" si="101"/>
        <v>105000</v>
      </c>
      <c r="K6139" t="e">
        <f>VLOOKUP(B6139,'REGISTRO ABONOS'!$B$8:$BC$10041,54,0)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hidden="1" x14ac:dyDescent="0.2">
      <c r="B6140" s="31">
        <v>6131</v>
      </c>
      <c r="J6140">
        <f t="shared" si="101"/>
        <v>105000</v>
      </c>
      <c r="K6140" t="e">
        <f>VLOOKUP(B6140,'REGISTRO ABONOS'!$B$8:$BC$10041,54,0)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hidden="1" x14ac:dyDescent="0.2">
      <c r="B6141" s="31">
        <v>6132</v>
      </c>
      <c r="J6141">
        <f t="shared" si="101"/>
        <v>105000</v>
      </c>
      <c r="K6141" t="e">
        <f>VLOOKUP(B6141,'REGISTRO ABONOS'!$B$8:$BC$10041,54,0)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hidden="1" x14ac:dyDescent="0.2">
      <c r="B6142" s="31">
        <v>6133</v>
      </c>
      <c r="J6142">
        <f t="shared" si="101"/>
        <v>105000</v>
      </c>
      <c r="K6142" t="e">
        <f>VLOOKUP(B6142,'REGISTRO ABONOS'!$B$8:$BC$10041,54,0)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hidden="1" x14ac:dyDescent="0.2">
      <c r="B6143" s="31">
        <v>6134</v>
      </c>
      <c r="J6143">
        <f t="shared" si="101"/>
        <v>105000</v>
      </c>
      <c r="K6143" t="e">
        <f>VLOOKUP(B6143,'REGISTRO ABONOS'!$B$8:$BC$10041,54,0)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hidden="1" x14ac:dyDescent="0.2">
      <c r="B6144" s="31">
        <v>6135</v>
      </c>
      <c r="J6144">
        <f t="shared" si="101"/>
        <v>105000</v>
      </c>
      <c r="K6144" t="e">
        <f>VLOOKUP(B6144,'REGISTRO ABONOS'!$B$8:$BC$10041,54,0)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hidden="1" x14ac:dyDescent="0.2">
      <c r="B6145" s="31">
        <v>6136</v>
      </c>
      <c r="J6145">
        <f t="shared" si="101"/>
        <v>105000</v>
      </c>
      <c r="K6145" t="e">
        <f>VLOOKUP(B6145,'REGISTRO ABONOS'!$B$8:$BC$10041,54,0)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hidden="1" x14ac:dyDescent="0.2">
      <c r="B6146" s="31">
        <v>6137</v>
      </c>
      <c r="J6146">
        <f t="shared" si="101"/>
        <v>105000</v>
      </c>
      <c r="K6146" t="e">
        <f>VLOOKUP(B6146,'REGISTRO ABONOS'!$B$8:$BC$10041,54,0)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hidden="1" x14ac:dyDescent="0.2">
      <c r="B6147" s="31">
        <v>6138</v>
      </c>
      <c r="J6147">
        <f t="shared" si="101"/>
        <v>105000</v>
      </c>
      <c r="K6147" t="e">
        <f>VLOOKUP(B6147,'REGISTRO ABONOS'!$B$8:$BC$10041,54,0)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hidden="1" x14ac:dyDescent="0.2">
      <c r="B6148" s="31">
        <v>6139</v>
      </c>
      <c r="J6148">
        <f t="shared" si="101"/>
        <v>105000</v>
      </c>
      <c r="K6148" t="e">
        <f>VLOOKUP(B6148,'REGISTRO ABONOS'!$B$8:$BC$10041,54,0)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hidden="1" x14ac:dyDescent="0.2">
      <c r="B6149" s="31">
        <v>6140</v>
      </c>
      <c r="J6149">
        <f t="shared" si="101"/>
        <v>105000</v>
      </c>
      <c r="K6149" t="e">
        <f>VLOOKUP(B6149,'REGISTRO ABONOS'!$B$8:$BC$10041,54,0)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hidden="1" x14ac:dyDescent="0.2">
      <c r="B6150" s="31">
        <v>6141</v>
      </c>
      <c r="J6150">
        <f t="shared" si="101"/>
        <v>105000</v>
      </c>
      <c r="K6150" t="e">
        <f>VLOOKUP(B6150,'REGISTRO ABONOS'!$B$8:$BC$10041,54,0)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hidden="1" x14ac:dyDescent="0.2">
      <c r="B6151" s="31">
        <v>6142</v>
      </c>
      <c r="J6151">
        <f t="shared" si="101"/>
        <v>105000</v>
      </c>
      <c r="K6151" t="e">
        <f>VLOOKUP(B6151,'REGISTRO ABONOS'!$B$8:$BC$10041,54,0)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hidden="1" x14ac:dyDescent="0.2">
      <c r="B6152" s="31">
        <v>6143</v>
      </c>
      <c r="J6152">
        <f t="shared" si="101"/>
        <v>105000</v>
      </c>
      <c r="K6152" t="e">
        <f>VLOOKUP(B6152,'REGISTRO ABONOS'!$B$8:$BC$10041,54,0)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hidden="1" x14ac:dyDescent="0.2">
      <c r="B6153" s="31">
        <v>6144</v>
      </c>
      <c r="J6153">
        <f t="shared" si="101"/>
        <v>105000</v>
      </c>
      <c r="K6153" t="e">
        <f>VLOOKUP(B6153,'REGISTRO ABONOS'!$B$8:$BC$10041,54,0)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hidden="1" x14ac:dyDescent="0.2">
      <c r="B6154" s="31">
        <v>6145</v>
      </c>
      <c r="J6154">
        <f t="shared" si="101"/>
        <v>105000</v>
      </c>
      <c r="K6154" t="e">
        <f>VLOOKUP(B6154,'REGISTRO ABONOS'!$B$8:$BC$10041,54,0)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hidden="1" x14ac:dyDescent="0.2">
      <c r="B6155" s="31">
        <v>6146</v>
      </c>
      <c r="J6155">
        <f t="shared" si="101"/>
        <v>105000</v>
      </c>
      <c r="K6155" t="e">
        <f>VLOOKUP(B6155,'REGISTRO ABONOS'!$B$8:$BC$10041,54,0)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hidden="1" x14ac:dyDescent="0.2">
      <c r="B6156" s="31">
        <v>6147</v>
      </c>
      <c r="J6156">
        <f t="shared" si="101"/>
        <v>105000</v>
      </c>
      <c r="K6156" t="e">
        <f>VLOOKUP(B6156,'REGISTRO ABONOS'!$B$8:$BC$10041,54,0)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hidden="1" x14ac:dyDescent="0.2">
      <c r="B6157" s="31">
        <v>6148</v>
      </c>
      <c r="J6157">
        <f t="shared" si="101"/>
        <v>105000</v>
      </c>
      <c r="K6157" t="e">
        <f>VLOOKUP(B6157,'REGISTRO ABONOS'!$B$8:$BC$10041,54,0)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hidden="1" x14ac:dyDescent="0.2">
      <c r="B6158" s="31">
        <v>6149</v>
      </c>
      <c r="J6158">
        <f t="shared" si="101"/>
        <v>105000</v>
      </c>
      <c r="K6158" t="e">
        <f>VLOOKUP(B6158,'REGISTRO ABONOS'!$B$8:$BC$10041,54,0)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hidden="1" x14ac:dyDescent="0.2">
      <c r="B6159" s="31">
        <v>6150</v>
      </c>
      <c r="J6159">
        <f t="shared" si="101"/>
        <v>105000</v>
      </c>
      <c r="K6159" t="e">
        <f>VLOOKUP(B6159,'REGISTRO ABONOS'!$B$8:$BC$10041,54,0)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hidden="1" x14ac:dyDescent="0.2">
      <c r="B6160" s="31">
        <v>6151</v>
      </c>
      <c r="J6160">
        <f t="shared" si="101"/>
        <v>105000</v>
      </c>
      <c r="K6160" t="e">
        <f>VLOOKUP(B6160,'REGISTRO ABONOS'!$B$8:$BC$10041,54,0)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hidden="1" x14ac:dyDescent="0.2">
      <c r="B6161" s="31">
        <v>6152</v>
      </c>
      <c r="J6161">
        <f t="shared" si="101"/>
        <v>105000</v>
      </c>
      <c r="K6161" t="e">
        <f>VLOOKUP(B6161,'REGISTRO ABONOS'!$B$8:$BC$10041,54,0)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hidden="1" x14ac:dyDescent="0.2">
      <c r="B6162" s="31">
        <v>6153</v>
      </c>
      <c r="J6162">
        <f t="shared" si="101"/>
        <v>105000</v>
      </c>
      <c r="K6162" t="e">
        <f>VLOOKUP(B6162,'REGISTRO ABONOS'!$B$8:$BC$10041,54,0)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hidden="1" x14ac:dyDescent="0.2">
      <c r="B6163" s="31">
        <v>6154</v>
      </c>
      <c r="J6163">
        <f t="shared" si="101"/>
        <v>105000</v>
      </c>
      <c r="K6163" t="e">
        <f>VLOOKUP(B6163,'REGISTRO ABONOS'!$B$8:$BC$10041,54,0)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hidden="1" x14ac:dyDescent="0.2">
      <c r="B6164" s="31">
        <v>6155</v>
      </c>
      <c r="J6164">
        <f t="shared" si="101"/>
        <v>105000</v>
      </c>
      <c r="K6164" t="e">
        <f>VLOOKUP(B6164,'REGISTRO ABONOS'!$B$8:$BC$10041,54,0)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hidden="1" x14ac:dyDescent="0.2">
      <c r="B6165" s="31">
        <v>6156</v>
      </c>
      <c r="J6165">
        <f t="shared" si="101"/>
        <v>105000</v>
      </c>
      <c r="K6165" t="e">
        <f>VLOOKUP(B6165,'REGISTRO ABONOS'!$B$8:$BC$10041,54,0)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hidden="1" x14ac:dyDescent="0.2">
      <c r="B6166" s="31">
        <v>6157</v>
      </c>
      <c r="J6166">
        <f t="shared" si="101"/>
        <v>105000</v>
      </c>
      <c r="K6166" t="e">
        <f>VLOOKUP(B6166,'REGISTRO ABONOS'!$B$8:$BC$10041,54,0)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hidden="1" x14ac:dyDescent="0.2">
      <c r="B6167" s="31">
        <v>6158</v>
      </c>
      <c r="J6167">
        <f t="shared" si="101"/>
        <v>105000</v>
      </c>
      <c r="K6167" t="e">
        <f>VLOOKUP(B6167,'REGISTRO ABONOS'!$B$8:$BC$10041,54,0)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hidden="1" x14ac:dyDescent="0.2">
      <c r="B6168" s="31">
        <v>6159</v>
      </c>
      <c r="J6168">
        <f t="shared" si="101"/>
        <v>105000</v>
      </c>
      <c r="K6168" t="e">
        <f>VLOOKUP(B6168,'REGISTRO ABONOS'!$B$8:$BC$10041,54,0)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hidden="1" x14ac:dyDescent="0.2">
      <c r="B6169" s="31">
        <v>6160</v>
      </c>
      <c r="J6169">
        <f t="shared" si="101"/>
        <v>105000</v>
      </c>
      <c r="K6169" t="e">
        <f>VLOOKUP(B6169,'REGISTRO ABONOS'!$B$8:$BC$10041,54,0)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hidden="1" x14ac:dyDescent="0.2">
      <c r="B6170" s="31">
        <v>6161</v>
      </c>
      <c r="J6170">
        <f t="shared" si="101"/>
        <v>105000</v>
      </c>
      <c r="K6170" t="e">
        <f>VLOOKUP(B6170,'REGISTRO ABONOS'!$B$8:$BC$10041,54,0)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hidden="1" x14ac:dyDescent="0.2">
      <c r="B6171" s="31">
        <v>6162</v>
      </c>
      <c r="J6171">
        <f t="shared" si="101"/>
        <v>105000</v>
      </c>
      <c r="K6171" t="e">
        <f>VLOOKUP(B6171,'REGISTRO ABONOS'!$B$8:$BC$10041,54,0)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hidden="1" x14ac:dyDescent="0.2">
      <c r="B6172" s="31">
        <v>6163</v>
      </c>
      <c r="J6172">
        <f t="shared" si="101"/>
        <v>105000</v>
      </c>
      <c r="K6172" t="e">
        <f>VLOOKUP(B6172,'REGISTRO ABONOS'!$B$8:$BC$10041,54,0)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hidden="1" x14ac:dyDescent="0.2">
      <c r="B6173" s="31">
        <v>6164</v>
      </c>
      <c r="J6173">
        <f t="shared" si="101"/>
        <v>105000</v>
      </c>
      <c r="K6173" t="e">
        <f>VLOOKUP(B6173,'REGISTRO ABONOS'!$B$8:$BC$10041,54,0)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hidden="1" x14ac:dyDescent="0.2">
      <c r="B6174" s="31">
        <v>6165</v>
      </c>
      <c r="J6174">
        <f t="shared" si="101"/>
        <v>105000</v>
      </c>
      <c r="K6174" t="e">
        <f>VLOOKUP(B6174,'REGISTRO ABONOS'!$B$8:$BC$10041,54,0)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hidden="1" x14ac:dyDescent="0.2">
      <c r="B6175" s="31">
        <v>6166</v>
      </c>
      <c r="J6175">
        <f t="shared" si="101"/>
        <v>105000</v>
      </c>
      <c r="K6175" t="e">
        <f>VLOOKUP(B6175,'REGISTRO ABONOS'!$B$8:$BC$10041,54,0)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hidden="1" x14ac:dyDescent="0.2">
      <c r="B6176" s="31">
        <v>6167</v>
      </c>
      <c r="J6176">
        <f t="shared" si="101"/>
        <v>105000</v>
      </c>
      <c r="K6176" t="e">
        <f>VLOOKUP(B6176,'REGISTRO ABONOS'!$B$8:$BC$10041,54,0)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hidden="1" x14ac:dyDescent="0.2">
      <c r="B6177" s="31">
        <v>6168</v>
      </c>
      <c r="J6177">
        <f t="shared" si="101"/>
        <v>105000</v>
      </c>
      <c r="K6177" t="e">
        <f>VLOOKUP(B6177,'REGISTRO ABONOS'!$B$8:$BC$10041,54,0)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hidden="1" x14ac:dyDescent="0.2">
      <c r="B6178" s="31">
        <v>6169</v>
      </c>
      <c r="J6178">
        <f t="shared" si="101"/>
        <v>105000</v>
      </c>
      <c r="K6178" t="e">
        <f>VLOOKUP(B6178,'REGISTRO ABONOS'!$B$8:$BC$10041,54,0)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hidden="1" x14ac:dyDescent="0.2">
      <c r="B6179" s="31">
        <v>6170</v>
      </c>
      <c r="J6179">
        <f t="shared" si="101"/>
        <v>105000</v>
      </c>
      <c r="K6179" t="e">
        <f>VLOOKUP(B6179,'REGISTRO ABONOS'!$B$8:$BC$10041,54,0)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hidden="1" x14ac:dyDescent="0.2">
      <c r="B6180" s="31">
        <v>6171</v>
      </c>
      <c r="J6180">
        <f t="shared" si="101"/>
        <v>105000</v>
      </c>
      <c r="K6180" t="e">
        <f>VLOOKUP(B6180,'REGISTRO ABONOS'!$B$8:$BC$10041,54,0)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hidden="1" x14ac:dyDescent="0.2">
      <c r="B6181" s="31">
        <v>6172</v>
      </c>
      <c r="J6181">
        <f t="shared" si="101"/>
        <v>105000</v>
      </c>
      <c r="K6181" t="e">
        <f>VLOOKUP(B6181,'REGISTRO ABONOS'!$B$8:$BC$10041,54,0)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hidden="1" x14ac:dyDescent="0.2">
      <c r="B6182" s="31">
        <v>6173</v>
      </c>
      <c r="J6182">
        <f t="shared" si="101"/>
        <v>105000</v>
      </c>
      <c r="K6182" t="e">
        <f>VLOOKUP(B6182,'REGISTRO ABONOS'!$B$8:$BC$10041,54,0)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hidden="1" x14ac:dyDescent="0.2">
      <c r="B6183" s="31">
        <v>6174</v>
      </c>
      <c r="J6183">
        <f t="shared" si="101"/>
        <v>105000</v>
      </c>
      <c r="K6183" t="e">
        <f>VLOOKUP(B6183,'REGISTRO ABONOS'!$B$8:$BC$10041,54,0)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hidden="1" x14ac:dyDescent="0.2">
      <c r="B6184" s="31">
        <v>6175</v>
      </c>
      <c r="J6184">
        <f t="shared" si="101"/>
        <v>105000</v>
      </c>
      <c r="K6184" t="e">
        <f>VLOOKUP(B6184,'REGISTRO ABONOS'!$B$8:$BC$10041,54,0)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hidden="1" x14ac:dyDescent="0.2">
      <c r="B6185" s="31">
        <v>6176</v>
      </c>
      <c r="J6185">
        <f t="shared" si="101"/>
        <v>105000</v>
      </c>
      <c r="K6185" t="e">
        <f>VLOOKUP(B6185,'REGISTRO ABONOS'!$B$8:$BC$10041,54,0)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hidden="1" x14ac:dyDescent="0.2">
      <c r="B6186" s="31">
        <v>6177</v>
      </c>
      <c r="J6186">
        <f t="shared" si="101"/>
        <v>105000</v>
      </c>
      <c r="K6186" t="e">
        <f>VLOOKUP(B6186,'REGISTRO ABONOS'!$B$8:$BC$10041,54,0)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hidden="1" x14ac:dyDescent="0.2">
      <c r="B6187" s="31">
        <v>6178</v>
      </c>
      <c r="J6187">
        <f t="shared" si="101"/>
        <v>105000</v>
      </c>
      <c r="K6187" t="e">
        <f>VLOOKUP(B6187,'REGISTRO ABONOS'!$B$8:$BC$10041,54,0)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hidden="1" x14ac:dyDescent="0.2">
      <c r="B6188" s="31">
        <v>6179</v>
      </c>
      <c r="J6188">
        <f t="shared" si="101"/>
        <v>105000</v>
      </c>
      <c r="K6188" t="e">
        <f>VLOOKUP(B6188,'REGISTRO ABONOS'!$B$8:$BC$10041,54,0)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hidden="1" x14ac:dyDescent="0.2">
      <c r="B6189" s="31">
        <v>6180</v>
      </c>
      <c r="J6189">
        <f t="shared" si="101"/>
        <v>105000</v>
      </c>
      <c r="K6189" t="e">
        <f>VLOOKUP(B6189,'REGISTRO ABONOS'!$B$8:$BC$10041,54,0)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hidden="1" x14ac:dyDescent="0.2">
      <c r="B6190" s="31">
        <v>6181</v>
      </c>
      <c r="J6190">
        <f t="shared" si="101"/>
        <v>105000</v>
      </c>
      <c r="K6190" t="e">
        <f>VLOOKUP(B6190,'REGISTRO ABONOS'!$B$8:$BC$10041,54,0)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hidden="1" x14ac:dyDescent="0.2">
      <c r="B6191" s="31">
        <v>6182</v>
      </c>
      <c r="J6191">
        <f t="shared" si="101"/>
        <v>105000</v>
      </c>
      <c r="K6191" t="e">
        <f>VLOOKUP(B6191,'REGISTRO ABONOS'!$B$8:$BC$10041,54,0)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hidden="1" x14ac:dyDescent="0.2">
      <c r="B6192" s="31">
        <v>6183</v>
      </c>
      <c r="J6192">
        <f t="shared" si="101"/>
        <v>105000</v>
      </c>
      <c r="K6192" t="e">
        <f>VLOOKUP(B6192,'REGISTRO ABONOS'!$B$8:$BC$10041,54,0)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hidden="1" x14ac:dyDescent="0.2">
      <c r="B6193" s="31">
        <v>6184</v>
      </c>
      <c r="J6193">
        <f t="shared" si="101"/>
        <v>105000</v>
      </c>
      <c r="K6193" t="e">
        <f>VLOOKUP(B6193,'REGISTRO ABONOS'!$B$8:$BC$10041,54,0)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hidden="1" x14ac:dyDescent="0.2">
      <c r="B6194" s="31">
        <v>6185</v>
      </c>
      <c r="J6194">
        <f t="shared" si="101"/>
        <v>105000</v>
      </c>
      <c r="K6194" t="e">
        <f>VLOOKUP(B6194,'REGISTRO ABONOS'!$B$8:$BC$10041,54,0)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hidden="1" x14ac:dyDescent="0.2">
      <c r="B6195" s="31">
        <v>6186</v>
      </c>
      <c r="J6195">
        <f t="shared" si="101"/>
        <v>105000</v>
      </c>
      <c r="K6195" t="e">
        <f>VLOOKUP(B6195,'REGISTRO ABONOS'!$B$8:$BC$10041,54,0)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hidden="1" x14ac:dyDescent="0.2">
      <c r="B6196" s="31">
        <v>6187</v>
      </c>
      <c r="J6196">
        <f t="shared" si="101"/>
        <v>105000</v>
      </c>
      <c r="K6196" t="e">
        <f>VLOOKUP(B6196,'REGISTRO ABONOS'!$B$8:$BC$10041,54,0)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hidden="1" x14ac:dyDescent="0.2">
      <c r="B6197" s="31">
        <v>6188</v>
      </c>
      <c r="J6197">
        <f t="shared" si="101"/>
        <v>105000</v>
      </c>
      <c r="K6197" t="e">
        <f>VLOOKUP(B6197,'REGISTRO ABONOS'!$B$8:$BC$10041,54,0)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hidden="1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ABONOS'!$B$8:$BC$10041,54,0)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hidden="1" x14ac:dyDescent="0.2">
      <c r="B6199" s="31">
        <v>6190</v>
      </c>
      <c r="J6199">
        <f t="shared" si="102"/>
        <v>105000</v>
      </c>
      <c r="K6199" t="e">
        <f>VLOOKUP(B6199,'REGISTRO ABONOS'!$B$8:$BC$10041,54,0)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hidden="1" x14ac:dyDescent="0.2">
      <c r="B6200" s="31">
        <v>6191</v>
      </c>
      <c r="J6200">
        <f t="shared" si="102"/>
        <v>105000</v>
      </c>
      <c r="K6200" t="e">
        <f>VLOOKUP(B6200,'REGISTRO ABONOS'!$B$8:$BC$10041,54,0)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hidden="1" x14ac:dyDescent="0.2">
      <c r="B6201" s="31">
        <v>6192</v>
      </c>
      <c r="J6201">
        <f t="shared" si="102"/>
        <v>105000</v>
      </c>
      <c r="K6201" t="e">
        <f>VLOOKUP(B6201,'REGISTRO ABONOS'!$B$8:$BC$10041,54,0)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hidden="1" x14ac:dyDescent="0.2">
      <c r="B6202" s="31">
        <v>6193</v>
      </c>
      <c r="J6202">
        <f t="shared" si="102"/>
        <v>105000</v>
      </c>
      <c r="K6202" t="e">
        <f>VLOOKUP(B6202,'REGISTRO ABONOS'!$B$8:$BC$10041,54,0)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hidden="1" x14ac:dyDescent="0.2">
      <c r="B6203" s="31">
        <v>6194</v>
      </c>
      <c r="J6203">
        <f t="shared" si="102"/>
        <v>105000</v>
      </c>
      <c r="K6203" t="e">
        <f>VLOOKUP(B6203,'REGISTRO ABONOS'!$B$8:$BC$10041,54,0)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hidden="1" x14ac:dyDescent="0.2">
      <c r="B6204" s="31">
        <v>6195</v>
      </c>
      <c r="J6204">
        <f t="shared" si="102"/>
        <v>105000</v>
      </c>
      <c r="K6204" t="e">
        <f>VLOOKUP(B6204,'REGISTRO ABONOS'!$B$8:$BC$10041,54,0)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hidden="1" x14ac:dyDescent="0.2">
      <c r="B6205" s="31">
        <v>6196</v>
      </c>
      <c r="J6205">
        <f t="shared" si="102"/>
        <v>105000</v>
      </c>
      <c r="K6205" t="e">
        <f>VLOOKUP(B6205,'REGISTRO ABONOS'!$B$8:$BC$10041,54,0)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hidden="1" x14ac:dyDescent="0.2">
      <c r="B6206" s="31">
        <v>6197</v>
      </c>
      <c r="J6206">
        <f t="shared" si="102"/>
        <v>105000</v>
      </c>
      <c r="K6206" t="e">
        <f>VLOOKUP(B6206,'REGISTRO ABONOS'!$B$8:$BC$10041,54,0)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hidden="1" x14ac:dyDescent="0.2">
      <c r="B6207" s="31">
        <v>6198</v>
      </c>
      <c r="J6207">
        <f t="shared" si="102"/>
        <v>105000</v>
      </c>
      <c r="K6207" t="e">
        <f>VLOOKUP(B6207,'REGISTRO ABONOS'!$B$8:$BC$10041,54,0)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hidden="1" x14ac:dyDescent="0.2">
      <c r="B6208" s="31">
        <v>6199</v>
      </c>
      <c r="J6208">
        <f t="shared" si="102"/>
        <v>105000</v>
      </c>
      <c r="K6208" t="e">
        <f>VLOOKUP(B6208,'REGISTRO ABONOS'!$B$8:$BC$10041,54,0)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hidden="1" x14ac:dyDescent="0.2">
      <c r="B6209" s="31">
        <v>6200</v>
      </c>
      <c r="J6209">
        <f t="shared" si="102"/>
        <v>105000</v>
      </c>
      <c r="K6209" t="e">
        <f>VLOOKUP(B6209,'REGISTRO ABONOS'!$B$8:$BC$10041,54,0)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hidden="1" x14ac:dyDescent="0.2">
      <c r="B6210" s="31">
        <v>6201</v>
      </c>
      <c r="J6210">
        <f t="shared" si="102"/>
        <v>105000</v>
      </c>
      <c r="K6210" t="e">
        <f>VLOOKUP(B6210,'REGISTRO ABONOS'!$B$8:$BC$10041,54,0)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hidden="1" x14ac:dyDescent="0.2">
      <c r="B6211" s="31">
        <v>6202</v>
      </c>
      <c r="J6211">
        <f t="shared" si="102"/>
        <v>105000</v>
      </c>
      <c r="K6211" t="e">
        <f>VLOOKUP(B6211,'REGISTRO ABONOS'!$B$8:$BC$10041,54,0)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hidden="1" x14ac:dyDescent="0.2">
      <c r="B6212" s="31">
        <v>6203</v>
      </c>
      <c r="J6212">
        <f t="shared" si="102"/>
        <v>105000</v>
      </c>
      <c r="K6212" t="e">
        <f>VLOOKUP(B6212,'REGISTRO ABONOS'!$B$8:$BC$10041,54,0)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hidden="1" x14ac:dyDescent="0.2">
      <c r="B6213" s="31">
        <v>6204</v>
      </c>
      <c r="J6213">
        <f t="shared" si="102"/>
        <v>105000</v>
      </c>
      <c r="K6213" t="e">
        <f>VLOOKUP(B6213,'REGISTRO ABONOS'!$B$8:$BC$10041,54,0)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hidden="1" x14ac:dyDescent="0.2">
      <c r="B6214" s="31">
        <v>6205</v>
      </c>
      <c r="J6214">
        <f t="shared" si="102"/>
        <v>105000</v>
      </c>
      <c r="K6214" t="e">
        <f>VLOOKUP(B6214,'REGISTRO ABONOS'!$B$8:$BC$10041,54,0)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hidden="1" x14ac:dyDescent="0.2">
      <c r="B6215" s="31">
        <v>6206</v>
      </c>
      <c r="J6215">
        <f t="shared" si="102"/>
        <v>105000</v>
      </c>
      <c r="K6215" t="e">
        <f>VLOOKUP(B6215,'REGISTRO ABONOS'!$B$8:$BC$10041,54,0)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hidden="1" x14ac:dyDescent="0.2">
      <c r="B6216" s="31">
        <v>6207</v>
      </c>
      <c r="J6216">
        <f t="shared" si="102"/>
        <v>105000</v>
      </c>
      <c r="K6216" t="e">
        <f>VLOOKUP(B6216,'REGISTRO ABONOS'!$B$8:$BC$10041,54,0)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hidden="1" x14ac:dyDescent="0.2">
      <c r="B6217" s="31">
        <v>6208</v>
      </c>
      <c r="J6217">
        <f t="shared" si="102"/>
        <v>105000</v>
      </c>
      <c r="K6217" t="e">
        <f>VLOOKUP(B6217,'REGISTRO ABONOS'!$B$8:$BC$10041,54,0)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hidden="1" x14ac:dyDescent="0.2">
      <c r="B6218" s="31">
        <v>6209</v>
      </c>
      <c r="J6218">
        <f t="shared" si="102"/>
        <v>105000</v>
      </c>
      <c r="K6218" t="e">
        <f>VLOOKUP(B6218,'REGISTRO ABONOS'!$B$8:$BC$10041,54,0)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hidden="1" x14ac:dyDescent="0.2">
      <c r="B6219" s="31">
        <v>6210</v>
      </c>
      <c r="J6219">
        <f t="shared" si="102"/>
        <v>105000</v>
      </c>
      <c r="K6219" t="e">
        <f>VLOOKUP(B6219,'REGISTRO ABONOS'!$B$8:$BC$10041,54,0)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hidden="1" x14ac:dyDescent="0.2">
      <c r="B6220" s="31">
        <v>6211</v>
      </c>
      <c r="J6220">
        <f t="shared" si="102"/>
        <v>105000</v>
      </c>
      <c r="K6220" t="e">
        <f>VLOOKUP(B6220,'REGISTRO ABONOS'!$B$8:$BC$10041,54,0)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hidden="1" x14ac:dyDescent="0.2">
      <c r="B6221" s="31">
        <v>6212</v>
      </c>
      <c r="J6221">
        <f t="shared" si="102"/>
        <v>105000</v>
      </c>
      <c r="K6221" t="e">
        <f>VLOOKUP(B6221,'REGISTRO ABONOS'!$B$8:$BC$10041,54,0)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hidden="1" x14ac:dyDescent="0.2">
      <c r="B6222" s="31">
        <v>6213</v>
      </c>
      <c r="J6222">
        <f t="shared" si="102"/>
        <v>105000</v>
      </c>
      <c r="K6222" t="e">
        <f>VLOOKUP(B6222,'REGISTRO ABONOS'!$B$8:$BC$10041,54,0)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hidden="1" x14ac:dyDescent="0.2">
      <c r="B6223" s="31">
        <v>6214</v>
      </c>
      <c r="J6223">
        <f t="shared" si="102"/>
        <v>105000</v>
      </c>
      <c r="K6223" t="e">
        <f>VLOOKUP(B6223,'REGISTRO ABONOS'!$B$8:$BC$10041,54,0)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hidden="1" x14ac:dyDescent="0.2">
      <c r="B6224" s="31">
        <v>6215</v>
      </c>
      <c r="J6224">
        <f t="shared" si="102"/>
        <v>105000</v>
      </c>
      <c r="K6224" t="e">
        <f>VLOOKUP(B6224,'REGISTRO ABONOS'!$B$8:$BC$10041,54,0)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hidden="1" x14ac:dyDescent="0.2">
      <c r="B6225" s="31">
        <v>6216</v>
      </c>
      <c r="J6225">
        <f t="shared" si="102"/>
        <v>105000</v>
      </c>
      <c r="K6225" t="e">
        <f>VLOOKUP(B6225,'REGISTRO ABONOS'!$B$8:$BC$10041,54,0)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hidden="1" x14ac:dyDescent="0.2">
      <c r="B6226" s="31">
        <v>6217</v>
      </c>
      <c r="J6226">
        <f t="shared" si="102"/>
        <v>105000</v>
      </c>
      <c r="K6226" t="e">
        <f>VLOOKUP(B6226,'REGISTRO ABONOS'!$B$8:$BC$10041,54,0)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hidden="1" x14ac:dyDescent="0.2">
      <c r="B6227" s="31">
        <v>6218</v>
      </c>
      <c r="J6227">
        <f t="shared" si="102"/>
        <v>105000</v>
      </c>
      <c r="K6227" t="e">
        <f>VLOOKUP(B6227,'REGISTRO ABONOS'!$B$8:$BC$10041,54,0)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hidden="1" x14ac:dyDescent="0.2">
      <c r="B6228" s="31">
        <v>6219</v>
      </c>
      <c r="J6228">
        <f t="shared" si="102"/>
        <v>105000</v>
      </c>
      <c r="K6228" t="e">
        <f>VLOOKUP(B6228,'REGISTRO ABONOS'!$B$8:$BC$10041,54,0)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hidden="1" x14ac:dyDescent="0.2">
      <c r="B6229" s="31">
        <v>6220</v>
      </c>
      <c r="J6229">
        <f t="shared" si="102"/>
        <v>105000</v>
      </c>
      <c r="K6229" t="e">
        <f>VLOOKUP(B6229,'REGISTRO ABONOS'!$B$8:$BC$10041,54,0)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hidden="1" x14ac:dyDescent="0.2">
      <c r="B6230" s="31">
        <v>6221</v>
      </c>
      <c r="J6230">
        <f t="shared" si="102"/>
        <v>105000</v>
      </c>
      <c r="K6230" t="e">
        <f>VLOOKUP(B6230,'REGISTRO ABONOS'!$B$8:$BC$10041,54,0)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hidden="1" x14ac:dyDescent="0.2">
      <c r="B6231" s="31">
        <v>6222</v>
      </c>
      <c r="J6231">
        <f t="shared" si="102"/>
        <v>105000</v>
      </c>
      <c r="K6231" t="e">
        <f>VLOOKUP(B6231,'REGISTRO ABONOS'!$B$8:$BC$10041,54,0)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hidden="1" x14ac:dyDescent="0.2">
      <c r="B6232" s="31">
        <v>6223</v>
      </c>
      <c r="J6232">
        <f t="shared" si="102"/>
        <v>105000</v>
      </c>
      <c r="K6232" t="e">
        <f>VLOOKUP(B6232,'REGISTRO ABONOS'!$B$8:$BC$10041,54,0)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hidden="1" x14ac:dyDescent="0.2">
      <c r="B6233" s="31">
        <v>6224</v>
      </c>
      <c r="J6233">
        <f t="shared" si="102"/>
        <v>105000</v>
      </c>
      <c r="K6233" t="e">
        <f>VLOOKUP(B6233,'REGISTRO ABONOS'!$B$8:$BC$10041,54,0)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hidden="1" x14ac:dyDescent="0.2">
      <c r="B6234" s="31">
        <v>6225</v>
      </c>
      <c r="J6234">
        <f t="shared" si="102"/>
        <v>105000</v>
      </c>
      <c r="K6234" t="e">
        <f>VLOOKUP(B6234,'REGISTRO ABONOS'!$B$8:$BC$10041,54,0)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hidden="1" x14ac:dyDescent="0.2">
      <c r="B6235" s="31">
        <v>6226</v>
      </c>
      <c r="J6235">
        <f t="shared" si="102"/>
        <v>105000</v>
      </c>
      <c r="K6235" t="e">
        <f>VLOOKUP(B6235,'REGISTRO ABONOS'!$B$8:$BC$10041,54,0)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hidden="1" x14ac:dyDescent="0.2">
      <c r="B6236" s="31">
        <v>6227</v>
      </c>
      <c r="J6236">
        <f t="shared" si="102"/>
        <v>105000</v>
      </c>
      <c r="K6236" t="e">
        <f>VLOOKUP(B6236,'REGISTRO ABONOS'!$B$8:$BC$10041,54,0)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hidden="1" x14ac:dyDescent="0.2">
      <c r="B6237" s="31">
        <v>6228</v>
      </c>
      <c r="J6237">
        <f t="shared" si="102"/>
        <v>105000</v>
      </c>
      <c r="K6237" t="e">
        <f>VLOOKUP(B6237,'REGISTRO ABONOS'!$B$8:$BC$10041,54,0)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hidden="1" x14ac:dyDescent="0.2">
      <c r="B6238" s="31">
        <v>6229</v>
      </c>
      <c r="J6238">
        <f t="shared" si="102"/>
        <v>105000</v>
      </c>
      <c r="K6238" t="e">
        <f>VLOOKUP(B6238,'REGISTRO ABONOS'!$B$8:$BC$10041,54,0)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hidden="1" x14ac:dyDescent="0.2">
      <c r="B6239" s="31">
        <v>6230</v>
      </c>
      <c r="J6239">
        <f t="shared" si="102"/>
        <v>105000</v>
      </c>
      <c r="K6239" t="e">
        <f>VLOOKUP(B6239,'REGISTRO ABONOS'!$B$8:$BC$10041,54,0)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hidden="1" x14ac:dyDescent="0.2">
      <c r="B6240" s="31">
        <v>6231</v>
      </c>
      <c r="J6240">
        <f t="shared" si="102"/>
        <v>105000</v>
      </c>
      <c r="K6240" t="e">
        <f>VLOOKUP(B6240,'REGISTRO ABONOS'!$B$8:$BC$10041,54,0)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hidden="1" x14ac:dyDescent="0.2">
      <c r="B6241" s="31">
        <v>6232</v>
      </c>
      <c r="J6241">
        <f t="shared" si="102"/>
        <v>105000</v>
      </c>
      <c r="K6241" t="e">
        <f>VLOOKUP(B6241,'REGISTRO ABONOS'!$B$8:$BC$10041,54,0)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hidden="1" x14ac:dyDescent="0.2">
      <c r="B6242" s="31">
        <v>6233</v>
      </c>
      <c r="J6242">
        <f t="shared" si="102"/>
        <v>105000</v>
      </c>
      <c r="K6242" t="e">
        <f>VLOOKUP(B6242,'REGISTRO ABONOS'!$B$8:$BC$10041,54,0)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hidden="1" x14ac:dyDescent="0.2">
      <c r="B6243" s="31">
        <v>6234</v>
      </c>
      <c r="J6243">
        <f t="shared" si="102"/>
        <v>105000</v>
      </c>
      <c r="K6243" t="e">
        <f>VLOOKUP(B6243,'REGISTRO ABONOS'!$B$8:$BC$10041,54,0)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hidden="1" x14ac:dyDescent="0.2">
      <c r="B6244" s="31">
        <v>6235</v>
      </c>
      <c r="J6244">
        <f t="shared" si="102"/>
        <v>105000</v>
      </c>
      <c r="K6244" t="e">
        <f>VLOOKUP(B6244,'REGISTRO ABONOS'!$B$8:$BC$10041,54,0)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hidden="1" x14ac:dyDescent="0.2">
      <c r="B6245" s="31">
        <v>6236</v>
      </c>
      <c r="J6245">
        <f t="shared" si="102"/>
        <v>105000</v>
      </c>
      <c r="K6245" t="e">
        <f>VLOOKUP(B6245,'REGISTRO ABONOS'!$B$8:$BC$10041,54,0)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hidden="1" x14ac:dyDescent="0.2">
      <c r="B6246" s="31">
        <v>6237</v>
      </c>
      <c r="J6246">
        <f t="shared" si="102"/>
        <v>105000</v>
      </c>
      <c r="K6246" t="e">
        <f>VLOOKUP(B6246,'REGISTRO ABONOS'!$B$8:$BC$10041,54,0)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hidden="1" x14ac:dyDescent="0.2">
      <c r="B6247" s="31">
        <v>6238</v>
      </c>
      <c r="J6247">
        <f t="shared" si="102"/>
        <v>105000</v>
      </c>
      <c r="K6247" t="e">
        <f>VLOOKUP(B6247,'REGISTRO ABONOS'!$B$8:$BC$10041,54,0)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hidden="1" x14ac:dyDescent="0.2">
      <c r="B6248" s="31">
        <v>6239</v>
      </c>
      <c r="J6248">
        <f t="shared" si="102"/>
        <v>105000</v>
      </c>
      <c r="K6248" t="e">
        <f>VLOOKUP(B6248,'REGISTRO ABONOS'!$B$8:$BC$10041,54,0)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hidden="1" x14ac:dyDescent="0.2">
      <c r="B6249" s="31">
        <v>6240</v>
      </c>
      <c r="J6249">
        <f t="shared" si="102"/>
        <v>105000</v>
      </c>
      <c r="K6249" t="e">
        <f>VLOOKUP(B6249,'REGISTRO ABONOS'!$B$8:$BC$10041,54,0)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hidden="1" x14ac:dyDescent="0.2">
      <c r="B6250" s="31">
        <v>6241</v>
      </c>
      <c r="J6250">
        <f t="shared" si="102"/>
        <v>105000</v>
      </c>
      <c r="K6250" t="e">
        <f>VLOOKUP(B6250,'REGISTRO ABONOS'!$B$8:$BC$10041,54,0)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hidden="1" x14ac:dyDescent="0.2">
      <c r="B6251" s="31">
        <v>6242</v>
      </c>
      <c r="J6251">
        <f t="shared" si="102"/>
        <v>105000</v>
      </c>
      <c r="K6251" t="e">
        <f>VLOOKUP(B6251,'REGISTRO ABONOS'!$B$8:$BC$10041,54,0)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hidden="1" x14ac:dyDescent="0.2">
      <c r="B6252" s="31">
        <v>6243</v>
      </c>
      <c r="J6252">
        <f t="shared" si="102"/>
        <v>105000</v>
      </c>
      <c r="K6252" t="e">
        <f>VLOOKUP(B6252,'REGISTRO ABONOS'!$B$8:$BC$10041,54,0)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hidden="1" x14ac:dyDescent="0.2">
      <c r="B6253" s="31">
        <v>6244</v>
      </c>
      <c r="J6253">
        <f t="shared" si="102"/>
        <v>105000</v>
      </c>
      <c r="K6253" t="e">
        <f>VLOOKUP(B6253,'REGISTRO ABONOS'!$B$8:$BC$10041,54,0)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hidden="1" x14ac:dyDescent="0.2">
      <c r="B6254" s="31">
        <v>6245</v>
      </c>
      <c r="J6254">
        <f t="shared" si="102"/>
        <v>105000</v>
      </c>
      <c r="K6254" t="e">
        <f>VLOOKUP(B6254,'REGISTRO ABONOS'!$B$8:$BC$10041,54,0)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hidden="1" x14ac:dyDescent="0.2">
      <c r="B6255" s="31">
        <v>6246</v>
      </c>
      <c r="J6255">
        <f t="shared" si="102"/>
        <v>105000</v>
      </c>
      <c r="K6255" t="e">
        <f>VLOOKUP(B6255,'REGISTRO ABONOS'!$B$8:$BC$10041,54,0)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hidden="1" x14ac:dyDescent="0.2">
      <c r="B6256" s="31">
        <v>6247</v>
      </c>
      <c r="J6256">
        <f t="shared" si="102"/>
        <v>105000</v>
      </c>
      <c r="K6256" t="e">
        <f>VLOOKUP(B6256,'REGISTRO ABONOS'!$B$8:$BC$10041,54,0)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hidden="1" x14ac:dyDescent="0.2">
      <c r="B6257" s="31">
        <v>6248</v>
      </c>
      <c r="J6257">
        <f t="shared" si="102"/>
        <v>105000</v>
      </c>
      <c r="K6257" t="e">
        <f>VLOOKUP(B6257,'REGISTRO ABONOS'!$B$8:$BC$10041,54,0)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2"/>
        <v>105000</v>
      </c>
      <c r="K6258" t="e">
        <f>VLOOKUP(B6258,'REGISTRO ABONOS'!$B$8:$BC$10041,54,0)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hidden="1" x14ac:dyDescent="0.2">
      <c r="B6259" s="31">
        <v>6250</v>
      </c>
      <c r="J6259">
        <f t="shared" si="102"/>
        <v>105000</v>
      </c>
      <c r="K6259" t="e">
        <f>VLOOKUP(B6259,'REGISTRO ABONOS'!$B$8:$BC$10041,54,0)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hidden="1" x14ac:dyDescent="0.2">
      <c r="B6260" s="31">
        <v>6251</v>
      </c>
      <c r="J6260">
        <f t="shared" si="102"/>
        <v>105000</v>
      </c>
      <c r="K6260" t="e">
        <f>VLOOKUP(B6260,'REGISTRO ABONOS'!$B$8:$BC$10041,54,0)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hidden="1" x14ac:dyDescent="0.2">
      <c r="B6261" s="31">
        <v>6252</v>
      </c>
      <c r="J6261">
        <f t="shared" si="102"/>
        <v>105000</v>
      </c>
      <c r="K6261" t="e">
        <f>VLOOKUP(B6261,'REGISTRO ABONOS'!$B$8:$BC$10041,54,0)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hidden="1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ABONOS'!$B$8:$BC$10041,54,0)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hidden="1" x14ac:dyDescent="0.2">
      <c r="B6263" s="31">
        <v>6254</v>
      </c>
      <c r="J6263">
        <f t="shared" si="103"/>
        <v>105000</v>
      </c>
      <c r="K6263" t="e">
        <f>VLOOKUP(B6263,'REGISTRO ABONOS'!$B$8:$BC$10041,54,0)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hidden="1" x14ac:dyDescent="0.2">
      <c r="B6264" s="31">
        <v>6255</v>
      </c>
      <c r="J6264">
        <f t="shared" si="103"/>
        <v>105000</v>
      </c>
      <c r="K6264" t="e">
        <f>VLOOKUP(B6264,'REGISTRO ABONOS'!$B$8:$BC$10041,54,0)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hidden="1" x14ac:dyDescent="0.2">
      <c r="B6265" s="31">
        <v>6256</v>
      </c>
      <c r="J6265">
        <f t="shared" si="103"/>
        <v>105000</v>
      </c>
      <c r="K6265" t="e">
        <f>VLOOKUP(B6265,'REGISTRO ABONOS'!$B$8:$BC$10041,54,0)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hidden="1" x14ac:dyDescent="0.2">
      <c r="B6266" s="31">
        <v>6257</v>
      </c>
      <c r="J6266">
        <f t="shared" si="103"/>
        <v>105000</v>
      </c>
      <c r="K6266" t="e">
        <f>VLOOKUP(B6266,'REGISTRO ABONOS'!$B$8:$BC$10041,54,0)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hidden="1" x14ac:dyDescent="0.2">
      <c r="B6267" s="31">
        <v>6258</v>
      </c>
      <c r="J6267">
        <f t="shared" si="103"/>
        <v>105000</v>
      </c>
      <c r="K6267" t="e">
        <f>VLOOKUP(B6267,'REGISTRO ABONOS'!$B$8:$BC$10041,54,0)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hidden="1" x14ac:dyDescent="0.2">
      <c r="B6268" s="31">
        <v>6259</v>
      </c>
      <c r="J6268">
        <f t="shared" si="103"/>
        <v>105000</v>
      </c>
      <c r="K6268" t="e">
        <f>VLOOKUP(B6268,'REGISTRO ABONOS'!$B$8:$BC$10041,54,0)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hidden="1" x14ac:dyDescent="0.2">
      <c r="B6269" s="31">
        <v>6260</v>
      </c>
      <c r="J6269">
        <f t="shared" si="103"/>
        <v>105000</v>
      </c>
      <c r="K6269" t="e">
        <f>VLOOKUP(B6269,'REGISTRO ABONOS'!$B$8:$BC$10041,54,0)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hidden="1" x14ac:dyDescent="0.2">
      <c r="B6270" s="31">
        <v>6261</v>
      </c>
      <c r="J6270">
        <f t="shared" si="103"/>
        <v>105000</v>
      </c>
      <c r="K6270" t="e">
        <f>VLOOKUP(B6270,'REGISTRO ABONOS'!$B$8:$BC$10041,54,0)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3"/>
        <v>105000</v>
      </c>
      <c r="K6271" t="e">
        <f>VLOOKUP(B6271,'REGISTRO ABONOS'!$B$8:$BC$10041,54,0)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hidden="1" x14ac:dyDescent="0.2">
      <c r="B6272" s="31">
        <v>6263</v>
      </c>
      <c r="J6272">
        <f t="shared" si="103"/>
        <v>105000</v>
      </c>
      <c r="K6272" t="e">
        <f>VLOOKUP(B6272,'REGISTRO ABONOS'!$B$8:$BC$10041,54,0)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hidden="1" x14ac:dyDescent="0.2">
      <c r="B6273" s="31">
        <v>6264</v>
      </c>
      <c r="J6273">
        <f t="shared" si="103"/>
        <v>105000</v>
      </c>
      <c r="K6273" t="e">
        <f>VLOOKUP(B6273,'REGISTRO ABONOS'!$B$8:$BC$10041,54,0)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hidden="1" x14ac:dyDescent="0.2">
      <c r="B6274" s="31">
        <v>6265</v>
      </c>
      <c r="J6274">
        <f t="shared" si="103"/>
        <v>105000</v>
      </c>
      <c r="K6274" t="e">
        <f>VLOOKUP(B6274,'REGISTRO ABONOS'!$B$8:$BC$10041,54,0)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hidden="1" x14ac:dyDescent="0.2">
      <c r="B6275" s="31">
        <v>6266</v>
      </c>
      <c r="J6275">
        <f t="shared" si="103"/>
        <v>105000</v>
      </c>
      <c r="K6275" t="e">
        <f>VLOOKUP(B6275,'REGISTRO ABONOS'!$B$8:$BC$10041,54,0)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hidden="1" x14ac:dyDescent="0.2">
      <c r="B6276" s="31">
        <v>6267</v>
      </c>
      <c r="J6276">
        <f t="shared" si="103"/>
        <v>105000</v>
      </c>
      <c r="K6276" t="e">
        <f>VLOOKUP(B6276,'REGISTRO ABONOS'!$B$8:$BC$10041,54,0)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hidden="1" x14ac:dyDescent="0.2">
      <c r="B6277" s="31">
        <v>6268</v>
      </c>
      <c r="J6277">
        <f t="shared" si="103"/>
        <v>105000</v>
      </c>
      <c r="K6277" t="e">
        <f>VLOOKUP(B6277,'REGISTRO ABONOS'!$B$8:$BC$10041,54,0)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hidden="1" x14ac:dyDescent="0.2">
      <c r="B6278" s="31">
        <v>6269</v>
      </c>
      <c r="J6278">
        <f t="shared" si="103"/>
        <v>105000</v>
      </c>
      <c r="K6278" t="e">
        <f>VLOOKUP(B6278,'REGISTRO ABONOS'!$B$8:$BC$10041,54,0)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hidden="1" x14ac:dyDescent="0.2">
      <c r="B6279" s="31">
        <v>6270</v>
      </c>
      <c r="J6279">
        <f t="shared" si="103"/>
        <v>105000</v>
      </c>
      <c r="K6279" t="e">
        <f>VLOOKUP(B6279,'REGISTRO ABONOS'!$B$8:$BC$10041,54,0)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hidden="1" x14ac:dyDescent="0.2">
      <c r="B6280" s="31">
        <v>6271</v>
      </c>
      <c r="J6280">
        <f t="shared" si="103"/>
        <v>105000</v>
      </c>
      <c r="K6280" t="e">
        <f>VLOOKUP(B6280,'REGISTRO ABONOS'!$B$8:$BC$10041,54,0)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hidden="1" x14ac:dyDescent="0.2">
      <c r="B6281" s="31">
        <v>6272</v>
      </c>
      <c r="J6281">
        <f t="shared" si="103"/>
        <v>105000</v>
      </c>
      <c r="K6281" t="e">
        <f>VLOOKUP(B6281,'REGISTRO ABONOS'!$B$8:$BC$10041,54,0)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hidden="1" x14ac:dyDescent="0.2">
      <c r="B6282" s="31">
        <v>6273</v>
      </c>
      <c r="J6282">
        <f t="shared" si="103"/>
        <v>105000</v>
      </c>
      <c r="K6282" t="e">
        <f>VLOOKUP(B6282,'REGISTRO ABONOS'!$B$8:$BC$10041,54,0)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3"/>
        <v>105000</v>
      </c>
      <c r="K6283" t="e">
        <f>VLOOKUP(B6283,'REGISTRO ABONOS'!$B$8:$BC$10041,54,0)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hidden="1" x14ac:dyDescent="0.2">
      <c r="B6284" s="31">
        <v>6275</v>
      </c>
      <c r="J6284">
        <f t="shared" si="103"/>
        <v>105000</v>
      </c>
      <c r="K6284" t="e">
        <f>VLOOKUP(B6284,'REGISTRO ABONOS'!$B$8:$BC$10041,54,0)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hidden="1" x14ac:dyDescent="0.2">
      <c r="B6285" s="31">
        <v>6276</v>
      </c>
      <c r="J6285">
        <f t="shared" si="103"/>
        <v>105000</v>
      </c>
      <c r="K6285" t="e">
        <f>VLOOKUP(B6285,'REGISTRO ABONOS'!$B$8:$BC$10041,54,0)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hidden="1" x14ac:dyDescent="0.2">
      <c r="B6286" s="31">
        <v>6277</v>
      </c>
      <c r="J6286">
        <f t="shared" si="103"/>
        <v>105000</v>
      </c>
      <c r="K6286" t="e">
        <f>VLOOKUP(B6286,'REGISTRO ABONOS'!$B$8:$BC$10041,54,0)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hidden="1" x14ac:dyDescent="0.2">
      <c r="B6287" s="31">
        <v>6278</v>
      </c>
      <c r="J6287">
        <f t="shared" si="103"/>
        <v>105000</v>
      </c>
      <c r="K6287" t="e">
        <f>VLOOKUP(B6287,'REGISTRO ABONOS'!$B$8:$BC$10041,54,0)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hidden="1" x14ac:dyDescent="0.2">
      <c r="B6288" s="31">
        <v>6279</v>
      </c>
      <c r="J6288">
        <f t="shared" si="103"/>
        <v>105000</v>
      </c>
      <c r="K6288" t="e">
        <f>VLOOKUP(B6288,'REGISTRO ABONOS'!$B$8:$BC$10041,54,0)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hidden="1" x14ac:dyDescent="0.2">
      <c r="B6289" s="31">
        <v>6280</v>
      </c>
      <c r="J6289">
        <f t="shared" si="103"/>
        <v>105000</v>
      </c>
      <c r="K6289" t="e">
        <f>VLOOKUP(B6289,'REGISTRO ABONOS'!$B$8:$BC$10041,54,0)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hidden="1" x14ac:dyDescent="0.2">
      <c r="B6290" s="31">
        <v>6281</v>
      </c>
      <c r="J6290">
        <f t="shared" si="103"/>
        <v>105000</v>
      </c>
      <c r="K6290" t="e">
        <f>VLOOKUP(B6290,'REGISTRO ABONOS'!$B$8:$BC$10041,54,0)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hidden="1" x14ac:dyDescent="0.2">
      <c r="B6291" s="31">
        <v>6282</v>
      </c>
      <c r="J6291">
        <f t="shared" si="103"/>
        <v>105000</v>
      </c>
      <c r="K6291" t="e">
        <f>VLOOKUP(B6291,'REGISTRO ABONOS'!$B$8:$BC$10041,54,0)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hidden="1" x14ac:dyDescent="0.2">
      <c r="B6292" s="31">
        <v>6283</v>
      </c>
      <c r="J6292">
        <f t="shared" si="103"/>
        <v>105000</v>
      </c>
      <c r="K6292" t="e">
        <f>VLOOKUP(B6292,'REGISTRO ABONOS'!$B$8:$BC$10041,54,0)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hidden="1" x14ac:dyDescent="0.2">
      <c r="B6293" s="31">
        <v>6284</v>
      </c>
      <c r="J6293">
        <f t="shared" si="103"/>
        <v>105000</v>
      </c>
      <c r="K6293" t="e">
        <f>VLOOKUP(B6293,'REGISTRO ABONOS'!$B$8:$BC$10041,54,0)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hidden="1" x14ac:dyDescent="0.2">
      <c r="B6294" s="31">
        <v>6285</v>
      </c>
      <c r="J6294">
        <f t="shared" si="103"/>
        <v>105000</v>
      </c>
      <c r="K6294" t="e">
        <f>VLOOKUP(B6294,'REGISTRO ABONOS'!$B$8:$BC$10041,54,0)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hidden="1" x14ac:dyDescent="0.2">
      <c r="B6295" s="31">
        <v>6286</v>
      </c>
      <c r="J6295">
        <f t="shared" si="103"/>
        <v>105000</v>
      </c>
      <c r="K6295" t="e">
        <f>VLOOKUP(B6295,'REGISTRO ABONOS'!$B$8:$BC$10041,54,0)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hidden="1" x14ac:dyDescent="0.2">
      <c r="B6296" s="31">
        <v>6287</v>
      </c>
      <c r="J6296">
        <f t="shared" si="103"/>
        <v>105000</v>
      </c>
      <c r="K6296" t="e">
        <f>VLOOKUP(B6296,'REGISTRO ABONOS'!$B$8:$BC$10041,54,0)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hidden="1" x14ac:dyDescent="0.2">
      <c r="B6297" s="31">
        <v>6288</v>
      </c>
      <c r="J6297">
        <f t="shared" si="103"/>
        <v>105000</v>
      </c>
      <c r="K6297" t="e">
        <f>VLOOKUP(B6297,'REGISTRO ABONOS'!$B$8:$BC$10041,54,0)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hidden="1" x14ac:dyDescent="0.2">
      <c r="B6298" s="31">
        <v>6289</v>
      </c>
      <c r="J6298">
        <f t="shared" si="103"/>
        <v>105000</v>
      </c>
      <c r="K6298" t="e">
        <f>VLOOKUP(B6298,'REGISTRO ABONOS'!$B$8:$BC$10041,54,0)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hidden="1" x14ac:dyDescent="0.2">
      <c r="B6299" s="31">
        <v>6290</v>
      </c>
      <c r="J6299">
        <f t="shared" si="103"/>
        <v>105000</v>
      </c>
      <c r="K6299" t="e">
        <f>VLOOKUP(B6299,'REGISTRO ABONOS'!$B$8:$BC$10041,54,0)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hidden="1" x14ac:dyDescent="0.2">
      <c r="B6300" s="31">
        <v>6291</v>
      </c>
      <c r="J6300">
        <f t="shared" si="103"/>
        <v>105000</v>
      </c>
      <c r="K6300" t="e">
        <f>VLOOKUP(B6300,'REGISTRO ABONOS'!$B$8:$BC$10041,54,0)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hidden="1" x14ac:dyDescent="0.2">
      <c r="B6301" s="31">
        <v>6292</v>
      </c>
      <c r="J6301">
        <f t="shared" si="103"/>
        <v>105000</v>
      </c>
      <c r="K6301" t="e">
        <f>VLOOKUP(B6301,'REGISTRO ABONOS'!$B$8:$BC$10041,54,0)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hidden="1" x14ac:dyDescent="0.2">
      <c r="B6302" s="31">
        <v>6293</v>
      </c>
      <c r="J6302">
        <f t="shared" si="103"/>
        <v>105000</v>
      </c>
      <c r="K6302" t="e">
        <f>VLOOKUP(B6302,'REGISTRO ABONOS'!$B$8:$BC$10041,54,0)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hidden="1" x14ac:dyDescent="0.2">
      <c r="B6303" s="31">
        <v>6294</v>
      </c>
      <c r="J6303">
        <f t="shared" si="103"/>
        <v>105000</v>
      </c>
      <c r="K6303" t="e">
        <f>VLOOKUP(B6303,'REGISTRO ABONOS'!$B$8:$BC$10041,54,0)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hidden="1" x14ac:dyDescent="0.2">
      <c r="B6304" s="31">
        <v>6295</v>
      </c>
      <c r="J6304">
        <f t="shared" si="103"/>
        <v>105000</v>
      </c>
      <c r="K6304" t="e">
        <f>VLOOKUP(B6304,'REGISTRO ABONOS'!$B$8:$BC$10041,54,0)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hidden="1" x14ac:dyDescent="0.2">
      <c r="B6305" s="31">
        <v>6296</v>
      </c>
      <c r="J6305">
        <f t="shared" si="103"/>
        <v>105000</v>
      </c>
      <c r="K6305" t="e">
        <f>VLOOKUP(B6305,'REGISTRO ABONOS'!$B$8:$BC$10041,54,0)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hidden="1" x14ac:dyDescent="0.2">
      <c r="B6306" s="31">
        <v>6297</v>
      </c>
      <c r="J6306">
        <f t="shared" si="103"/>
        <v>105000</v>
      </c>
      <c r="K6306" t="e">
        <f>VLOOKUP(B6306,'REGISTRO ABONOS'!$B$8:$BC$10041,54,0)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hidden="1" x14ac:dyDescent="0.2">
      <c r="B6307" s="31">
        <v>6298</v>
      </c>
      <c r="J6307">
        <f t="shared" si="103"/>
        <v>105000</v>
      </c>
      <c r="K6307" t="e">
        <f>VLOOKUP(B6307,'REGISTRO ABONOS'!$B$8:$BC$10041,54,0)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hidden="1" x14ac:dyDescent="0.2">
      <c r="B6308" s="31">
        <v>6299</v>
      </c>
      <c r="J6308">
        <f t="shared" si="103"/>
        <v>105000</v>
      </c>
      <c r="K6308" t="e">
        <f>VLOOKUP(B6308,'REGISTRO ABONOS'!$B$8:$BC$10041,54,0)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hidden="1" x14ac:dyDescent="0.2">
      <c r="B6309" s="31">
        <v>6300</v>
      </c>
      <c r="J6309">
        <f t="shared" si="103"/>
        <v>105000</v>
      </c>
      <c r="K6309" t="e">
        <f>VLOOKUP(B6309,'REGISTRO ABONOS'!$B$8:$BC$10041,54,0)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hidden="1" x14ac:dyDescent="0.2">
      <c r="B6310" s="31">
        <v>6301</v>
      </c>
      <c r="J6310">
        <f t="shared" si="103"/>
        <v>105000</v>
      </c>
      <c r="K6310" t="e">
        <f>VLOOKUP(B6310,'REGISTRO ABONOS'!$B$8:$BC$10041,54,0)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hidden="1" x14ac:dyDescent="0.2">
      <c r="B6311" s="31">
        <v>6302</v>
      </c>
      <c r="J6311">
        <f t="shared" si="103"/>
        <v>105000</v>
      </c>
      <c r="K6311" t="e">
        <f>VLOOKUP(B6311,'REGISTRO ABONOS'!$B$8:$BC$10041,54,0)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hidden="1" x14ac:dyDescent="0.2">
      <c r="B6312" s="31">
        <v>6303</v>
      </c>
      <c r="J6312">
        <f t="shared" si="103"/>
        <v>105000</v>
      </c>
      <c r="K6312" t="e">
        <f>VLOOKUP(B6312,'REGISTRO ABONOS'!$B$8:$BC$10041,54,0)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hidden="1" x14ac:dyDescent="0.2">
      <c r="B6313" s="31">
        <v>6304</v>
      </c>
      <c r="J6313">
        <f t="shared" si="103"/>
        <v>105000</v>
      </c>
      <c r="K6313" t="e">
        <f>VLOOKUP(B6313,'REGISTRO ABONOS'!$B$8:$BC$10041,54,0)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hidden="1" x14ac:dyDescent="0.2">
      <c r="B6314" s="31">
        <v>6305</v>
      </c>
      <c r="J6314">
        <f t="shared" si="103"/>
        <v>105000</v>
      </c>
      <c r="K6314" t="e">
        <f>VLOOKUP(B6314,'REGISTRO ABONOS'!$B$8:$BC$10041,54,0)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hidden="1" x14ac:dyDescent="0.2">
      <c r="B6315" s="31">
        <v>6306</v>
      </c>
      <c r="J6315">
        <f t="shared" si="103"/>
        <v>105000</v>
      </c>
      <c r="K6315" t="e">
        <f>VLOOKUP(B6315,'REGISTRO ABONOS'!$B$8:$BC$10041,54,0)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hidden="1" x14ac:dyDescent="0.2">
      <c r="B6316" s="31">
        <v>6307</v>
      </c>
      <c r="J6316">
        <f t="shared" si="103"/>
        <v>105000</v>
      </c>
      <c r="K6316" t="e">
        <f>VLOOKUP(B6316,'REGISTRO ABONOS'!$B$8:$BC$10041,54,0)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hidden="1" x14ac:dyDescent="0.2">
      <c r="B6317" s="31">
        <v>6308</v>
      </c>
      <c r="J6317">
        <f t="shared" si="103"/>
        <v>105000</v>
      </c>
      <c r="K6317" t="e">
        <f>VLOOKUP(B6317,'REGISTRO ABONOS'!$B$8:$BC$10041,54,0)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hidden="1" x14ac:dyDescent="0.2">
      <c r="B6318" s="31">
        <v>6309</v>
      </c>
      <c r="J6318">
        <f t="shared" si="103"/>
        <v>105000</v>
      </c>
      <c r="K6318" t="e">
        <f>VLOOKUP(B6318,'REGISTRO ABONOS'!$B$8:$BC$10041,54,0)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hidden="1" x14ac:dyDescent="0.2">
      <c r="B6319" s="31">
        <v>6310</v>
      </c>
      <c r="J6319">
        <f t="shared" si="103"/>
        <v>105000</v>
      </c>
      <c r="K6319" t="e">
        <f>VLOOKUP(B6319,'REGISTRO ABONOS'!$B$8:$BC$10041,54,0)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hidden="1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ABONOS'!$B$8:$BC$10041,54,0)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hidden="1" x14ac:dyDescent="0.2">
      <c r="B6321" s="31">
        <v>6312</v>
      </c>
      <c r="J6321">
        <f t="shared" si="104"/>
        <v>105000</v>
      </c>
      <c r="K6321" t="e">
        <f>VLOOKUP(B6321,'REGISTRO ABONOS'!$B$8:$BC$10041,54,0)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hidden="1" x14ac:dyDescent="0.2">
      <c r="B6322" s="31">
        <v>6313</v>
      </c>
      <c r="J6322">
        <f t="shared" si="104"/>
        <v>105000</v>
      </c>
      <c r="K6322" t="e">
        <f>VLOOKUP(B6322,'REGISTRO ABONOS'!$B$8:$BC$10041,54,0)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hidden="1" x14ac:dyDescent="0.2">
      <c r="B6323" s="31">
        <v>6314</v>
      </c>
      <c r="J6323">
        <f t="shared" si="104"/>
        <v>105000</v>
      </c>
      <c r="K6323" t="e">
        <f>VLOOKUP(B6323,'REGISTRO ABONOS'!$B$8:$BC$10041,54,0)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hidden="1" x14ac:dyDescent="0.2">
      <c r="B6324" s="31">
        <v>6315</v>
      </c>
      <c r="J6324">
        <f t="shared" si="104"/>
        <v>105000</v>
      </c>
      <c r="K6324" t="e">
        <f>VLOOKUP(B6324,'REGISTRO ABONOS'!$B$8:$BC$10041,54,0)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hidden="1" x14ac:dyDescent="0.2">
      <c r="B6325" s="31">
        <v>6316</v>
      </c>
      <c r="J6325">
        <f t="shared" si="104"/>
        <v>105000</v>
      </c>
      <c r="K6325" t="e">
        <f>VLOOKUP(B6325,'REGISTRO ABONOS'!$B$8:$BC$10041,54,0)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hidden="1" x14ac:dyDescent="0.2">
      <c r="B6326" s="31">
        <v>6317</v>
      </c>
      <c r="J6326">
        <f t="shared" si="104"/>
        <v>105000</v>
      </c>
      <c r="K6326" t="e">
        <f>VLOOKUP(B6326,'REGISTRO ABONOS'!$B$8:$BC$10041,54,0)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hidden="1" x14ac:dyDescent="0.2">
      <c r="B6327" s="31">
        <v>6318</v>
      </c>
      <c r="J6327">
        <f t="shared" si="104"/>
        <v>105000</v>
      </c>
      <c r="K6327" t="e">
        <f>VLOOKUP(B6327,'REGISTRO ABONOS'!$B$8:$BC$10041,54,0)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hidden="1" x14ac:dyDescent="0.2">
      <c r="B6328" s="31">
        <v>6319</v>
      </c>
      <c r="J6328">
        <f t="shared" si="104"/>
        <v>105000</v>
      </c>
      <c r="K6328" t="e">
        <f>VLOOKUP(B6328,'REGISTRO ABONOS'!$B$8:$BC$10041,54,0)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hidden="1" x14ac:dyDescent="0.2">
      <c r="B6329" s="31">
        <v>6320</v>
      </c>
      <c r="J6329">
        <f t="shared" si="104"/>
        <v>105000</v>
      </c>
      <c r="K6329" t="e">
        <f>VLOOKUP(B6329,'REGISTRO ABONOS'!$B$8:$BC$10041,54,0)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hidden="1" x14ac:dyDescent="0.2">
      <c r="B6330" s="31">
        <v>6321</v>
      </c>
      <c r="J6330">
        <f t="shared" si="104"/>
        <v>105000</v>
      </c>
      <c r="K6330" t="e">
        <f>VLOOKUP(B6330,'REGISTRO ABONOS'!$B$8:$BC$10041,54,0)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hidden="1" x14ac:dyDescent="0.2">
      <c r="B6331" s="31">
        <v>6322</v>
      </c>
      <c r="J6331">
        <f t="shared" si="104"/>
        <v>105000</v>
      </c>
      <c r="K6331" t="e">
        <f>VLOOKUP(B6331,'REGISTRO ABONOS'!$B$8:$BC$10041,54,0)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hidden="1" x14ac:dyDescent="0.2">
      <c r="B6332" s="31">
        <v>6323</v>
      </c>
      <c r="J6332">
        <f t="shared" si="104"/>
        <v>105000</v>
      </c>
      <c r="K6332" t="e">
        <f>VLOOKUP(B6332,'REGISTRO ABONOS'!$B$8:$BC$10041,54,0)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hidden="1" x14ac:dyDescent="0.2">
      <c r="B6333" s="31">
        <v>6324</v>
      </c>
      <c r="J6333">
        <f t="shared" si="104"/>
        <v>105000</v>
      </c>
      <c r="K6333" t="e">
        <f>VLOOKUP(B6333,'REGISTRO ABONOS'!$B$8:$BC$10041,54,0)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hidden="1" x14ac:dyDescent="0.2">
      <c r="B6334" s="31">
        <v>6325</v>
      </c>
      <c r="J6334">
        <f t="shared" si="104"/>
        <v>105000</v>
      </c>
      <c r="K6334" t="e">
        <f>VLOOKUP(B6334,'REGISTRO ABONOS'!$B$8:$BC$10041,54,0)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hidden="1" x14ac:dyDescent="0.2">
      <c r="B6335" s="31">
        <v>6326</v>
      </c>
      <c r="J6335">
        <f t="shared" si="104"/>
        <v>105000</v>
      </c>
      <c r="K6335" t="e">
        <f>VLOOKUP(B6335,'REGISTRO ABONOS'!$B$8:$BC$10041,54,0)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hidden="1" x14ac:dyDescent="0.2">
      <c r="B6336" s="31">
        <v>6327</v>
      </c>
      <c r="J6336">
        <f t="shared" si="104"/>
        <v>105000</v>
      </c>
      <c r="K6336" t="e">
        <f>VLOOKUP(B6336,'REGISTRO ABONOS'!$B$8:$BC$10041,54,0)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hidden="1" x14ac:dyDescent="0.2">
      <c r="B6337" s="31">
        <v>6328</v>
      </c>
      <c r="J6337">
        <f t="shared" si="104"/>
        <v>105000</v>
      </c>
      <c r="K6337" t="e">
        <f>VLOOKUP(B6337,'REGISTRO ABONOS'!$B$8:$BC$10041,54,0)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hidden="1" x14ac:dyDescent="0.2">
      <c r="B6338" s="31">
        <v>6329</v>
      </c>
      <c r="J6338">
        <f t="shared" si="104"/>
        <v>105000</v>
      </c>
      <c r="K6338" t="e">
        <f>VLOOKUP(B6338,'REGISTRO ABONOS'!$B$8:$BC$10041,54,0)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hidden="1" x14ac:dyDescent="0.2">
      <c r="B6339" s="31">
        <v>6330</v>
      </c>
      <c r="J6339">
        <f t="shared" si="104"/>
        <v>105000</v>
      </c>
      <c r="K6339" t="e">
        <f>VLOOKUP(B6339,'REGISTRO ABONOS'!$B$8:$BC$10041,54,0)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hidden="1" x14ac:dyDescent="0.2">
      <c r="B6340" s="31">
        <v>6331</v>
      </c>
      <c r="J6340">
        <f t="shared" si="104"/>
        <v>105000</v>
      </c>
      <c r="K6340" t="e">
        <f>VLOOKUP(B6340,'REGISTRO ABONOS'!$B$8:$BC$10041,54,0)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hidden="1" x14ac:dyDescent="0.2">
      <c r="B6341" s="31">
        <v>6332</v>
      </c>
      <c r="J6341">
        <f t="shared" si="104"/>
        <v>105000</v>
      </c>
      <c r="K6341" t="e">
        <f>VLOOKUP(B6341,'REGISTRO ABONOS'!$B$8:$BC$10041,54,0)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hidden="1" x14ac:dyDescent="0.2">
      <c r="B6342" s="31">
        <v>6333</v>
      </c>
      <c r="J6342">
        <f t="shared" si="104"/>
        <v>105000</v>
      </c>
      <c r="K6342" t="e">
        <f>VLOOKUP(B6342,'REGISTRO ABONOS'!$B$8:$BC$10041,54,0)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hidden="1" x14ac:dyDescent="0.2">
      <c r="B6343" s="31">
        <v>6334</v>
      </c>
      <c r="J6343">
        <f t="shared" si="104"/>
        <v>105000</v>
      </c>
      <c r="K6343" t="e">
        <f>VLOOKUP(B6343,'REGISTRO ABONOS'!$B$8:$BC$10041,54,0)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hidden="1" x14ac:dyDescent="0.2">
      <c r="B6344" s="31">
        <v>6335</v>
      </c>
      <c r="J6344">
        <f t="shared" si="104"/>
        <v>105000</v>
      </c>
      <c r="K6344" t="e">
        <f>VLOOKUP(B6344,'REGISTRO ABONOS'!$B$8:$BC$10041,54,0)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hidden="1" x14ac:dyDescent="0.2">
      <c r="B6345" s="31">
        <v>6336</v>
      </c>
      <c r="J6345">
        <f t="shared" si="104"/>
        <v>105000</v>
      </c>
      <c r="K6345" t="e">
        <f>VLOOKUP(B6345,'REGISTRO ABONOS'!$B$8:$BC$10041,54,0)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hidden="1" x14ac:dyDescent="0.2">
      <c r="B6346" s="31">
        <v>6337</v>
      </c>
      <c r="J6346">
        <f t="shared" si="104"/>
        <v>105000</v>
      </c>
      <c r="K6346" t="e">
        <f>VLOOKUP(B6346,'REGISTRO ABONOS'!$B$8:$BC$10041,54,0)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hidden="1" x14ac:dyDescent="0.2">
      <c r="B6347" s="31">
        <v>6338</v>
      </c>
      <c r="J6347">
        <f t="shared" si="104"/>
        <v>105000</v>
      </c>
      <c r="K6347" t="e">
        <f>VLOOKUP(B6347,'REGISTRO ABONOS'!$B$8:$BC$10041,54,0)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hidden="1" x14ac:dyDescent="0.2">
      <c r="B6348" s="31">
        <v>6339</v>
      </c>
      <c r="J6348">
        <f t="shared" si="104"/>
        <v>105000</v>
      </c>
      <c r="K6348" t="e">
        <f>VLOOKUP(B6348,'REGISTRO ABONOS'!$B$8:$BC$10041,54,0)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hidden="1" x14ac:dyDescent="0.2">
      <c r="B6349" s="31">
        <v>6340</v>
      </c>
      <c r="J6349">
        <f t="shared" si="104"/>
        <v>105000</v>
      </c>
      <c r="K6349" t="e">
        <f>VLOOKUP(B6349,'REGISTRO ABONOS'!$B$8:$BC$10041,54,0)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hidden="1" x14ac:dyDescent="0.2">
      <c r="B6350" s="31">
        <v>6341</v>
      </c>
      <c r="J6350">
        <f t="shared" si="104"/>
        <v>105000</v>
      </c>
      <c r="K6350" t="e">
        <f>VLOOKUP(B6350,'REGISTRO ABONOS'!$B$8:$BC$10041,54,0)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hidden="1" x14ac:dyDescent="0.2">
      <c r="B6351" s="31">
        <v>6342</v>
      </c>
      <c r="J6351">
        <f t="shared" si="104"/>
        <v>105000</v>
      </c>
      <c r="K6351" t="e">
        <f>VLOOKUP(B6351,'REGISTRO ABONOS'!$B$8:$BC$10041,54,0)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hidden="1" x14ac:dyDescent="0.2">
      <c r="B6352" s="31">
        <v>6343</v>
      </c>
      <c r="J6352">
        <f t="shared" si="104"/>
        <v>105000</v>
      </c>
      <c r="K6352" t="e">
        <f>VLOOKUP(B6352,'REGISTRO ABONOS'!$B$8:$BC$10041,54,0)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hidden="1" x14ac:dyDescent="0.2">
      <c r="B6353" s="31">
        <v>6344</v>
      </c>
      <c r="J6353">
        <f t="shared" si="104"/>
        <v>105000</v>
      </c>
      <c r="K6353" t="e">
        <f>VLOOKUP(B6353,'REGISTRO ABONOS'!$B$8:$BC$10041,54,0)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hidden="1" x14ac:dyDescent="0.2">
      <c r="B6354" s="31">
        <v>6345</v>
      </c>
      <c r="J6354">
        <f t="shared" si="104"/>
        <v>105000</v>
      </c>
      <c r="K6354" t="e">
        <f>VLOOKUP(B6354,'REGISTRO ABONOS'!$B$8:$BC$10041,54,0)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hidden="1" x14ac:dyDescent="0.2">
      <c r="B6355" s="31">
        <v>6346</v>
      </c>
      <c r="J6355">
        <f t="shared" si="104"/>
        <v>105000</v>
      </c>
      <c r="K6355" t="e">
        <f>VLOOKUP(B6355,'REGISTRO ABONOS'!$B$8:$BC$10041,54,0)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hidden="1" x14ac:dyDescent="0.2">
      <c r="B6356" s="31">
        <v>6347</v>
      </c>
      <c r="J6356">
        <f t="shared" si="104"/>
        <v>105000</v>
      </c>
      <c r="K6356" t="e">
        <f>VLOOKUP(B6356,'REGISTRO ABONOS'!$B$8:$BC$10041,54,0)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hidden="1" x14ac:dyDescent="0.2">
      <c r="B6357" s="31">
        <v>6348</v>
      </c>
      <c r="J6357">
        <f t="shared" si="104"/>
        <v>105000</v>
      </c>
      <c r="K6357" t="e">
        <f>VLOOKUP(B6357,'REGISTRO ABONOS'!$B$8:$BC$10041,54,0)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hidden="1" x14ac:dyDescent="0.2">
      <c r="B6358" s="31">
        <v>6349</v>
      </c>
      <c r="J6358">
        <f t="shared" si="104"/>
        <v>105000</v>
      </c>
      <c r="K6358" t="e">
        <f>VLOOKUP(B6358,'REGISTRO ABONOS'!$B$8:$BC$10041,54,0)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hidden="1" x14ac:dyDescent="0.2">
      <c r="B6359" s="31">
        <v>6350</v>
      </c>
      <c r="J6359">
        <f t="shared" si="104"/>
        <v>105000</v>
      </c>
      <c r="K6359" t="e">
        <f>VLOOKUP(B6359,'REGISTRO ABONOS'!$B$8:$BC$10041,54,0)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hidden="1" x14ac:dyDescent="0.2">
      <c r="B6360" s="31">
        <v>6351</v>
      </c>
      <c r="J6360">
        <f t="shared" si="104"/>
        <v>105000</v>
      </c>
      <c r="K6360" t="e">
        <f>VLOOKUP(B6360,'REGISTRO ABONOS'!$B$8:$BC$10041,54,0)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hidden="1" x14ac:dyDescent="0.2">
      <c r="B6361" s="31">
        <v>6352</v>
      </c>
      <c r="J6361">
        <f t="shared" si="104"/>
        <v>105000</v>
      </c>
      <c r="K6361" t="e">
        <f>VLOOKUP(B6361,'REGISTRO ABONOS'!$B$8:$BC$10041,54,0)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hidden="1" x14ac:dyDescent="0.2">
      <c r="B6362" s="31">
        <v>6353</v>
      </c>
      <c r="J6362">
        <f t="shared" si="104"/>
        <v>105000</v>
      </c>
      <c r="K6362" t="e">
        <f>VLOOKUP(B6362,'REGISTRO ABONOS'!$B$8:$BC$10041,54,0)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hidden="1" x14ac:dyDescent="0.2">
      <c r="B6363" s="31">
        <v>6354</v>
      </c>
      <c r="J6363">
        <f t="shared" si="104"/>
        <v>105000</v>
      </c>
      <c r="K6363" t="e">
        <f>VLOOKUP(B6363,'REGISTRO ABONOS'!$B$8:$BC$10041,54,0)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hidden="1" x14ac:dyDescent="0.2">
      <c r="B6364" s="31">
        <v>6355</v>
      </c>
      <c r="J6364">
        <f t="shared" si="104"/>
        <v>105000</v>
      </c>
      <c r="K6364" t="e">
        <f>VLOOKUP(B6364,'REGISTRO ABONOS'!$B$8:$BC$10041,54,0)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hidden="1" x14ac:dyDescent="0.2">
      <c r="B6365" s="31">
        <v>6356</v>
      </c>
      <c r="J6365">
        <f t="shared" si="104"/>
        <v>105000</v>
      </c>
      <c r="K6365" t="e">
        <f>VLOOKUP(B6365,'REGISTRO ABONOS'!$B$8:$BC$10041,54,0)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hidden="1" x14ac:dyDescent="0.2">
      <c r="B6366" s="31">
        <v>6357</v>
      </c>
      <c r="J6366">
        <f t="shared" si="104"/>
        <v>105000</v>
      </c>
      <c r="K6366" t="e">
        <f>VLOOKUP(B6366,'REGISTRO ABONOS'!$B$8:$BC$10041,54,0)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hidden="1" x14ac:dyDescent="0.2">
      <c r="B6367" s="31">
        <v>6358</v>
      </c>
      <c r="J6367">
        <f t="shared" si="104"/>
        <v>105000</v>
      </c>
      <c r="K6367" t="e">
        <f>VLOOKUP(B6367,'REGISTRO ABONOS'!$B$8:$BC$10041,54,0)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hidden="1" x14ac:dyDescent="0.2">
      <c r="B6368" s="31">
        <v>6359</v>
      </c>
      <c r="J6368">
        <f t="shared" si="104"/>
        <v>105000</v>
      </c>
      <c r="K6368" t="e">
        <f>VLOOKUP(B6368,'REGISTRO ABONOS'!$B$8:$BC$10041,54,0)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hidden="1" x14ac:dyDescent="0.2">
      <c r="B6369" s="31">
        <v>6360</v>
      </c>
      <c r="J6369">
        <f t="shared" si="104"/>
        <v>105000</v>
      </c>
      <c r="K6369" t="e">
        <f>VLOOKUP(B6369,'REGISTRO ABONOS'!$B$8:$BC$10041,54,0)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hidden="1" x14ac:dyDescent="0.2">
      <c r="B6370" s="31">
        <v>6361</v>
      </c>
      <c r="J6370">
        <f t="shared" si="104"/>
        <v>105000</v>
      </c>
      <c r="K6370" t="e">
        <f>VLOOKUP(B6370,'REGISTRO ABONOS'!$B$8:$BC$10041,54,0)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hidden="1" x14ac:dyDescent="0.2">
      <c r="B6371" s="31">
        <v>6362</v>
      </c>
      <c r="J6371">
        <f t="shared" si="104"/>
        <v>105000</v>
      </c>
      <c r="K6371" t="e">
        <f>VLOOKUP(B6371,'REGISTRO ABONOS'!$B$8:$BC$10041,54,0)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hidden="1" x14ac:dyDescent="0.2">
      <c r="B6372" s="31">
        <v>6363</v>
      </c>
      <c r="J6372">
        <f t="shared" si="104"/>
        <v>105000</v>
      </c>
      <c r="K6372" t="e">
        <f>VLOOKUP(B6372,'REGISTRO ABONOS'!$B$8:$BC$10041,54,0)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hidden="1" x14ac:dyDescent="0.2">
      <c r="B6373" s="31">
        <v>6364</v>
      </c>
      <c r="J6373">
        <f t="shared" si="104"/>
        <v>105000</v>
      </c>
      <c r="K6373" t="e">
        <f>VLOOKUP(B6373,'REGISTRO ABONOS'!$B$8:$BC$10041,54,0)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hidden="1" x14ac:dyDescent="0.2">
      <c r="B6374" s="31">
        <v>6365</v>
      </c>
      <c r="J6374">
        <f t="shared" si="104"/>
        <v>105000</v>
      </c>
      <c r="K6374" t="e">
        <f>VLOOKUP(B6374,'REGISTRO ABONOS'!$B$8:$BC$10041,54,0)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hidden="1" x14ac:dyDescent="0.2">
      <c r="B6375" s="31">
        <v>6366</v>
      </c>
      <c r="J6375">
        <f t="shared" si="104"/>
        <v>105000</v>
      </c>
      <c r="K6375" t="e">
        <f>VLOOKUP(B6375,'REGISTRO ABONOS'!$B$8:$BC$10041,54,0)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hidden="1" x14ac:dyDescent="0.2">
      <c r="B6376" s="31">
        <v>6367</v>
      </c>
      <c r="J6376">
        <f t="shared" si="104"/>
        <v>105000</v>
      </c>
      <c r="K6376" t="e">
        <f>VLOOKUP(B6376,'REGISTRO ABONOS'!$B$8:$BC$10041,54,0)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hidden="1" x14ac:dyDescent="0.2">
      <c r="B6377" s="31">
        <v>6368</v>
      </c>
      <c r="J6377">
        <f t="shared" si="104"/>
        <v>105000</v>
      </c>
      <c r="K6377" t="e">
        <f>VLOOKUP(B6377,'REGISTRO ABONOS'!$B$8:$BC$10041,54,0)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hidden="1" x14ac:dyDescent="0.2">
      <c r="B6378" s="31">
        <v>6369</v>
      </c>
      <c r="J6378">
        <f t="shared" si="104"/>
        <v>105000</v>
      </c>
      <c r="K6378" t="e">
        <f>VLOOKUP(B6378,'REGISTRO ABONOS'!$B$8:$BC$10041,54,0)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hidden="1" x14ac:dyDescent="0.2">
      <c r="B6379" s="31">
        <v>6370</v>
      </c>
      <c r="J6379">
        <f t="shared" si="104"/>
        <v>105000</v>
      </c>
      <c r="K6379" t="e">
        <f>VLOOKUP(B6379,'REGISTRO ABONOS'!$B$8:$BC$10041,54,0)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hidden="1" x14ac:dyDescent="0.2">
      <c r="B6380" s="31">
        <v>6371</v>
      </c>
      <c r="J6380">
        <f t="shared" si="104"/>
        <v>105000</v>
      </c>
      <c r="K6380" t="e">
        <f>VLOOKUP(B6380,'REGISTRO ABONOS'!$B$8:$BC$10041,54,0)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hidden="1" x14ac:dyDescent="0.2">
      <c r="B6381" s="31">
        <v>6372</v>
      </c>
      <c r="J6381">
        <f t="shared" si="104"/>
        <v>105000</v>
      </c>
      <c r="K6381" t="e">
        <f>VLOOKUP(B6381,'REGISTRO ABONOS'!$B$8:$BC$10041,54,0)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hidden="1" x14ac:dyDescent="0.2">
      <c r="B6382" s="31">
        <v>6373</v>
      </c>
      <c r="J6382">
        <f t="shared" si="104"/>
        <v>105000</v>
      </c>
      <c r="K6382" t="e">
        <f>VLOOKUP(B6382,'REGISTRO ABONOS'!$B$8:$BC$10041,54,0)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hidden="1" x14ac:dyDescent="0.2">
      <c r="B6383" s="31">
        <v>6374</v>
      </c>
      <c r="J6383">
        <f t="shared" si="104"/>
        <v>105000</v>
      </c>
      <c r="K6383" t="e">
        <f>VLOOKUP(B6383,'REGISTRO ABONOS'!$B$8:$BC$10041,54,0)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hidden="1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ABONOS'!$B$8:$BC$10041,54,0)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hidden="1" x14ac:dyDescent="0.2">
      <c r="B6385" s="31">
        <v>6376</v>
      </c>
      <c r="J6385">
        <f t="shared" si="105"/>
        <v>105000</v>
      </c>
      <c r="K6385" t="e">
        <f>VLOOKUP(B6385,'REGISTRO ABONOS'!$B$8:$BC$10041,54,0)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hidden="1" x14ac:dyDescent="0.2">
      <c r="B6386" s="31">
        <v>6377</v>
      </c>
      <c r="J6386">
        <f t="shared" si="105"/>
        <v>105000</v>
      </c>
      <c r="K6386" t="e">
        <f>VLOOKUP(B6386,'REGISTRO ABONOS'!$B$8:$BC$10041,54,0)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hidden="1" x14ac:dyDescent="0.2">
      <c r="B6387" s="31">
        <v>6378</v>
      </c>
      <c r="J6387">
        <f t="shared" si="105"/>
        <v>105000</v>
      </c>
      <c r="K6387" t="e">
        <f>VLOOKUP(B6387,'REGISTRO ABONOS'!$B$8:$BC$10041,54,0)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hidden="1" x14ac:dyDescent="0.2">
      <c r="B6388" s="31">
        <v>6379</v>
      </c>
      <c r="J6388">
        <f t="shared" si="105"/>
        <v>105000</v>
      </c>
      <c r="K6388" t="e">
        <f>VLOOKUP(B6388,'REGISTRO ABONOS'!$B$8:$BC$10041,54,0)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hidden="1" x14ac:dyDescent="0.2">
      <c r="B6389" s="31">
        <v>6380</v>
      </c>
      <c r="J6389">
        <f t="shared" si="105"/>
        <v>105000</v>
      </c>
      <c r="K6389" t="e">
        <f>VLOOKUP(B6389,'REGISTRO ABONOS'!$B$8:$BC$10041,54,0)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hidden="1" x14ac:dyDescent="0.2">
      <c r="B6390" s="31">
        <v>6381</v>
      </c>
      <c r="J6390">
        <f t="shared" si="105"/>
        <v>105000</v>
      </c>
      <c r="K6390" t="e">
        <f>VLOOKUP(B6390,'REGISTRO ABONOS'!$B$8:$BC$10041,54,0)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hidden="1" x14ac:dyDescent="0.2">
      <c r="B6391" s="31">
        <v>6382</v>
      </c>
      <c r="J6391">
        <f t="shared" si="105"/>
        <v>105000</v>
      </c>
      <c r="K6391" t="e">
        <f>VLOOKUP(B6391,'REGISTRO ABONOS'!$B$8:$BC$10041,54,0)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hidden="1" x14ac:dyDescent="0.2">
      <c r="B6392" s="31">
        <v>6383</v>
      </c>
      <c r="J6392">
        <f t="shared" si="105"/>
        <v>105000</v>
      </c>
      <c r="K6392" t="e">
        <f>VLOOKUP(B6392,'REGISTRO ABONOS'!$B$8:$BC$10041,54,0)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hidden="1" x14ac:dyDescent="0.2">
      <c r="B6393" s="31">
        <v>6384</v>
      </c>
      <c r="J6393">
        <f t="shared" si="105"/>
        <v>105000</v>
      </c>
      <c r="K6393" t="e">
        <f>VLOOKUP(B6393,'REGISTRO ABONOS'!$B$8:$BC$10041,54,0)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hidden="1" x14ac:dyDescent="0.2">
      <c r="B6394" s="31">
        <v>6385</v>
      </c>
      <c r="J6394">
        <f t="shared" si="105"/>
        <v>105000</v>
      </c>
      <c r="K6394" t="e">
        <f>VLOOKUP(B6394,'REGISTRO ABONOS'!$B$8:$BC$10041,54,0)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hidden="1" x14ac:dyDescent="0.2">
      <c r="B6395" s="31">
        <v>6386</v>
      </c>
      <c r="J6395">
        <f t="shared" si="105"/>
        <v>105000</v>
      </c>
      <c r="K6395" t="e">
        <f>VLOOKUP(B6395,'REGISTRO ABONOS'!$B$8:$BC$10041,54,0)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hidden="1" x14ac:dyDescent="0.2">
      <c r="B6396" s="31">
        <v>6387</v>
      </c>
      <c r="J6396">
        <f t="shared" si="105"/>
        <v>105000</v>
      </c>
      <c r="K6396" t="e">
        <f>VLOOKUP(B6396,'REGISTRO ABONOS'!$B$8:$BC$10041,54,0)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hidden="1" x14ac:dyDescent="0.2">
      <c r="B6397" s="31">
        <v>6388</v>
      </c>
      <c r="J6397">
        <f t="shared" si="105"/>
        <v>105000</v>
      </c>
      <c r="K6397" t="e">
        <f>VLOOKUP(B6397,'REGISTRO ABONOS'!$B$8:$BC$10041,54,0)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hidden="1" x14ac:dyDescent="0.2">
      <c r="B6398" s="31">
        <v>6389</v>
      </c>
      <c r="J6398">
        <f t="shared" si="105"/>
        <v>105000</v>
      </c>
      <c r="K6398" t="e">
        <f>VLOOKUP(B6398,'REGISTRO ABONOS'!$B$8:$BC$10041,54,0)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hidden="1" x14ac:dyDescent="0.2">
      <c r="B6399" s="31">
        <v>6390</v>
      </c>
      <c r="J6399">
        <f t="shared" si="105"/>
        <v>105000</v>
      </c>
      <c r="K6399" t="e">
        <f>VLOOKUP(B6399,'REGISTRO ABONOS'!$B$8:$BC$10041,54,0)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hidden="1" x14ac:dyDescent="0.2">
      <c r="B6400" s="31">
        <v>6391</v>
      </c>
      <c r="J6400">
        <f t="shared" si="105"/>
        <v>105000</v>
      </c>
      <c r="K6400" t="e">
        <f>VLOOKUP(B6400,'REGISTRO ABONOS'!$B$8:$BC$10041,54,0)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hidden="1" x14ac:dyDescent="0.2">
      <c r="B6401" s="31">
        <v>6392</v>
      </c>
      <c r="J6401">
        <f t="shared" si="105"/>
        <v>105000</v>
      </c>
      <c r="K6401" t="e">
        <f>VLOOKUP(B6401,'REGISTRO ABONOS'!$B$8:$BC$10041,54,0)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hidden="1" x14ac:dyDescent="0.2">
      <c r="B6402" s="31">
        <v>6393</v>
      </c>
      <c r="J6402">
        <f t="shared" si="105"/>
        <v>105000</v>
      </c>
      <c r="K6402" t="e">
        <f>VLOOKUP(B6402,'REGISTRO ABONOS'!$B$8:$BC$10041,54,0)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hidden="1" x14ac:dyDescent="0.2">
      <c r="B6403" s="31">
        <v>6394</v>
      </c>
      <c r="J6403">
        <f t="shared" si="105"/>
        <v>105000</v>
      </c>
      <c r="K6403" t="e">
        <f>VLOOKUP(B6403,'REGISTRO ABONOS'!$B$8:$BC$10041,54,0)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hidden="1" x14ac:dyDescent="0.2">
      <c r="B6404" s="31">
        <v>6395</v>
      </c>
      <c r="J6404">
        <f t="shared" si="105"/>
        <v>105000</v>
      </c>
      <c r="K6404" t="e">
        <f>VLOOKUP(B6404,'REGISTRO ABONOS'!$B$8:$BC$10041,54,0)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hidden="1" x14ac:dyDescent="0.2">
      <c r="B6405" s="31">
        <v>6396</v>
      </c>
      <c r="J6405">
        <f t="shared" si="105"/>
        <v>105000</v>
      </c>
      <c r="K6405" t="e">
        <f>VLOOKUP(B6405,'REGISTRO ABONOS'!$B$8:$BC$10041,54,0)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hidden="1" x14ac:dyDescent="0.2">
      <c r="B6406" s="31">
        <v>6397</v>
      </c>
      <c r="J6406">
        <f t="shared" si="105"/>
        <v>105000</v>
      </c>
      <c r="K6406" t="e">
        <f>VLOOKUP(B6406,'REGISTRO ABONOS'!$B$8:$BC$10041,54,0)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hidden="1" x14ac:dyDescent="0.2">
      <c r="B6407" s="31">
        <v>6398</v>
      </c>
      <c r="J6407">
        <f t="shared" si="105"/>
        <v>105000</v>
      </c>
      <c r="K6407" t="e">
        <f>VLOOKUP(B6407,'REGISTRO ABONOS'!$B$8:$BC$10041,54,0)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hidden="1" x14ac:dyDescent="0.2">
      <c r="B6408" s="31">
        <v>6399</v>
      </c>
      <c r="J6408">
        <f t="shared" si="105"/>
        <v>105000</v>
      </c>
      <c r="K6408" t="e">
        <f>VLOOKUP(B6408,'REGISTRO ABONOS'!$B$8:$BC$10041,54,0)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hidden="1" x14ac:dyDescent="0.2">
      <c r="B6409" s="31">
        <v>6400</v>
      </c>
      <c r="J6409">
        <f t="shared" si="105"/>
        <v>105000</v>
      </c>
      <c r="K6409" t="e">
        <f>VLOOKUP(B6409,'REGISTRO ABONOS'!$B$8:$BC$10041,54,0)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hidden="1" x14ac:dyDescent="0.2">
      <c r="B6410" s="31">
        <v>6401</v>
      </c>
      <c r="J6410">
        <f t="shared" si="105"/>
        <v>105000</v>
      </c>
      <c r="K6410" t="e">
        <f>VLOOKUP(B6410,'REGISTRO ABONOS'!$B$8:$BC$10041,54,0)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hidden="1" x14ac:dyDescent="0.2">
      <c r="B6411" s="31">
        <v>6402</v>
      </c>
      <c r="J6411">
        <f t="shared" si="105"/>
        <v>105000</v>
      </c>
      <c r="K6411" t="e">
        <f>VLOOKUP(B6411,'REGISTRO ABONOS'!$B$8:$BC$10041,54,0)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hidden="1" x14ac:dyDescent="0.2">
      <c r="B6412" s="31">
        <v>6403</v>
      </c>
      <c r="J6412">
        <f t="shared" si="105"/>
        <v>105000</v>
      </c>
      <c r="K6412" t="e">
        <f>VLOOKUP(B6412,'REGISTRO ABONOS'!$B$8:$BC$10041,54,0)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hidden="1" x14ac:dyDescent="0.2">
      <c r="B6413" s="31">
        <v>6404</v>
      </c>
      <c r="J6413">
        <f t="shared" si="105"/>
        <v>105000</v>
      </c>
      <c r="K6413" t="e">
        <f>VLOOKUP(B6413,'REGISTRO ABONOS'!$B$8:$BC$10041,54,0)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hidden="1" x14ac:dyDescent="0.2">
      <c r="B6414" s="31">
        <v>6405</v>
      </c>
      <c r="J6414">
        <f t="shared" si="105"/>
        <v>105000</v>
      </c>
      <c r="K6414" t="e">
        <f>VLOOKUP(B6414,'REGISTRO ABONOS'!$B$8:$BC$10041,54,0)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hidden="1" x14ac:dyDescent="0.2">
      <c r="B6415" s="31">
        <v>6406</v>
      </c>
      <c r="J6415">
        <f t="shared" si="105"/>
        <v>105000</v>
      </c>
      <c r="K6415" t="e">
        <f>VLOOKUP(B6415,'REGISTRO ABONOS'!$B$8:$BC$10041,54,0)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hidden="1" x14ac:dyDescent="0.2">
      <c r="B6416" s="31">
        <v>6407</v>
      </c>
      <c r="J6416">
        <f t="shared" si="105"/>
        <v>105000</v>
      </c>
      <c r="K6416" t="e">
        <f>VLOOKUP(B6416,'REGISTRO ABONOS'!$B$8:$BC$10041,54,0)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hidden="1" x14ac:dyDescent="0.2">
      <c r="B6417" s="31">
        <v>6408</v>
      </c>
      <c r="J6417">
        <f t="shared" si="105"/>
        <v>105000</v>
      </c>
      <c r="K6417" t="e">
        <f>VLOOKUP(B6417,'REGISTRO ABONOS'!$B$8:$BC$10041,54,0)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hidden="1" x14ac:dyDescent="0.2">
      <c r="B6418" s="31">
        <v>6409</v>
      </c>
      <c r="J6418">
        <f t="shared" si="105"/>
        <v>105000</v>
      </c>
      <c r="K6418" t="e">
        <f>VLOOKUP(B6418,'REGISTRO ABONOS'!$B$8:$BC$10041,54,0)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hidden="1" x14ac:dyDescent="0.2">
      <c r="B6419" s="31">
        <v>6410</v>
      </c>
      <c r="J6419">
        <f t="shared" si="105"/>
        <v>105000</v>
      </c>
      <c r="K6419" t="e">
        <f>VLOOKUP(B6419,'REGISTRO ABONOS'!$B$8:$BC$10041,54,0)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hidden="1" x14ac:dyDescent="0.2">
      <c r="B6420" s="31">
        <v>6411</v>
      </c>
      <c r="J6420">
        <f t="shared" si="105"/>
        <v>105000</v>
      </c>
      <c r="K6420" t="e">
        <f>VLOOKUP(B6420,'REGISTRO ABONOS'!$B$8:$BC$10041,54,0)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hidden="1" x14ac:dyDescent="0.2">
      <c r="B6421" s="31">
        <v>6412</v>
      </c>
      <c r="J6421">
        <f t="shared" si="105"/>
        <v>105000</v>
      </c>
      <c r="K6421" t="e">
        <f>VLOOKUP(B6421,'REGISTRO ABONOS'!$B$8:$BC$10041,54,0)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hidden="1" x14ac:dyDescent="0.2">
      <c r="B6422" s="31">
        <v>6413</v>
      </c>
      <c r="J6422">
        <f t="shared" si="105"/>
        <v>105000</v>
      </c>
      <c r="K6422" t="e">
        <f>VLOOKUP(B6422,'REGISTRO ABONOS'!$B$8:$BC$10041,54,0)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hidden="1" x14ac:dyDescent="0.2">
      <c r="B6423" s="31">
        <v>6414</v>
      </c>
      <c r="J6423">
        <f t="shared" si="105"/>
        <v>105000</v>
      </c>
      <c r="K6423" t="e">
        <f>VLOOKUP(B6423,'REGISTRO ABONOS'!$B$8:$BC$10041,54,0)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hidden="1" x14ac:dyDescent="0.2">
      <c r="B6424" s="31">
        <v>6415</v>
      </c>
      <c r="J6424">
        <f t="shared" si="105"/>
        <v>105000</v>
      </c>
      <c r="K6424" t="e">
        <f>VLOOKUP(B6424,'REGISTRO ABONOS'!$B$8:$BC$10041,54,0)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hidden="1" x14ac:dyDescent="0.2">
      <c r="B6425" s="31">
        <v>6416</v>
      </c>
      <c r="J6425">
        <f t="shared" si="105"/>
        <v>105000</v>
      </c>
      <c r="K6425" t="e">
        <f>VLOOKUP(B6425,'REGISTRO ABONOS'!$B$8:$BC$10041,54,0)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hidden="1" x14ac:dyDescent="0.2">
      <c r="B6426" s="31">
        <v>6417</v>
      </c>
      <c r="J6426">
        <f t="shared" si="105"/>
        <v>105000</v>
      </c>
      <c r="K6426" t="e">
        <f>VLOOKUP(B6426,'REGISTRO ABONOS'!$B$8:$BC$10041,54,0)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hidden="1" x14ac:dyDescent="0.2">
      <c r="B6427" s="31">
        <v>6418</v>
      </c>
      <c r="J6427">
        <f t="shared" si="105"/>
        <v>105000</v>
      </c>
      <c r="K6427" t="e">
        <f>VLOOKUP(B6427,'REGISTRO ABONOS'!$B$8:$BC$10041,54,0)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hidden="1" x14ac:dyDescent="0.2">
      <c r="B6428" s="31">
        <v>6419</v>
      </c>
      <c r="J6428">
        <f t="shared" si="105"/>
        <v>105000</v>
      </c>
      <c r="K6428" t="e">
        <f>VLOOKUP(B6428,'REGISTRO ABONOS'!$B$8:$BC$10041,54,0)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hidden="1" x14ac:dyDescent="0.2">
      <c r="B6429" s="31">
        <v>6420</v>
      </c>
      <c r="J6429">
        <f t="shared" si="105"/>
        <v>105000</v>
      </c>
      <c r="K6429" t="e">
        <f>VLOOKUP(B6429,'REGISTRO ABONOS'!$B$8:$BC$10041,54,0)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hidden="1" x14ac:dyDescent="0.2">
      <c r="B6430" s="31">
        <v>6421</v>
      </c>
      <c r="J6430">
        <f t="shared" si="105"/>
        <v>105000</v>
      </c>
      <c r="K6430" t="e">
        <f>VLOOKUP(B6430,'REGISTRO ABONOS'!$B$8:$BC$10041,54,0)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hidden="1" x14ac:dyDescent="0.2">
      <c r="B6431" s="31">
        <v>6422</v>
      </c>
      <c r="J6431">
        <f t="shared" si="105"/>
        <v>105000</v>
      </c>
      <c r="K6431" t="e">
        <f>VLOOKUP(B6431,'REGISTRO ABONOS'!$B$8:$BC$10041,54,0)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hidden="1" x14ac:dyDescent="0.2">
      <c r="B6432" s="31">
        <v>6423</v>
      </c>
      <c r="J6432">
        <f t="shared" si="105"/>
        <v>105000</v>
      </c>
      <c r="K6432" t="e">
        <f>VLOOKUP(B6432,'REGISTRO ABONOS'!$B$8:$BC$10041,54,0)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hidden="1" x14ac:dyDescent="0.2">
      <c r="B6433" s="31">
        <v>6424</v>
      </c>
      <c r="J6433">
        <f t="shared" si="105"/>
        <v>105000</v>
      </c>
      <c r="K6433" t="e">
        <f>VLOOKUP(B6433,'REGISTRO ABONOS'!$B$8:$BC$10041,54,0)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hidden="1" x14ac:dyDescent="0.2">
      <c r="B6434" s="31">
        <v>6425</v>
      </c>
      <c r="J6434">
        <f t="shared" si="105"/>
        <v>105000</v>
      </c>
      <c r="K6434" t="e">
        <f>VLOOKUP(B6434,'REGISTRO ABONOS'!$B$8:$BC$10041,54,0)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hidden="1" x14ac:dyDescent="0.2">
      <c r="B6435" s="31">
        <v>6426</v>
      </c>
      <c r="J6435">
        <f t="shared" si="105"/>
        <v>105000</v>
      </c>
      <c r="K6435" t="e">
        <f>VLOOKUP(B6435,'REGISTRO ABONOS'!$B$8:$BC$10041,54,0)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hidden="1" x14ac:dyDescent="0.2">
      <c r="B6436" s="31">
        <v>6427</v>
      </c>
      <c r="J6436">
        <f t="shared" si="105"/>
        <v>105000</v>
      </c>
      <c r="K6436" t="e">
        <f>VLOOKUP(B6436,'REGISTRO ABONOS'!$B$8:$BC$10041,54,0)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hidden="1" x14ac:dyDescent="0.2">
      <c r="B6437" s="31">
        <v>6428</v>
      </c>
      <c r="J6437">
        <f t="shared" si="105"/>
        <v>105000</v>
      </c>
      <c r="K6437" t="e">
        <f>VLOOKUP(B6437,'REGISTRO ABONOS'!$B$8:$BC$10041,54,0)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hidden="1" x14ac:dyDescent="0.2">
      <c r="B6438" s="31">
        <v>6429</v>
      </c>
      <c r="J6438">
        <f t="shared" si="105"/>
        <v>105000</v>
      </c>
      <c r="K6438" t="e">
        <f>VLOOKUP(B6438,'REGISTRO ABONOS'!$B$8:$BC$10041,54,0)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hidden="1" x14ac:dyDescent="0.2">
      <c r="B6439" s="31">
        <v>6430</v>
      </c>
      <c r="J6439">
        <f t="shared" si="105"/>
        <v>105000</v>
      </c>
      <c r="K6439" t="e">
        <f>VLOOKUP(B6439,'REGISTRO ABONOS'!$B$8:$BC$10041,54,0)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hidden="1" x14ac:dyDescent="0.2">
      <c r="B6440" s="31">
        <v>6431</v>
      </c>
      <c r="J6440">
        <f t="shared" si="105"/>
        <v>105000</v>
      </c>
      <c r="K6440" t="e">
        <f>VLOOKUP(B6440,'REGISTRO ABONOS'!$B$8:$BC$10041,54,0)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hidden="1" x14ac:dyDescent="0.2">
      <c r="B6441" s="31">
        <v>6432</v>
      </c>
      <c r="J6441">
        <f t="shared" si="105"/>
        <v>105000</v>
      </c>
      <c r="K6441" t="e">
        <f>VLOOKUP(B6441,'REGISTRO ABONOS'!$B$8:$BC$10041,54,0)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hidden="1" x14ac:dyDescent="0.2">
      <c r="B6442" s="31">
        <v>6433</v>
      </c>
      <c r="J6442">
        <f t="shared" si="105"/>
        <v>105000</v>
      </c>
      <c r="K6442" t="e">
        <f>VLOOKUP(B6442,'REGISTRO ABONOS'!$B$8:$BC$10041,54,0)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hidden="1" x14ac:dyDescent="0.2">
      <c r="B6443" s="31">
        <v>6434</v>
      </c>
      <c r="J6443">
        <f t="shared" si="105"/>
        <v>105000</v>
      </c>
      <c r="K6443" t="e">
        <f>VLOOKUP(B6443,'REGISTRO ABONOS'!$B$8:$BC$10041,54,0)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hidden="1" x14ac:dyDescent="0.2">
      <c r="B6444" s="31">
        <v>6435</v>
      </c>
      <c r="J6444">
        <f t="shared" si="105"/>
        <v>105000</v>
      </c>
      <c r="K6444" t="e">
        <f>VLOOKUP(B6444,'REGISTRO ABONOS'!$B$8:$BC$10041,54,0)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hidden="1" x14ac:dyDescent="0.2">
      <c r="B6445" s="31">
        <v>6436</v>
      </c>
      <c r="J6445">
        <f t="shared" si="105"/>
        <v>105000</v>
      </c>
      <c r="K6445" t="e">
        <f>VLOOKUP(B6445,'REGISTRO ABONOS'!$B$8:$BC$10041,54,0)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hidden="1" x14ac:dyDescent="0.2">
      <c r="B6446" s="31">
        <v>6437</v>
      </c>
      <c r="J6446">
        <f t="shared" si="105"/>
        <v>105000</v>
      </c>
      <c r="K6446" t="e">
        <f>VLOOKUP(B6446,'REGISTRO ABONOS'!$B$8:$BC$10041,54,0)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hidden="1" x14ac:dyDescent="0.2">
      <c r="B6447" s="31">
        <v>6438</v>
      </c>
      <c r="J6447">
        <f t="shared" si="105"/>
        <v>105000</v>
      </c>
      <c r="K6447" t="e">
        <f>VLOOKUP(B6447,'REGISTRO ABONOS'!$B$8:$BC$10041,54,0)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hidden="1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ABONOS'!$B$8:$BC$10041,54,0)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hidden="1" x14ac:dyDescent="0.2">
      <c r="B6449" s="31">
        <v>6440</v>
      </c>
      <c r="J6449">
        <f t="shared" si="106"/>
        <v>105000</v>
      </c>
      <c r="K6449" t="e">
        <f>VLOOKUP(B6449,'REGISTRO ABONOS'!$B$8:$BC$10041,54,0)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hidden="1" x14ac:dyDescent="0.2">
      <c r="B6450" s="31">
        <v>6441</v>
      </c>
      <c r="J6450">
        <f t="shared" si="106"/>
        <v>105000</v>
      </c>
      <c r="K6450" t="e">
        <f>VLOOKUP(B6450,'REGISTRO ABONOS'!$B$8:$BC$10041,54,0)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hidden="1" x14ac:dyDescent="0.2">
      <c r="B6451" s="31">
        <v>6442</v>
      </c>
      <c r="J6451">
        <f t="shared" si="106"/>
        <v>105000</v>
      </c>
      <c r="K6451" t="e">
        <f>VLOOKUP(B6451,'REGISTRO ABONOS'!$B$8:$BC$10041,54,0)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hidden="1" x14ac:dyDescent="0.2">
      <c r="B6452" s="31">
        <v>6443</v>
      </c>
      <c r="J6452">
        <f t="shared" si="106"/>
        <v>105000</v>
      </c>
      <c r="K6452" t="e">
        <f>VLOOKUP(B6452,'REGISTRO ABONOS'!$B$8:$BC$10041,54,0)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hidden="1" x14ac:dyDescent="0.2">
      <c r="B6453" s="31">
        <v>6444</v>
      </c>
      <c r="J6453">
        <f t="shared" si="106"/>
        <v>105000</v>
      </c>
      <c r="K6453" t="e">
        <f>VLOOKUP(B6453,'REGISTRO ABONOS'!$B$8:$BC$10041,54,0)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hidden="1" x14ac:dyDescent="0.2">
      <c r="B6454" s="31">
        <v>6445</v>
      </c>
      <c r="J6454">
        <f t="shared" si="106"/>
        <v>105000</v>
      </c>
      <c r="K6454" t="e">
        <f>VLOOKUP(B6454,'REGISTRO ABONOS'!$B$8:$BC$10041,54,0)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hidden="1" x14ac:dyDescent="0.2">
      <c r="B6455" s="31">
        <v>6446</v>
      </c>
      <c r="J6455">
        <f t="shared" si="106"/>
        <v>105000</v>
      </c>
      <c r="K6455" t="e">
        <f>VLOOKUP(B6455,'REGISTRO ABONOS'!$B$8:$BC$10041,54,0)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hidden="1" x14ac:dyDescent="0.2">
      <c r="B6456" s="31">
        <v>6447</v>
      </c>
      <c r="J6456">
        <f t="shared" si="106"/>
        <v>105000</v>
      </c>
      <c r="K6456" t="e">
        <f>VLOOKUP(B6456,'REGISTRO ABONOS'!$B$8:$BC$10041,54,0)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hidden="1" x14ac:dyDescent="0.2">
      <c r="B6457" s="31">
        <v>6448</v>
      </c>
      <c r="J6457">
        <f t="shared" si="106"/>
        <v>105000</v>
      </c>
      <c r="K6457" t="e">
        <f>VLOOKUP(B6457,'REGISTRO ABONOS'!$B$8:$BC$10041,54,0)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hidden="1" x14ac:dyDescent="0.2">
      <c r="B6458" s="31">
        <v>6449</v>
      </c>
      <c r="J6458">
        <f t="shared" si="106"/>
        <v>105000</v>
      </c>
      <c r="K6458" t="e">
        <f>VLOOKUP(B6458,'REGISTRO ABONOS'!$B$8:$BC$10041,54,0)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hidden="1" x14ac:dyDescent="0.2">
      <c r="B6459" s="31">
        <v>6450</v>
      </c>
      <c r="J6459">
        <f t="shared" si="106"/>
        <v>105000</v>
      </c>
      <c r="K6459" t="e">
        <f>VLOOKUP(B6459,'REGISTRO ABONOS'!$B$8:$BC$10041,54,0)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hidden="1" x14ac:dyDescent="0.2">
      <c r="B6460" s="31">
        <v>6451</v>
      </c>
      <c r="J6460">
        <f t="shared" si="106"/>
        <v>105000</v>
      </c>
      <c r="K6460" t="e">
        <f>VLOOKUP(B6460,'REGISTRO ABONOS'!$B$8:$BC$10041,54,0)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hidden="1" x14ac:dyDescent="0.2">
      <c r="B6461" s="31">
        <v>6452</v>
      </c>
      <c r="J6461">
        <f t="shared" si="106"/>
        <v>105000</v>
      </c>
      <c r="K6461" t="e">
        <f>VLOOKUP(B6461,'REGISTRO ABONOS'!$B$8:$BC$10041,54,0)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hidden="1" x14ac:dyDescent="0.2">
      <c r="B6462" s="31">
        <v>6453</v>
      </c>
      <c r="J6462">
        <f t="shared" si="106"/>
        <v>105000</v>
      </c>
      <c r="K6462" t="e">
        <f>VLOOKUP(B6462,'REGISTRO ABONOS'!$B$8:$BC$10041,54,0)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hidden="1" x14ac:dyDescent="0.2">
      <c r="B6463" s="31">
        <v>6454</v>
      </c>
      <c r="J6463">
        <f t="shared" si="106"/>
        <v>105000</v>
      </c>
      <c r="K6463" t="e">
        <f>VLOOKUP(B6463,'REGISTRO ABONOS'!$B$8:$BC$10041,54,0)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hidden="1" x14ac:dyDescent="0.2">
      <c r="B6464" s="31">
        <v>6455</v>
      </c>
      <c r="J6464">
        <f t="shared" si="106"/>
        <v>105000</v>
      </c>
      <c r="K6464" t="e">
        <f>VLOOKUP(B6464,'REGISTRO ABONOS'!$B$8:$BC$10041,54,0)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hidden="1" x14ac:dyDescent="0.2">
      <c r="B6465" s="31">
        <v>6456</v>
      </c>
      <c r="J6465">
        <f t="shared" si="106"/>
        <v>105000</v>
      </c>
      <c r="K6465" t="e">
        <f>VLOOKUP(B6465,'REGISTRO ABONOS'!$B$8:$BC$10041,54,0)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hidden="1" x14ac:dyDescent="0.2">
      <c r="B6466" s="31">
        <v>6457</v>
      </c>
      <c r="J6466">
        <f t="shared" si="106"/>
        <v>105000</v>
      </c>
      <c r="K6466" t="e">
        <f>VLOOKUP(B6466,'REGISTRO ABONOS'!$B$8:$BC$10041,54,0)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hidden="1" x14ac:dyDescent="0.2">
      <c r="B6467" s="31">
        <v>6458</v>
      </c>
      <c r="J6467">
        <f t="shared" si="106"/>
        <v>105000</v>
      </c>
      <c r="K6467" t="e">
        <f>VLOOKUP(B6467,'REGISTRO ABONOS'!$B$8:$BC$10041,54,0)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hidden="1" x14ac:dyDescent="0.2">
      <c r="B6468" s="31">
        <v>6459</v>
      </c>
      <c r="J6468">
        <f t="shared" si="106"/>
        <v>105000</v>
      </c>
      <c r="K6468" t="e">
        <f>VLOOKUP(B6468,'REGISTRO ABONOS'!$B$8:$BC$10041,54,0)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hidden="1" x14ac:dyDescent="0.2">
      <c r="B6469" s="31">
        <v>6460</v>
      </c>
      <c r="J6469">
        <f t="shared" si="106"/>
        <v>105000</v>
      </c>
      <c r="K6469" t="e">
        <f>VLOOKUP(B6469,'REGISTRO ABONOS'!$B$8:$BC$10041,54,0)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hidden="1" x14ac:dyDescent="0.2">
      <c r="B6470" s="31">
        <v>6461</v>
      </c>
      <c r="J6470">
        <f t="shared" si="106"/>
        <v>105000</v>
      </c>
      <c r="K6470" t="e">
        <f>VLOOKUP(B6470,'REGISTRO ABONOS'!$B$8:$BC$10041,54,0)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hidden="1" x14ac:dyDescent="0.2">
      <c r="B6471" s="31">
        <v>6462</v>
      </c>
      <c r="J6471">
        <f t="shared" si="106"/>
        <v>105000</v>
      </c>
      <c r="K6471" t="e">
        <f>VLOOKUP(B6471,'REGISTRO ABONOS'!$B$8:$BC$10041,54,0)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hidden="1" x14ac:dyDescent="0.2">
      <c r="B6472" s="31">
        <v>6463</v>
      </c>
      <c r="J6472">
        <f t="shared" si="106"/>
        <v>105000</v>
      </c>
      <c r="K6472" t="e">
        <f>VLOOKUP(B6472,'REGISTRO ABONOS'!$B$8:$BC$10041,54,0)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hidden="1" x14ac:dyDescent="0.2">
      <c r="B6473" s="31">
        <v>6464</v>
      </c>
      <c r="J6473">
        <f t="shared" si="106"/>
        <v>105000</v>
      </c>
      <c r="K6473" t="e">
        <f>VLOOKUP(B6473,'REGISTRO ABONOS'!$B$8:$BC$10041,54,0)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hidden="1" x14ac:dyDescent="0.2">
      <c r="B6474" s="31">
        <v>6465</v>
      </c>
      <c r="J6474">
        <f t="shared" si="106"/>
        <v>105000</v>
      </c>
      <c r="K6474" t="e">
        <f>VLOOKUP(B6474,'REGISTRO ABONOS'!$B$8:$BC$10041,54,0)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hidden="1" x14ac:dyDescent="0.2">
      <c r="B6475" s="31">
        <v>6466</v>
      </c>
      <c r="J6475">
        <f t="shared" si="106"/>
        <v>105000</v>
      </c>
      <c r="K6475" t="e">
        <f>VLOOKUP(B6475,'REGISTRO ABONOS'!$B$8:$BC$10041,54,0)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hidden="1" x14ac:dyDescent="0.2">
      <c r="B6476" s="31">
        <v>6467</v>
      </c>
      <c r="J6476">
        <f t="shared" si="106"/>
        <v>105000</v>
      </c>
      <c r="K6476" t="e">
        <f>VLOOKUP(B6476,'REGISTRO ABONOS'!$B$8:$BC$10041,54,0)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hidden="1" x14ac:dyDescent="0.2">
      <c r="B6477" s="31">
        <v>6468</v>
      </c>
      <c r="J6477">
        <f t="shared" si="106"/>
        <v>105000</v>
      </c>
      <c r="K6477" t="e">
        <f>VLOOKUP(B6477,'REGISTRO ABONOS'!$B$8:$BC$10041,54,0)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hidden="1" x14ac:dyDescent="0.2">
      <c r="B6478" s="31">
        <v>6469</v>
      </c>
      <c r="J6478">
        <f t="shared" si="106"/>
        <v>105000</v>
      </c>
      <c r="K6478" t="e">
        <f>VLOOKUP(B6478,'REGISTRO ABONOS'!$B$8:$BC$10041,54,0)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hidden="1" x14ac:dyDescent="0.2">
      <c r="B6479" s="31">
        <v>6470</v>
      </c>
      <c r="J6479">
        <f t="shared" si="106"/>
        <v>105000</v>
      </c>
      <c r="K6479" t="e">
        <f>VLOOKUP(B6479,'REGISTRO ABONOS'!$B$8:$BC$10041,54,0)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hidden="1" x14ac:dyDescent="0.2">
      <c r="B6480" s="31">
        <v>6471</v>
      </c>
      <c r="J6480">
        <f t="shared" si="106"/>
        <v>105000</v>
      </c>
      <c r="K6480" t="e">
        <f>VLOOKUP(B6480,'REGISTRO ABONOS'!$B$8:$BC$10041,54,0)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hidden="1" x14ac:dyDescent="0.2">
      <c r="B6481" s="31">
        <v>6472</v>
      </c>
      <c r="J6481">
        <f t="shared" si="106"/>
        <v>105000</v>
      </c>
      <c r="K6481" t="e">
        <f>VLOOKUP(B6481,'REGISTRO ABONOS'!$B$8:$BC$10041,54,0)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hidden="1" x14ac:dyDescent="0.2">
      <c r="B6482" s="31">
        <v>6473</v>
      </c>
      <c r="J6482">
        <f t="shared" si="106"/>
        <v>105000</v>
      </c>
      <c r="K6482" t="e">
        <f>VLOOKUP(B6482,'REGISTRO ABONOS'!$B$8:$BC$10041,54,0)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hidden="1" x14ac:dyDescent="0.2">
      <c r="B6483" s="31">
        <v>6474</v>
      </c>
      <c r="J6483">
        <f t="shared" si="106"/>
        <v>105000</v>
      </c>
      <c r="K6483" t="e">
        <f>VLOOKUP(B6483,'REGISTRO ABONOS'!$B$8:$BC$10041,54,0)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6"/>
        <v>105000</v>
      </c>
      <c r="K6484">
        <f>VLOOKUP(B6484,'REGISTRO ABONOS'!$B$8:$BC$10041,54,0)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hidden="1" x14ac:dyDescent="0.2">
      <c r="B6485" s="31">
        <v>6476</v>
      </c>
      <c r="J6485">
        <f t="shared" si="106"/>
        <v>105000</v>
      </c>
      <c r="K6485" t="e">
        <f>VLOOKUP(B6485,'REGISTRO ABONOS'!$B$8:$BC$10041,54,0)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hidden="1" x14ac:dyDescent="0.2">
      <c r="B6486" s="31">
        <v>6477</v>
      </c>
      <c r="J6486">
        <f t="shared" si="106"/>
        <v>105000</v>
      </c>
      <c r="K6486" t="e">
        <f>VLOOKUP(B6486,'REGISTRO ABONOS'!$B$8:$BC$10041,54,0)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hidden="1" x14ac:dyDescent="0.2">
      <c r="B6487" s="31">
        <v>6478</v>
      </c>
      <c r="J6487">
        <f t="shared" si="106"/>
        <v>105000</v>
      </c>
      <c r="K6487" t="e">
        <f>VLOOKUP(B6487,'REGISTRO ABONOS'!$B$8:$BC$10041,54,0)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hidden="1" x14ac:dyDescent="0.2">
      <c r="B6488" s="31">
        <v>6479</v>
      </c>
      <c r="J6488">
        <f t="shared" si="106"/>
        <v>105000</v>
      </c>
      <c r="K6488" t="e">
        <f>VLOOKUP(B6488,'REGISTRO ABONOS'!$B$8:$BC$10041,54,0)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hidden="1" x14ac:dyDescent="0.2">
      <c r="B6489" s="31">
        <v>6480</v>
      </c>
      <c r="J6489">
        <f t="shared" si="106"/>
        <v>105000</v>
      </c>
      <c r="K6489" t="e">
        <f>VLOOKUP(B6489,'REGISTRO ABONOS'!$B$8:$BC$10041,54,0)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hidden="1" x14ac:dyDescent="0.2">
      <c r="B6490" s="31">
        <v>6481</v>
      </c>
      <c r="J6490">
        <f t="shared" si="106"/>
        <v>105000</v>
      </c>
      <c r="K6490" t="e">
        <f>VLOOKUP(B6490,'REGISTRO ABONOS'!$B$8:$BC$10041,54,0)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hidden="1" x14ac:dyDescent="0.2">
      <c r="B6491" s="31">
        <v>6482</v>
      </c>
      <c r="J6491">
        <f t="shared" si="106"/>
        <v>105000</v>
      </c>
      <c r="K6491" t="e">
        <f>VLOOKUP(B6491,'REGISTRO ABONOS'!$B$8:$BC$10041,54,0)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hidden="1" x14ac:dyDescent="0.2">
      <c r="B6492" s="31">
        <v>6483</v>
      </c>
      <c r="J6492">
        <f t="shared" si="106"/>
        <v>105000</v>
      </c>
      <c r="K6492" t="e">
        <f>VLOOKUP(B6492,'REGISTRO ABONOS'!$B$8:$BC$10041,54,0)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hidden="1" x14ac:dyDescent="0.2">
      <c r="B6493" s="31">
        <v>6484</v>
      </c>
      <c r="J6493">
        <f t="shared" si="106"/>
        <v>105000</v>
      </c>
      <c r="K6493" t="e">
        <f>VLOOKUP(B6493,'REGISTRO ABONOS'!$B$8:$BC$10041,54,0)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hidden="1" x14ac:dyDescent="0.2">
      <c r="B6494" s="31">
        <v>6485</v>
      </c>
      <c r="J6494">
        <f t="shared" si="106"/>
        <v>105000</v>
      </c>
      <c r="K6494" t="e">
        <f>VLOOKUP(B6494,'REGISTRO ABONOS'!$B$8:$BC$10041,54,0)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hidden="1" x14ac:dyDescent="0.2">
      <c r="B6495" s="31">
        <v>6486</v>
      </c>
      <c r="J6495">
        <f t="shared" si="106"/>
        <v>105000</v>
      </c>
      <c r="K6495" t="e">
        <f>VLOOKUP(B6495,'REGISTRO ABONOS'!$B$8:$BC$10041,54,0)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hidden="1" x14ac:dyDescent="0.2">
      <c r="B6496" s="31">
        <v>6487</v>
      </c>
      <c r="J6496">
        <f t="shared" si="106"/>
        <v>105000</v>
      </c>
      <c r="K6496" t="e">
        <f>VLOOKUP(B6496,'REGISTRO ABONOS'!$B$8:$BC$10041,54,0)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hidden="1" x14ac:dyDescent="0.2">
      <c r="B6497" s="31">
        <v>6488</v>
      </c>
      <c r="J6497">
        <f t="shared" si="106"/>
        <v>105000</v>
      </c>
      <c r="K6497" t="e">
        <f>VLOOKUP(B6497,'REGISTRO ABONOS'!$B$8:$BC$10041,54,0)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hidden="1" x14ac:dyDescent="0.2">
      <c r="B6498" s="31">
        <v>6489</v>
      </c>
      <c r="J6498">
        <f t="shared" si="106"/>
        <v>105000</v>
      </c>
      <c r="K6498" t="e">
        <f>VLOOKUP(B6498,'REGISTRO ABONOS'!$B$8:$BC$10041,54,0)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hidden="1" x14ac:dyDescent="0.2">
      <c r="B6499" s="31">
        <v>6490</v>
      </c>
      <c r="J6499">
        <f t="shared" si="106"/>
        <v>105000</v>
      </c>
      <c r="K6499" t="e">
        <f>VLOOKUP(B6499,'REGISTRO ABONOS'!$B$8:$BC$10041,54,0)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hidden="1" x14ac:dyDescent="0.2">
      <c r="B6500" s="31">
        <v>6491</v>
      </c>
      <c r="J6500">
        <f t="shared" si="106"/>
        <v>105000</v>
      </c>
      <c r="K6500" t="e">
        <f>VLOOKUP(B6500,'REGISTRO ABONOS'!$B$8:$BC$10041,54,0)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hidden="1" x14ac:dyDescent="0.2">
      <c r="B6501" s="31">
        <v>6492</v>
      </c>
      <c r="J6501">
        <f t="shared" si="106"/>
        <v>105000</v>
      </c>
      <c r="K6501" t="e">
        <f>VLOOKUP(B6501,'REGISTRO ABONOS'!$B$8:$BC$10041,54,0)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hidden="1" x14ac:dyDescent="0.2">
      <c r="B6502" s="31">
        <v>6493</v>
      </c>
      <c r="J6502">
        <f t="shared" si="106"/>
        <v>105000</v>
      </c>
      <c r="K6502" t="e">
        <f>VLOOKUP(B6502,'REGISTRO ABONOS'!$B$8:$BC$10041,54,0)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hidden="1" x14ac:dyDescent="0.2">
      <c r="B6503" s="31">
        <v>6494</v>
      </c>
      <c r="J6503">
        <f t="shared" si="106"/>
        <v>105000</v>
      </c>
      <c r="K6503" t="e">
        <f>VLOOKUP(B6503,'REGISTRO ABONOS'!$B$8:$BC$10041,54,0)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hidden="1" x14ac:dyDescent="0.2">
      <c r="B6504" s="31">
        <v>6495</v>
      </c>
      <c r="J6504">
        <f t="shared" si="106"/>
        <v>105000</v>
      </c>
      <c r="K6504" t="e">
        <f>VLOOKUP(B6504,'REGISTRO ABONOS'!$B$8:$BC$10041,54,0)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hidden="1" x14ac:dyDescent="0.2">
      <c r="B6505" s="31">
        <v>6496</v>
      </c>
      <c r="J6505">
        <f t="shared" si="106"/>
        <v>105000</v>
      </c>
      <c r="K6505" t="e">
        <f>VLOOKUP(B6505,'REGISTRO ABONOS'!$B$8:$BC$10041,54,0)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hidden="1" x14ac:dyDescent="0.2">
      <c r="B6506" s="31">
        <v>6497</v>
      </c>
      <c r="J6506">
        <f t="shared" si="106"/>
        <v>105000</v>
      </c>
      <c r="K6506" t="e">
        <f>VLOOKUP(B6506,'REGISTRO ABONOS'!$B$8:$BC$10041,54,0)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hidden="1" x14ac:dyDescent="0.2">
      <c r="B6507" s="31">
        <v>6498</v>
      </c>
      <c r="J6507">
        <f t="shared" si="106"/>
        <v>105000</v>
      </c>
      <c r="K6507" t="e">
        <f>VLOOKUP(B6507,'REGISTRO ABONOS'!$B$8:$BC$10041,54,0)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hidden="1" x14ac:dyDescent="0.2">
      <c r="B6508" s="31">
        <v>6499</v>
      </c>
      <c r="J6508">
        <f t="shared" si="106"/>
        <v>105000</v>
      </c>
      <c r="K6508" t="e">
        <f>VLOOKUP(B6508,'REGISTRO ABONOS'!$B$8:$BC$10041,54,0)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hidden="1" x14ac:dyDescent="0.2">
      <c r="B6509" s="31">
        <v>6500</v>
      </c>
      <c r="J6509">
        <f t="shared" si="106"/>
        <v>105000</v>
      </c>
      <c r="K6509" t="e">
        <f>VLOOKUP(B6509,'REGISTRO ABONOS'!$B$8:$BC$10041,54,0)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hidden="1" x14ac:dyDescent="0.2">
      <c r="B6510" s="31">
        <v>6501</v>
      </c>
      <c r="J6510">
        <f t="shared" si="106"/>
        <v>105000</v>
      </c>
      <c r="K6510" t="e">
        <f>VLOOKUP(B6510,'REGISTRO ABONOS'!$B$8:$BC$10041,54,0)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hidden="1" x14ac:dyDescent="0.2">
      <c r="B6511" s="31">
        <v>6502</v>
      </c>
      <c r="J6511">
        <f t="shared" si="106"/>
        <v>105000</v>
      </c>
      <c r="K6511" t="e">
        <f>VLOOKUP(B6511,'REGISTRO ABONOS'!$B$8:$BC$10041,54,0)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hidden="1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ABONOS'!$B$8:$BC$10041,54,0)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hidden="1" x14ac:dyDescent="0.2">
      <c r="B6513" s="31">
        <v>6504</v>
      </c>
      <c r="J6513">
        <f t="shared" si="107"/>
        <v>105000</v>
      </c>
      <c r="K6513" t="e">
        <f>VLOOKUP(B6513,'REGISTRO ABONOS'!$B$8:$BC$10041,54,0)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hidden="1" x14ac:dyDescent="0.2">
      <c r="B6514" s="31">
        <v>6505</v>
      </c>
      <c r="J6514">
        <f t="shared" si="107"/>
        <v>105000</v>
      </c>
      <c r="K6514" t="e">
        <f>VLOOKUP(B6514,'REGISTRO ABONOS'!$B$8:$BC$10041,54,0)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hidden="1" x14ac:dyDescent="0.2">
      <c r="B6515" s="31">
        <v>6506</v>
      </c>
      <c r="J6515">
        <f t="shared" si="107"/>
        <v>105000</v>
      </c>
      <c r="K6515" t="e">
        <f>VLOOKUP(B6515,'REGISTRO ABONOS'!$B$8:$BC$10041,54,0)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hidden="1" x14ac:dyDescent="0.2">
      <c r="B6516" s="31">
        <v>6507</v>
      </c>
      <c r="J6516">
        <f t="shared" si="107"/>
        <v>105000</v>
      </c>
      <c r="K6516" t="e">
        <f>VLOOKUP(B6516,'REGISTRO ABONOS'!$B$8:$BC$10041,54,0)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hidden="1" x14ac:dyDescent="0.2">
      <c r="B6517" s="31">
        <v>6508</v>
      </c>
      <c r="J6517">
        <f t="shared" si="107"/>
        <v>105000</v>
      </c>
      <c r="K6517" t="e">
        <f>VLOOKUP(B6517,'REGISTRO ABONOS'!$B$8:$BC$10041,54,0)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hidden="1" x14ac:dyDescent="0.2">
      <c r="B6518" s="31">
        <v>6509</v>
      </c>
      <c r="J6518">
        <f t="shared" si="107"/>
        <v>105000</v>
      </c>
      <c r="K6518" t="e">
        <f>VLOOKUP(B6518,'REGISTRO ABONOS'!$B$8:$BC$10041,54,0)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hidden="1" x14ac:dyDescent="0.2">
      <c r="B6519" s="31">
        <v>6510</v>
      </c>
      <c r="J6519">
        <f t="shared" si="107"/>
        <v>105000</v>
      </c>
      <c r="K6519" t="e">
        <f>VLOOKUP(B6519,'REGISTRO ABONOS'!$B$8:$BC$10041,54,0)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hidden="1" x14ac:dyDescent="0.2">
      <c r="B6520" s="31">
        <v>6511</v>
      </c>
      <c r="J6520">
        <f t="shared" si="107"/>
        <v>105000</v>
      </c>
      <c r="K6520" t="e">
        <f>VLOOKUP(B6520,'REGISTRO ABONOS'!$B$8:$BC$10041,54,0)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hidden="1" x14ac:dyDescent="0.2">
      <c r="B6521" s="31">
        <v>6512</v>
      </c>
      <c r="J6521">
        <f t="shared" si="107"/>
        <v>105000</v>
      </c>
      <c r="K6521" t="e">
        <f>VLOOKUP(B6521,'REGISTRO ABONOS'!$B$8:$BC$10041,54,0)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hidden="1" x14ac:dyDescent="0.2">
      <c r="B6522" s="31">
        <v>6513</v>
      </c>
      <c r="J6522">
        <f t="shared" si="107"/>
        <v>105000</v>
      </c>
      <c r="K6522" t="e">
        <f>VLOOKUP(B6522,'REGISTRO ABONOS'!$B$8:$BC$10041,54,0)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hidden="1" x14ac:dyDescent="0.2">
      <c r="B6523" s="31">
        <v>6514</v>
      </c>
      <c r="J6523">
        <f t="shared" si="107"/>
        <v>105000</v>
      </c>
      <c r="K6523" t="e">
        <f>VLOOKUP(B6523,'REGISTRO ABONOS'!$B$8:$BC$10041,54,0)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hidden="1" x14ac:dyDescent="0.2">
      <c r="B6524" s="31">
        <v>6515</v>
      </c>
      <c r="J6524">
        <f t="shared" si="107"/>
        <v>105000</v>
      </c>
      <c r="K6524" t="e">
        <f>VLOOKUP(B6524,'REGISTRO ABONOS'!$B$8:$BC$10041,54,0)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hidden="1" x14ac:dyDescent="0.2">
      <c r="B6525" s="31">
        <v>6516</v>
      </c>
      <c r="J6525">
        <f t="shared" si="107"/>
        <v>105000</v>
      </c>
      <c r="K6525" t="e">
        <f>VLOOKUP(B6525,'REGISTRO ABONOS'!$B$8:$BC$10041,54,0)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hidden="1" x14ac:dyDescent="0.2">
      <c r="B6526" s="31">
        <v>6517</v>
      </c>
      <c r="J6526">
        <f t="shared" si="107"/>
        <v>105000</v>
      </c>
      <c r="K6526" t="e">
        <f>VLOOKUP(B6526,'REGISTRO ABONOS'!$B$8:$BC$10041,54,0)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hidden="1" x14ac:dyDescent="0.2">
      <c r="B6527" s="31">
        <v>6518</v>
      </c>
      <c r="J6527">
        <f t="shared" si="107"/>
        <v>105000</v>
      </c>
      <c r="K6527" t="e">
        <f>VLOOKUP(B6527,'REGISTRO ABONOS'!$B$8:$BC$10041,54,0)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hidden="1" x14ac:dyDescent="0.2">
      <c r="B6528" s="31">
        <v>6519</v>
      </c>
      <c r="J6528">
        <f t="shared" si="107"/>
        <v>105000</v>
      </c>
      <c r="K6528" t="e">
        <f>VLOOKUP(B6528,'REGISTRO ABONOS'!$B$8:$BC$10041,54,0)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hidden="1" x14ac:dyDescent="0.2">
      <c r="B6529" s="31">
        <v>6520</v>
      </c>
      <c r="J6529">
        <f t="shared" si="107"/>
        <v>105000</v>
      </c>
      <c r="K6529" t="e">
        <f>VLOOKUP(B6529,'REGISTRO ABONOS'!$B$8:$BC$10041,54,0)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hidden="1" x14ac:dyDescent="0.2">
      <c r="B6530" s="31">
        <v>6521</v>
      </c>
      <c r="J6530">
        <f t="shared" si="107"/>
        <v>105000</v>
      </c>
      <c r="K6530" t="e">
        <f>VLOOKUP(B6530,'REGISTRO ABONOS'!$B$8:$BC$10041,54,0)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hidden="1" x14ac:dyDescent="0.2">
      <c r="B6531" s="31">
        <v>6522</v>
      </c>
      <c r="J6531">
        <f t="shared" si="107"/>
        <v>105000</v>
      </c>
      <c r="K6531" t="e">
        <f>VLOOKUP(B6531,'REGISTRO ABONOS'!$B$8:$BC$10041,54,0)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hidden="1" x14ac:dyDescent="0.2">
      <c r="B6532" s="31">
        <v>6523</v>
      </c>
      <c r="J6532">
        <f t="shared" si="107"/>
        <v>105000</v>
      </c>
      <c r="K6532" t="e">
        <f>VLOOKUP(B6532,'REGISTRO ABONOS'!$B$8:$BC$10041,54,0)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hidden="1" x14ac:dyDescent="0.2">
      <c r="B6533" s="31">
        <v>6524</v>
      </c>
      <c r="J6533">
        <f t="shared" si="107"/>
        <v>105000</v>
      </c>
      <c r="K6533" t="e">
        <f>VLOOKUP(B6533,'REGISTRO ABONOS'!$B$8:$BC$10041,54,0)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hidden="1" x14ac:dyDescent="0.2">
      <c r="B6534" s="31">
        <v>6525</v>
      </c>
      <c r="J6534">
        <f t="shared" si="107"/>
        <v>105000</v>
      </c>
      <c r="K6534" t="e">
        <f>VLOOKUP(B6534,'REGISTRO ABONOS'!$B$8:$BC$10041,54,0)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hidden="1" x14ac:dyDescent="0.2">
      <c r="B6535" s="31">
        <v>6526</v>
      </c>
      <c r="J6535">
        <f t="shared" si="107"/>
        <v>105000</v>
      </c>
      <c r="K6535" t="e">
        <f>VLOOKUP(B6535,'REGISTRO ABONOS'!$B$8:$BC$10041,54,0)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hidden="1" x14ac:dyDescent="0.2">
      <c r="B6536" s="31">
        <v>6527</v>
      </c>
      <c r="J6536">
        <f t="shared" si="107"/>
        <v>105000</v>
      </c>
      <c r="K6536" t="e">
        <f>VLOOKUP(B6536,'REGISTRO ABONOS'!$B$8:$BC$10041,54,0)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hidden="1" x14ac:dyDescent="0.2">
      <c r="B6537" s="31">
        <v>6528</v>
      </c>
      <c r="J6537">
        <f t="shared" si="107"/>
        <v>105000</v>
      </c>
      <c r="K6537" t="e">
        <f>VLOOKUP(B6537,'REGISTRO ABONOS'!$B$8:$BC$10041,54,0)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hidden="1" x14ac:dyDescent="0.2">
      <c r="B6538" s="31">
        <v>6529</v>
      </c>
      <c r="J6538">
        <f t="shared" si="107"/>
        <v>105000</v>
      </c>
      <c r="K6538" t="e">
        <f>VLOOKUP(B6538,'REGISTRO ABONOS'!$B$8:$BC$10041,54,0)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hidden="1" x14ac:dyDescent="0.2">
      <c r="B6539" s="31">
        <v>6530</v>
      </c>
      <c r="J6539">
        <f t="shared" si="107"/>
        <v>105000</v>
      </c>
      <c r="K6539" t="e">
        <f>VLOOKUP(B6539,'REGISTRO ABONOS'!$B$8:$BC$10041,54,0)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hidden="1" x14ac:dyDescent="0.2">
      <c r="B6540" s="31">
        <v>6531</v>
      </c>
      <c r="J6540">
        <f t="shared" si="107"/>
        <v>105000</v>
      </c>
      <c r="K6540" t="e">
        <f>VLOOKUP(B6540,'REGISTRO ABONOS'!$B$8:$BC$10041,54,0)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hidden="1" x14ac:dyDescent="0.2">
      <c r="B6541" s="31">
        <v>6532</v>
      </c>
      <c r="J6541">
        <f t="shared" si="107"/>
        <v>105000</v>
      </c>
      <c r="K6541" t="e">
        <f>VLOOKUP(B6541,'REGISTRO ABONOS'!$B$8:$BC$10041,54,0)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hidden="1" x14ac:dyDescent="0.2">
      <c r="B6542" s="31">
        <v>6533</v>
      </c>
      <c r="J6542">
        <f t="shared" si="107"/>
        <v>105000</v>
      </c>
      <c r="K6542" t="e">
        <f>VLOOKUP(B6542,'REGISTRO ABONOS'!$B$8:$BC$10041,54,0)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hidden="1" x14ac:dyDescent="0.2">
      <c r="B6543" s="31">
        <v>6534</v>
      </c>
      <c r="J6543">
        <f t="shared" si="107"/>
        <v>105000</v>
      </c>
      <c r="K6543" t="e">
        <f>VLOOKUP(B6543,'REGISTRO ABONOS'!$B$8:$BC$10041,54,0)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hidden="1" x14ac:dyDescent="0.2">
      <c r="B6544" s="31">
        <v>6535</v>
      </c>
      <c r="J6544">
        <f t="shared" si="107"/>
        <v>105000</v>
      </c>
      <c r="K6544" t="e">
        <f>VLOOKUP(B6544,'REGISTRO ABONOS'!$B$8:$BC$10041,54,0)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hidden="1" x14ac:dyDescent="0.2">
      <c r="B6545" s="31">
        <v>6536</v>
      </c>
      <c r="J6545">
        <f t="shared" si="107"/>
        <v>105000</v>
      </c>
      <c r="K6545" t="e">
        <f>VLOOKUP(B6545,'REGISTRO ABONOS'!$B$8:$BC$10041,54,0)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hidden="1" x14ac:dyDescent="0.2">
      <c r="B6546" s="31">
        <v>6537</v>
      </c>
      <c r="J6546">
        <f t="shared" si="107"/>
        <v>105000</v>
      </c>
      <c r="K6546" t="e">
        <f>VLOOKUP(B6546,'REGISTRO ABONOS'!$B$8:$BC$10041,54,0)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hidden="1" x14ac:dyDescent="0.2">
      <c r="B6547" s="31">
        <v>6538</v>
      </c>
      <c r="J6547">
        <f t="shared" si="107"/>
        <v>105000</v>
      </c>
      <c r="K6547" t="e">
        <f>VLOOKUP(B6547,'REGISTRO ABONOS'!$B$8:$BC$10041,54,0)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hidden="1" x14ac:dyDescent="0.2">
      <c r="B6548" s="31">
        <v>6539</v>
      </c>
      <c r="J6548">
        <f t="shared" si="107"/>
        <v>105000</v>
      </c>
      <c r="K6548" t="e">
        <f>VLOOKUP(B6548,'REGISTRO ABONOS'!$B$8:$BC$10041,54,0)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hidden="1" x14ac:dyDescent="0.2">
      <c r="B6549" s="31">
        <v>6540</v>
      </c>
      <c r="J6549">
        <f t="shared" si="107"/>
        <v>105000</v>
      </c>
      <c r="K6549" t="e">
        <f>VLOOKUP(B6549,'REGISTRO ABONOS'!$B$8:$BC$10041,54,0)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hidden="1" x14ac:dyDescent="0.2">
      <c r="B6550" s="31">
        <v>6541</v>
      </c>
      <c r="J6550">
        <f t="shared" si="107"/>
        <v>105000</v>
      </c>
      <c r="K6550" t="e">
        <f>VLOOKUP(B6550,'REGISTRO ABONOS'!$B$8:$BC$10041,54,0)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hidden="1" x14ac:dyDescent="0.2">
      <c r="B6551" s="31">
        <v>6542</v>
      </c>
      <c r="J6551">
        <f t="shared" si="107"/>
        <v>105000</v>
      </c>
      <c r="K6551" t="e">
        <f>VLOOKUP(B6551,'REGISTRO ABONOS'!$B$8:$BC$10041,54,0)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hidden="1" x14ac:dyDescent="0.2">
      <c r="B6552" s="31">
        <v>6543</v>
      </c>
      <c r="J6552">
        <f t="shared" si="107"/>
        <v>105000</v>
      </c>
      <c r="K6552" t="e">
        <f>VLOOKUP(B6552,'REGISTRO ABONOS'!$B$8:$BC$10041,54,0)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hidden="1" x14ac:dyDescent="0.2">
      <c r="B6553" s="31">
        <v>6544</v>
      </c>
      <c r="J6553">
        <f t="shared" si="107"/>
        <v>105000</v>
      </c>
      <c r="K6553" t="e">
        <f>VLOOKUP(B6553,'REGISTRO ABONOS'!$B$8:$BC$10041,54,0)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hidden="1" x14ac:dyDescent="0.2">
      <c r="B6554" s="31">
        <v>6545</v>
      </c>
      <c r="J6554">
        <f t="shared" si="107"/>
        <v>105000</v>
      </c>
      <c r="K6554" t="e">
        <f>VLOOKUP(B6554,'REGISTRO ABONOS'!$B$8:$BC$10041,54,0)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hidden="1" x14ac:dyDescent="0.2">
      <c r="B6555" s="31">
        <v>6546</v>
      </c>
      <c r="J6555">
        <f t="shared" si="107"/>
        <v>105000</v>
      </c>
      <c r="K6555" t="e">
        <f>VLOOKUP(B6555,'REGISTRO ABONOS'!$B$8:$BC$10041,54,0)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hidden="1" x14ac:dyDescent="0.2">
      <c r="B6556" s="31">
        <v>6547</v>
      </c>
      <c r="J6556">
        <f t="shared" si="107"/>
        <v>105000</v>
      </c>
      <c r="K6556" t="e">
        <f>VLOOKUP(B6556,'REGISTRO ABONOS'!$B$8:$BC$10041,54,0)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hidden="1" x14ac:dyDescent="0.2">
      <c r="B6557" s="31">
        <v>6548</v>
      </c>
      <c r="J6557">
        <f t="shared" si="107"/>
        <v>105000</v>
      </c>
      <c r="K6557" t="e">
        <f>VLOOKUP(B6557,'REGISTRO ABONOS'!$B$8:$BC$10041,54,0)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hidden="1" x14ac:dyDescent="0.2">
      <c r="B6558" s="31">
        <v>6549</v>
      </c>
      <c r="J6558">
        <f t="shared" si="107"/>
        <v>105000</v>
      </c>
      <c r="K6558" t="e">
        <f>VLOOKUP(B6558,'REGISTRO ABONOS'!$B$8:$BC$10041,54,0)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hidden="1" x14ac:dyDescent="0.2">
      <c r="B6559" s="31">
        <v>6550</v>
      </c>
      <c r="J6559">
        <f t="shared" si="107"/>
        <v>105000</v>
      </c>
      <c r="K6559" t="e">
        <f>VLOOKUP(B6559,'REGISTRO ABONOS'!$B$8:$BC$10041,54,0)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hidden="1" x14ac:dyDescent="0.2">
      <c r="B6560" s="31">
        <v>6551</v>
      </c>
      <c r="J6560">
        <f t="shared" si="107"/>
        <v>105000</v>
      </c>
      <c r="K6560" t="e">
        <f>VLOOKUP(B6560,'REGISTRO ABONOS'!$B$8:$BC$10041,54,0)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hidden="1" x14ac:dyDescent="0.2">
      <c r="B6561" s="31">
        <v>6552</v>
      </c>
      <c r="J6561">
        <f t="shared" si="107"/>
        <v>105000</v>
      </c>
      <c r="K6561" t="e">
        <f>VLOOKUP(B6561,'REGISTRO ABONOS'!$B$8:$BC$10041,54,0)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hidden="1" x14ac:dyDescent="0.2">
      <c r="B6562" s="31">
        <v>6553</v>
      </c>
      <c r="J6562">
        <f t="shared" si="107"/>
        <v>105000</v>
      </c>
      <c r="K6562" t="e">
        <f>VLOOKUP(B6562,'REGISTRO ABONOS'!$B$8:$BC$10041,54,0)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hidden="1" x14ac:dyDescent="0.2">
      <c r="B6563" s="31">
        <v>6554</v>
      </c>
      <c r="J6563">
        <f t="shared" si="107"/>
        <v>105000</v>
      </c>
      <c r="K6563" t="e">
        <f>VLOOKUP(B6563,'REGISTRO ABONOS'!$B$8:$BC$10041,54,0)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hidden="1" x14ac:dyDescent="0.2">
      <c r="B6564" s="31">
        <v>6555</v>
      </c>
      <c r="J6564">
        <f t="shared" si="107"/>
        <v>105000</v>
      </c>
      <c r="K6564" t="e">
        <f>VLOOKUP(B6564,'REGISTRO ABONOS'!$B$8:$BC$10041,54,0)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hidden="1" x14ac:dyDescent="0.2">
      <c r="B6565" s="31">
        <v>6556</v>
      </c>
      <c r="J6565">
        <f t="shared" si="107"/>
        <v>105000</v>
      </c>
      <c r="K6565" t="e">
        <f>VLOOKUP(B6565,'REGISTRO ABONOS'!$B$8:$BC$10041,54,0)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hidden="1" x14ac:dyDescent="0.2">
      <c r="B6566" s="31">
        <v>6557</v>
      </c>
      <c r="J6566">
        <f t="shared" si="107"/>
        <v>105000</v>
      </c>
      <c r="K6566" t="e">
        <f>VLOOKUP(B6566,'REGISTRO ABONOS'!$B$8:$BC$10041,54,0)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hidden="1" x14ac:dyDescent="0.2">
      <c r="B6567" s="31">
        <v>6558</v>
      </c>
      <c r="J6567">
        <f t="shared" si="107"/>
        <v>105000</v>
      </c>
      <c r="K6567" t="e">
        <f>VLOOKUP(B6567,'REGISTRO ABONOS'!$B$8:$BC$10041,54,0)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hidden="1" x14ac:dyDescent="0.2">
      <c r="B6568" s="31">
        <v>6559</v>
      </c>
      <c r="J6568">
        <f t="shared" si="107"/>
        <v>105000</v>
      </c>
      <c r="K6568" t="e">
        <f>VLOOKUP(B6568,'REGISTRO ABONOS'!$B$8:$BC$10041,54,0)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hidden="1" x14ac:dyDescent="0.2">
      <c r="B6569" s="31">
        <v>6560</v>
      </c>
      <c r="J6569">
        <f t="shared" si="107"/>
        <v>105000</v>
      </c>
      <c r="K6569" t="e">
        <f>VLOOKUP(B6569,'REGISTRO ABONOS'!$B$8:$BC$10041,54,0)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hidden="1" x14ac:dyDescent="0.2">
      <c r="B6570" s="31">
        <v>6561</v>
      </c>
      <c r="J6570">
        <f t="shared" si="107"/>
        <v>105000</v>
      </c>
      <c r="K6570" t="e">
        <f>VLOOKUP(B6570,'REGISTRO ABONOS'!$B$8:$BC$10041,54,0)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hidden="1" x14ac:dyDescent="0.2">
      <c r="B6571" s="31">
        <v>6562</v>
      </c>
      <c r="J6571">
        <f t="shared" si="107"/>
        <v>105000</v>
      </c>
      <c r="K6571" t="e">
        <f>VLOOKUP(B6571,'REGISTRO ABONOS'!$B$8:$BC$10041,54,0)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hidden="1" x14ac:dyDescent="0.2">
      <c r="B6572" s="31">
        <v>6563</v>
      </c>
      <c r="J6572">
        <f t="shared" si="107"/>
        <v>105000</v>
      </c>
      <c r="K6572" t="e">
        <f>VLOOKUP(B6572,'REGISTRO ABONOS'!$B$8:$BC$10041,54,0)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hidden="1" x14ac:dyDescent="0.2">
      <c r="B6573" s="31">
        <v>6564</v>
      </c>
      <c r="J6573">
        <f t="shared" si="107"/>
        <v>105000</v>
      </c>
      <c r="K6573" t="e">
        <f>VLOOKUP(B6573,'REGISTRO ABONOS'!$B$8:$BC$10041,54,0)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hidden="1" x14ac:dyDescent="0.2">
      <c r="B6574" s="31">
        <v>6565</v>
      </c>
      <c r="J6574">
        <f t="shared" si="107"/>
        <v>105000</v>
      </c>
      <c r="K6574" t="e">
        <f>VLOOKUP(B6574,'REGISTRO ABONOS'!$B$8:$BC$10041,54,0)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hidden="1" x14ac:dyDescent="0.2">
      <c r="B6575" s="31">
        <v>6566</v>
      </c>
      <c r="J6575">
        <f t="shared" si="107"/>
        <v>105000</v>
      </c>
      <c r="K6575" t="e">
        <f>VLOOKUP(B6575,'REGISTRO ABONOS'!$B$8:$BC$10041,54,0)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hidden="1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ABONOS'!$B$8:$BC$10041,54,0)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hidden="1" x14ac:dyDescent="0.2">
      <c r="B6577" s="31">
        <v>6568</v>
      </c>
      <c r="J6577">
        <f t="shared" si="108"/>
        <v>105000</v>
      </c>
      <c r="K6577" t="e">
        <f>VLOOKUP(B6577,'REGISTRO ABONOS'!$B$8:$BC$10041,54,0)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hidden="1" x14ac:dyDescent="0.2">
      <c r="B6578" s="31">
        <v>6569</v>
      </c>
      <c r="J6578">
        <f t="shared" si="108"/>
        <v>105000</v>
      </c>
      <c r="K6578" t="e">
        <f>VLOOKUP(B6578,'REGISTRO ABONOS'!$B$8:$BC$10041,54,0)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hidden="1" x14ac:dyDescent="0.2">
      <c r="B6579" s="31">
        <v>6570</v>
      </c>
      <c r="J6579">
        <f t="shared" si="108"/>
        <v>105000</v>
      </c>
      <c r="K6579" t="e">
        <f>VLOOKUP(B6579,'REGISTRO ABONOS'!$B$8:$BC$10041,54,0)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hidden="1" x14ac:dyDescent="0.2">
      <c r="B6580" s="31">
        <v>6571</v>
      </c>
      <c r="J6580">
        <f t="shared" si="108"/>
        <v>105000</v>
      </c>
      <c r="K6580" t="e">
        <f>VLOOKUP(B6580,'REGISTRO ABONOS'!$B$8:$BC$10041,54,0)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hidden="1" x14ac:dyDescent="0.2">
      <c r="B6581" s="31">
        <v>6572</v>
      </c>
      <c r="J6581">
        <f t="shared" si="108"/>
        <v>105000</v>
      </c>
      <c r="K6581" t="e">
        <f>VLOOKUP(B6581,'REGISTRO ABONOS'!$B$8:$BC$10041,54,0)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hidden="1" x14ac:dyDescent="0.2">
      <c r="B6582" s="31">
        <v>6573</v>
      </c>
      <c r="J6582">
        <f t="shared" si="108"/>
        <v>105000</v>
      </c>
      <c r="K6582" t="e">
        <f>VLOOKUP(B6582,'REGISTRO ABONOS'!$B$8:$BC$10041,54,0)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hidden="1" x14ac:dyDescent="0.2">
      <c r="B6583" s="31">
        <v>6574</v>
      </c>
      <c r="J6583">
        <f t="shared" si="108"/>
        <v>105000</v>
      </c>
      <c r="K6583" t="e">
        <f>VLOOKUP(B6583,'REGISTRO ABONOS'!$B$8:$BC$10041,54,0)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hidden="1" x14ac:dyDescent="0.2">
      <c r="B6584" s="31">
        <v>6575</v>
      </c>
      <c r="J6584">
        <f t="shared" si="108"/>
        <v>105000</v>
      </c>
      <c r="K6584" t="e">
        <f>VLOOKUP(B6584,'REGISTRO ABONOS'!$B$8:$BC$10041,54,0)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hidden="1" x14ac:dyDescent="0.2">
      <c r="B6585" s="31">
        <v>6576</v>
      </c>
      <c r="J6585">
        <f t="shared" si="108"/>
        <v>105000</v>
      </c>
      <c r="K6585" t="e">
        <f>VLOOKUP(B6585,'REGISTRO ABONOS'!$B$8:$BC$10041,54,0)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hidden="1" x14ac:dyDescent="0.2">
      <c r="B6586" s="31">
        <v>6577</v>
      </c>
      <c r="J6586">
        <f t="shared" si="108"/>
        <v>105000</v>
      </c>
      <c r="K6586" t="e">
        <f>VLOOKUP(B6586,'REGISTRO ABONOS'!$B$8:$BC$10041,54,0)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hidden="1" x14ac:dyDescent="0.2">
      <c r="B6587" s="31">
        <v>6578</v>
      </c>
      <c r="J6587">
        <f t="shared" si="108"/>
        <v>105000</v>
      </c>
      <c r="K6587" t="e">
        <f>VLOOKUP(B6587,'REGISTRO ABONOS'!$B$8:$BC$10041,54,0)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hidden="1" x14ac:dyDescent="0.2">
      <c r="B6588" s="31">
        <v>6579</v>
      </c>
      <c r="J6588">
        <f t="shared" si="108"/>
        <v>105000</v>
      </c>
      <c r="K6588" t="e">
        <f>VLOOKUP(B6588,'REGISTRO ABONOS'!$B$8:$BC$10041,54,0)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hidden="1" x14ac:dyDescent="0.2">
      <c r="B6589" s="31">
        <v>6580</v>
      </c>
      <c r="J6589">
        <f t="shared" si="108"/>
        <v>105000</v>
      </c>
      <c r="K6589" t="e">
        <f>VLOOKUP(B6589,'REGISTRO ABONOS'!$B$8:$BC$10041,54,0)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hidden="1" x14ac:dyDescent="0.2">
      <c r="B6590" s="31">
        <v>6581</v>
      </c>
      <c r="J6590">
        <f t="shared" si="108"/>
        <v>105000</v>
      </c>
      <c r="K6590" t="e">
        <f>VLOOKUP(B6590,'REGISTRO ABONOS'!$B$8:$BC$10041,54,0)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hidden="1" x14ac:dyDescent="0.2">
      <c r="B6591" s="31">
        <v>6582</v>
      </c>
      <c r="J6591">
        <f t="shared" si="108"/>
        <v>105000</v>
      </c>
      <c r="K6591" t="e">
        <f>VLOOKUP(B6591,'REGISTRO ABONOS'!$B$8:$BC$10041,54,0)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hidden="1" x14ac:dyDescent="0.2">
      <c r="B6592" s="31">
        <v>6583</v>
      </c>
      <c r="J6592">
        <f t="shared" si="108"/>
        <v>105000</v>
      </c>
      <c r="K6592" t="e">
        <f>VLOOKUP(B6592,'REGISTRO ABONOS'!$B$8:$BC$10041,54,0)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hidden="1" x14ac:dyDescent="0.2">
      <c r="B6593" s="31">
        <v>6584</v>
      </c>
      <c r="J6593">
        <f t="shared" si="108"/>
        <v>105000</v>
      </c>
      <c r="K6593" t="e">
        <f>VLOOKUP(B6593,'REGISTRO ABONOS'!$B$8:$BC$10041,54,0)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hidden="1" x14ac:dyDescent="0.2">
      <c r="B6594" s="31">
        <v>6585</v>
      </c>
      <c r="J6594">
        <f t="shared" si="108"/>
        <v>105000</v>
      </c>
      <c r="K6594" t="e">
        <f>VLOOKUP(B6594,'REGISTRO ABONOS'!$B$8:$BC$10041,54,0)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hidden="1" x14ac:dyDescent="0.2">
      <c r="B6595" s="31">
        <v>6586</v>
      </c>
      <c r="J6595">
        <f t="shared" si="108"/>
        <v>105000</v>
      </c>
      <c r="K6595" t="e">
        <f>VLOOKUP(B6595,'REGISTRO ABONOS'!$B$8:$BC$10041,54,0)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hidden="1" x14ac:dyDescent="0.2">
      <c r="B6596" s="31">
        <v>6587</v>
      </c>
      <c r="J6596">
        <f t="shared" si="108"/>
        <v>105000</v>
      </c>
      <c r="K6596" t="e">
        <f>VLOOKUP(B6596,'REGISTRO ABONOS'!$B$8:$BC$10041,54,0)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hidden="1" x14ac:dyDescent="0.2">
      <c r="B6597" s="31">
        <v>6588</v>
      </c>
      <c r="J6597">
        <f t="shared" si="108"/>
        <v>105000</v>
      </c>
      <c r="K6597" t="e">
        <f>VLOOKUP(B6597,'REGISTRO ABONOS'!$B$8:$BC$10041,54,0)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hidden="1" x14ac:dyDescent="0.2">
      <c r="B6598" s="31">
        <v>6589</v>
      </c>
      <c r="J6598">
        <f t="shared" si="108"/>
        <v>105000</v>
      </c>
      <c r="K6598" t="e">
        <f>VLOOKUP(B6598,'REGISTRO ABONOS'!$B$8:$BC$10041,54,0)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hidden="1" x14ac:dyDescent="0.2">
      <c r="B6599" s="31">
        <v>6590</v>
      </c>
      <c r="J6599">
        <f t="shared" si="108"/>
        <v>105000</v>
      </c>
      <c r="K6599" t="e">
        <f>VLOOKUP(B6599,'REGISTRO ABONOS'!$B$8:$BC$10041,54,0)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hidden="1" x14ac:dyDescent="0.2">
      <c r="B6600" s="31">
        <v>6591</v>
      </c>
      <c r="J6600">
        <f t="shared" si="108"/>
        <v>105000</v>
      </c>
      <c r="K6600" t="e">
        <f>VLOOKUP(B6600,'REGISTRO ABONOS'!$B$8:$BC$10041,54,0)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hidden="1" x14ac:dyDescent="0.2">
      <c r="B6601" s="31">
        <v>6592</v>
      </c>
      <c r="J6601">
        <f t="shared" si="108"/>
        <v>105000</v>
      </c>
      <c r="K6601" t="e">
        <f>VLOOKUP(B6601,'REGISTRO ABONOS'!$B$8:$BC$10041,54,0)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hidden="1" x14ac:dyDescent="0.2">
      <c r="B6602" s="31">
        <v>6593</v>
      </c>
      <c r="J6602">
        <f t="shared" si="108"/>
        <v>105000</v>
      </c>
      <c r="K6602" t="e">
        <f>VLOOKUP(B6602,'REGISTRO ABONOS'!$B$8:$BC$10041,54,0)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hidden="1" x14ac:dyDescent="0.2">
      <c r="B6603" s="31">
        <v>6594</v>
      </c>
      <c r="J6603">
        <f t="shared" si="108"/>
        <v>105000</v>
      </c>
      <c r="K6603" t="e">
        <f>VLOOKUP(B6603,'REGISTRO ABONOS'!$B$8:$BC$10041,54,0)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hidden="1" x14ac:dyDescent="0.2">
      <c r="B6604" s="31">
        <v>6595</v>
      </c>
      <c r="J6604">
        <f t="shared" si="108"/>
        <v>105000</v>
      </c>
      <c r="K6604" t="e">
        <f>VLOOKUP(B6604,'REGISTRO ABONOS'!$B$8:$BC$10041,54,0)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hidden="1" x14ac:dyDescent="0.2">
      <c r="B6605" s="31">
        <v>6596</v>
      </c>
      <c r="J6605">
        <f t="shared" si="108"/>
        <v>105000</v>
      </c>
      <c r="K6605" t="e">
        <f>VLOOKUP(B6605,'REGISTRO ABONOS'!$B$8:$BC$10041,54,0)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hidden="1" x14ac:dyDescent="0.2">
      <c r="B6606" s="31">
        <v>6597</v>
      </c>
      <c r="J6606">
        <f t="shared" si="108"/>
        <v>105000</v>
      </c>
      <c r="K6606" t="e">
        <f>VLOOKUP(B6606,'REGISTRO ABONOS'!$B$8:$BC$10041,54,0)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hidden="1" x14ac:dyDescent="0.2">
      <c r="B6607" s="31">
        <v>6598</v>
      </c>
      <c r="J6607">
        <f t="shared" si="108"/>
        <v>105000</v>
      </c>
      <c r="K6607" t="e">
        <f>VLOOKUP(B6607,'REGISTRO ABONOS'!$B$8:$BC$10041,54,0)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hidden="1" x14ac:dyDescent="0.2">
      <c r="B6608" s="31">
        <v>6599</v>
      </c>
      <c r="J6608">
        <f t="shared" si="108"/>
        <v>105000</v>
      </c>
      <c r="K6608" t="e">
        <f>VLOOKUP(B6608,'REGISTRO ABONOS'!$B$8:$BC$10041,54,0)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hidden="1" x14ac:dyDescent="0.2">
      <c r="B6609" s="31">
        <v>6600</v>
      </c>
      <c r="J6609">
        <f t="shared" si="108"/>
        <v>105000</v>
      </c>
      <c r="K6609" t="e">
        <f>VLOOKUP(B6609,'REGISTRO ABONOS'!$B$8:$BC$10041,54,0)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hidden="1" x14ac:dyDescent="0.2">
      <c r="B6610" s="31">
        <v>6601</v>
      </c>
      <c r="J6610">
        <f t="shared" si="108"/>
        <v>105000</v>
      </c>
      <c r="K6610" t="e">
        <f>VLOOKUP(B6610,'REGISTRO ABONOS'!$B$8:$BC$10041,54,0)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hidden="1" x14ac:dyDescent="0.2">
      <c r="B6611" s="31">
        <v>6602</v>
      </c>
      <c r="J6611">
        <f t="shared" si="108"/>
        <v>105000</v>
      </c>
      <c r="K6611" t="e">
        <f>VLOOKUP(B6611,'REGISTRO ABONOS'!$B$8:$BC$10041,54,0)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hidden="1" x14ac:dyDescent="0.2">
      <c r="B6612" s="31">
        <v>6603</v>
      </c>
      <c r="J6612">
        <f t="shared" si="108"/>
        <v>105000</v>
      </c>
      <c r="K6612" t="e">
        <f>VLOOKUP(B6612,'REGISTRO ABONOS'!$B$8:$BC$10041,54,0)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hidden="1" x14ac:dyDescent="0.2">
      <c r="B6613" s="31">
        <v>6604</v>
      </c>
      <c r="J6613">
        <f t="shared" si="108"/>
        <v>105000</v>
      </c>
      <c r="K6613" t="e">
        <f>VLOOKUP(B6613,'REGISTRO ABONOS'!$B$8:$BC$10041,54,0)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hidden="1" x14ac:dyDescent="0.2">
      <c r="B6614" s="31">
        <v>6605</v>
      </c>
      <c r="J6614">
        <f t="shared" si="108"/>
        <v>105000</v>
      </c>
      <c r="K6614" t="e">
        <f>VLOOKUP(B6614,'REGISTRO ABONOS'!$B$8:$BC$10041,54,0)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hidden="1" x14ac:dyDescent="0.2">
      <c r="B6615" s="31">
        <v>6606</v>
      </c>
      <c r="J6615">
        <f t="shared" si="108"/>
        <v>105000</v>
      </c>
      <c r="K6615" t="e">
        <f>VLOOKUP(B6615,'REGISTRO ABONOS'!$B$8:$BC$10041,54,0)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hidden="1" x14ac:dyDescent="0.2">
      <c r="B6616" s="31">
        <v>6607</v>
      </c>
      <c r="J6616">
        <f t="shared" si="108"/>
        <v>105000</v>
      </c>
      <c r="K6616" t="e">
        <f>VLOOKUP(B6616,'REGISTRO ABONOS'!$B$8:$BC$10041,54,0)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hidden="1" x14ac:dyDescent="0.2">
      <c r="B6617" s="31">
        <v>6608</v>
      </c>
      <c r="J6617">
        <f t="shared" si="108"/>
        <v>105000</v>
      </c>
      <c r="K6617" t="e">
        <f>VLOOKUP(B6617,'REGISTRO ABONOS'!$B$8:$BC$10041,54,0)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hidden="1" x14ac:dyDescent="0.2">
      <c r="B6618" s="31">
        <v>6609</v>
      </c>
      <c r="J6618">
        <f t="shared" si="108"/>
        <v>105000</v>
      </c>
      <c r="K6618" t="e">
        <f>VLOOKUP(B6618,'REGISTRO ABONOS'!$B$8:$BC$10041,54,0)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hidden="1" x14ac:dyDescent="0.2">
      <c r="B6619" s="31">
        <v>6610</v>
      </c>
      <c r="J6619">
        <f t="shared" si="108"/>
        <v>105000</v>
      </c>
      <c r="K6619" t="e">
        <f>VLOOKUP(B6619,'REGISTRO ABONOS'!$B$8:$BC$10041,54,0)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hidden="1" x14ac:dyDescent="0.2">
      <c r="B6620" s="31">
        <v>6611</v>
      </c>
      <c r="J6620">
        <f t="shared" si="108"/>
        <v>105000</v>
      </c>
      <c r="K6620" t="e">
        <f>VLOOKUP(B6620,'REGISTRO ABONOS'!$B$8:$BC$10041,54,0)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hidden="1" x14ac:dyDescent="0.2">
      <c r="B6621" s="31">
        <v>6612</v>
      </c>
      <c r="J6621">
        <f t="shared" si="108"/>
        <v>105000</v>
      </c>
      <c r="K6621" t="e">
        <f>VLOOKUP(B6621,'REGISTRO ABONOS'!$B$8:$BC$10041,54,0)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hidden="1" x14ac:dyDescent="0.2">
      <c r="B6622" s="31">
        <v>6613</v>
      </c>
      <c r="J6622">
        <f t="shared" si="108"/>
        <v>105000</v>
      </c>
      <c r="K6622" t="e">
        <f>VLOOKUP(B6622,'REGISTRO ABONOS'!$B$8:$BC$10041,54,0)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hidden="1" x14ac:dyDescent="0.2">
      <c r="B6623" s="31">
        <v>6614</v>
      </c>
      <c r="J6623">
        <f t="shared" si="108"/>
        <v>105000</v>
      </c>
      <c r="K6623" t="e">
        <f>VLOOKUP(B6623,'REGISTRO ABONOS'!$B$8:$BC$10041,54,0)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hidden="1" x14ac:dyDescent="0.2">
      <c r="B6624" s="31">
        <v>6615</v>
      </c>
      <c r="J6624">
        <f t="shared" si="108"/>
        <v>105000</v>
      </c>
      <c r="K6624" t="e">
        <f>VLOOKUP(B6624,'REGISTRO ABONOS'!$B$8:$BC$10041,54,0)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hidden="1" x14ac:dyDescent="0.2">
      <c r="B6625" s="31">
        <v>6616</v>
      </c>
      <c r="J6625">
        <f t="shared" si="108"/>
        <v>105000</v>
      </c>
      <c r="K6625" t="e">
        <f>VLOOKUP(B6625,'REGISTRO ABONOS'!$B$8:$BC$10041,54,0)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hidden="1" x14ac:dyDescent="0.2">
      <c r="B6626" s="31">
        <v>6617</v>
      </c>
      <c r="J6626">
        <f t="shared" si="108"/>
        <v>105000</v>
      </c>
      <c r="K6626" t="e">
        <f>VLOOKUP(B6626,'REGISTRO ABONOS'!$B$8:$BC$10041,54,0)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hidden="1" x14ac:dyDescent="0.2">
      <c r="B6627" s="31">
        <v>6618</v>
      </c>
      <c r="J6627">
        <f t="shared" si="108"/>
        <v>105000</v>
      </c>
      <c r="K6627" t="e">
        <f>VLOOKUP(B6627,'REGISTRO ABONOS'!$B$8:$BC$10041,54,0)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hidden="1" x14ac:dyDescent="0.2">
      <c r="B6628" s="31">
        <v>6619</v>
      </c>
      <c r="J6628">
        <f t="shared" si="108"/>
        <v>105000</v>
      </c>
      <c r="K6628" t="e">
        <f>VLOOKUP(B6628,'REGISTRO ABONOS'!$B$8:$BC$10041,54,0)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hidden="1" x14ac:dyDescent="0.2">
      <c r="B6629" s="31">
        <v>6620</v>
      </c>
      <c r="J6629">
        <f t="shared" si="108"/>
        <v>105000</v>
      </c>
      <c r="K6629" t="e">
        <f>VLOOKUP(B6629,'REGISTRO ABONOS'!$B$8:$BC$10041,54,0)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hidden="1" x14ac:dyDescent="0.2">
      <c r="B6630" s="31">
        <v>6621</v>
      </c>
      <c r="J6630">
        <f t="shared" si="108"/>
        <v>105000</v>
      </c>
      <c r="K6630" t="e">
        <f>VLOOKUP(B6630,'REGISTRO ABONOS'!$B$8:$BC$10041,54,0)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hidden="1" x14ac:dyDescent="0.2">
      <c r="B6631" s="31">
        <v>6622</v>
      </c>
      <c r="J6631">
        <f t="shared" si="108"/>
        <v>105000</v>
      </c>
      <c r="K6631" t="e">
        <f>VLOOKUP(B6631,'REGISTRO ABONOS'!$B$8:$BC$10041,54,0)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hidden="1" x14ac:dyDescent="0.2">
      <c r="B6632" s="31">
        <v>6623</v>
      </c>
      <c r="J6632">
        <f t="shared" si="108"/>
        <v>105000</v>
      </c>
      <c r="K6632" t="e">
        <f>VLOOKUP(B6632,'REGISTRO ABONOS'!$B$8:$BC$10041,54,0)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hidden="1" x14ac:dyDescent="0.2">
      <c r="B6633" s="31">
        <v>6624</v>
      </c>
      <c r="J6633">
        <f t="shared" si="108"/>
        <v>105000</v>
      </c>
      <c r="K6633" t="e">
        <f>VLOOKUP(B6633,'REGISTRO ABONOS'!$B$8:$BC$10041,54,0)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hidden="1" x14ac:dyDescent="0.2">
      <c r="B6634" s="31">
        <v>6625</v>
      </c>
      <c r="J6634">
        <f t="shared" si="108"/>
        <v>105000</v>
      </c>
      <c r="K6634" t="e">
        <f>VLOOKUP(B6634,'REGISTRO ABONOS'!$B$8:$BC$10041,54,0)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hidden="1" x14ac:dyDescent="0.2">
      <c r="B6635" s="31">
        <v>6626</v>
      </c>
      <c r="J6635">
        <f t="shared" si="108"/>
        <v>105000</v>
      </c>
      <c r="K6635" t="e">
        <f>VLOOKUP(B6635,'REGISTRO ABONOS'!$B$8:$BC$10041,54,0)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hidden="1" x14ac:dyDescent="0.2">
      <c r="B6636" s="31">
        <v>6627</v>
      </c>
      <c r="J6636">
        <f t="shared" si="108"/>
        <v>105000</v>
      </c>
      <c r="K6636" t="e">
        <f>VLOOKUP(B6636,'REGISTRO ABONOS'!$B$8:$BC$10041,54,0)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hidden="1" x14ac:dyDescent="0.2">
      <c r="B6637" s="31">
        <v>6628</v>
      </c>
      <c r="J6637">
        <f t="shared" si="108"/>
        <v>105000</v>
      </c>
      <c r="K6637" t="e">
        <f>VLOOKUP(B6637,'REGISTRO ABONOS'!$B$8:$BC$10041,54,0)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hidden="1" x14ac:dyDescent="0.2">
      <c r="B6638" s="31">
        <v>6629</v>
      </c>
      <c r="J6638">
        <f t="shared" si="108"/>
        <v>105000</v>
      </c>
      <c r="K6638" t="e">
        <f>VLOOKUP(B6638,'REGISTRO ABONOS'!$B$8:$BC$10041,54,0)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hidden="1" x14ac:dyDescent="0.2">
      <c r="B6639" s="31">
        <v>6630</v>
      </c>
      <c r="J6639">
        <f t="shared" si="108"/>
        <v>105000</v>
      </c>
      <c r="K6639" t="e">
        <f>VLOOKUP(B6639,'REGISTRO ABONOS'!$B$8:$BC$10041,54,0)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hidden="1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ABONOS'!$B$8:$BC$10041,54,0)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hidden="1" x14ac:dyDescent="0.2">
      <c r="B6641" s="31">
        <v>6632</v>
      </c>
      <c r="J6641">
        <f t="shared" si="109"/>
        <v>105000</v>
      </c>
      <c r="K6641" t="e">
        <f>VLOOKUP(B6641,'REGISTRO ABONOS'!$B$8:$BC$10041,54,0)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hidden="1" x14ac:dyDescent="0.2">
      <c r="B6642" s="31">
        <v>6633</v>
      </c>
      <c r="J6642">
        <f t="shared" si="109"/>
        <v>105000</v>
      </c>
      <c r="K6642" t="e">
        <f>VLOOKUP(B6642,'REGISTRO ABONOS'!$B$8:$BC$10041,54,0)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hidden="1" x14ac:dyDescent="0.2">
      <c r="B6643" s="31">
        <v>6634</v>
      </c>
      <c r="J6643">
        <f t="shared" si="109"/>
        <v>105000</v>
      </c>
      <c r="K6643" t="e">
        <f>VLOOKUP(B6643,'REGISTRO ABONOS'!$B$8:$BC$10041,54,0)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hidden="1" x14ac:dyDescent="0.2">
      <c r="B6644" s="31">
        <v>6635</v>
      </c>
      <c r="J6644">
        <f t="shared" si="109"/>
        <v>105000</v>
      </c>
      <c r="K6644" t="e">
        <f>VLOOKUP(B6644,'REGISTRO ABONOS'!$B$8:$BC$10041,54,0)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hidden="1" x14ac:dyDescent="0.2">
      <c r="B6645" s="31">
        <v>6636</v>
      </c>
      <c r="J6645">
        <f t="shared" si="109"/>
        <v>105000</v>
      </c>
      <c r="K6645" t="e">
        <f>VLOOKUP(B6645,'REGISTRO ABONOS'!$B$8:$BC$10041,54,0)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hidden="1" x14ac:dyDescent="0.2">
      <c r="B6646" s="31">
        <v>6637</v>
      </c>
      <c r="J6646">
        <f t="shared" si="109"/>
        <v>105000</v>
      </c>
      <c r="K6646" t="e">
        <f>VLOOKUP(B6646,'REGISTRO ABONOS'!$B$8:$BC$10041,54,0)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hidden="1" x14ac:dyDescent="0.2">
      <c r="B6647" s="31">
        <v>6638</v>
      </c>
      <c r="J6647">
        <f t="shared" si="109"/>
        <v>105000</v>
      </c>
      <c r="K6647" t="e">
        <f>VLOOKUP(B6647,'REGISTRO ABONOS'!$B$8:$BC$10041,54,0)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hidden="1" x14ac:dyDescent="0.2">
      <c r="B6648" s="31">
        <v>6639</v>
      </c>
      <c r="J6648">
        <f t="shared" si="109"/>
        <v>105000</v>
      </c>
      <c r="K6648" t="e">
        <f>VLOOKUP(B6648,'REGISTRO ABONOS'!$B$8:$BC$10041,54,0)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hidden="1" x14ac:dyDescent="0.2">
      <c r="B6649" s="31">
        <v>6640</v>
      </c>
      <c r="J6649">
        <f t="shared" si="109"/>
        <v>105000</v>
      </c>
      <c r="K6649" t="e">
        <f>VLOOKUP(B6649,'REGISTRO ABONOS'!$B$8:$BC$10041,54,0)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hidden="1" x14ac:dyDescent="0.2">
      <c r="B6650" s="31">
        <v>6641</v>
      </c>
      <c r="J6650">
        <f t="shared" si="109"/>
        <v>105000</v>
      </c>
      <c r="K6650" t="e">
        <f>VLOOKUP(B6650,'REGISTRO ABONOS'!$B$8:$BC$10041,54,0)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hidden="1" x14ac:dyDescent="0.2">
      <c r="B6651" s="31">
        <v>6642</v>
      </c>
      <c r="J6651">
        <f t="shared" si="109"/>
        <v>105000</v>
      </c>
      <c r="K6651" t="e">
        <f>VLOOKUP(B6651,'REGISTRO ABONOS'!$B$8:$BC$10041,54,0)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hidden="1" x14ac:dyDescent="0.2">
      <c r="B6652" s="31">
        <v>6643</v>
      </c>
      <c r="J6652">
        <f t="shared" si="109"/>
        <v>105000</v>
      </c>
      <c r="K6652" t="e">
        <f>VLOOKUP(B6652,'REGISTRO ABONOS'!$B$8:$BC$10041,54,0)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hidden="1" x14ac:dyDescent="0.2">
      <c r="B6653" s="31">
        <v>6644</v>
      </c>
      <c r="J6653">
        <f t="shared" si="109"/>
        <v>105000</v>
      </c>
      <c r="K6653" t="e">
        <f>VLOOKUP(B6653,'REGISTRO ABONOS'!$B$8:$BC$10041,54,0)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hidden="1" x14ac:dyDescent="0.2">
      <c r="B6654" s="31">
        <v>6645</v>
      </c>
      <c r="J6654">
        <f t="shared" si="109"/>
        <v>105000</v>
      </c>
      <c r="K6654" t="e">
        <f>VLOOKUP(B6654,'REGISTRO ABONOS'!$B$8:$BC$10041,54,0)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hidden="1" x14ac:dyDescent="0.2">
      <c r="B6655" s="31">
        <v>6646</v>
      </c>
      <c r="J6655">
        <f t="shared" si="109"/>
        <v>105000</v>
      </c>
      <c r="K6655" t="e">
        <f>VLOOKUP(B6655,'REGISTRO ABONOS'!$B$8:$BC$10041,54,0)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hidden="1" x14ac:dyDescent="0.2">
      <c r="B6656" s="31">
        <v>6647</v>
      </c>
      <c r="J6656">
        <f t="shared" si="109"/>
        <v>105000</v>
      </c>
      <c r="K6656" t="e">
        <f>VLOOKUP(B6656,'REGISTRO ABONOS'!$B$8:$BC$10041,54,0)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hidden="1" x14ac:dyDescent="0.2">
      <c r="B6657" s="31">
        <v>6648</v>
      </c>
      <c r="J6657">
        <f t="shared" si="109"/>
        <v>105000</v>
      </c>
      <c r="K6657" t="e">
        <f>VLOOKUP(B6657,'REGISTRO ABONOS'!$B$8:$BC$10041,54,0)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hidden="1" x14ac:dyDescent="0.2">
      <c r="B6658" s="31">
        <v>6649</v>
      </c>
      <c r="J6658">
        <f t="shared" si="109"/>
        <v>105000</v>
      </c>
      <c r="K6658" t="e">
        <f>VLOOKUP(B6658,'REGISTRO ABONOS'!$B$8:$BC$10041,54,0)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hidden="1" x14ac:dyDescent="0.2">
      <c r="B6659" s="31">
        <v>6650</v>
      </c>
      <c r="J6659">
        <f t="shared" si="109"/>
        <v>105000</v>
      </c>
      <c r="K6659" t="e">
        <f>VLOOKUP(B6659,'REGISTRO ABONOS'!$B$8:$BC$10041,54,0)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hidden="1" x14ac:dyDescent="0.2">
      <c r="B6660" s="31">
        <v>6651</v>
      </c>
      <c r="J6660">
        <f t="shared" si="109"/>
        <v>105000</v>
      </c>
      <c r="K6660" t="e">
        <f>VLOOKUP(B6660,'REGISTRO ABONOS'!$B$8:$BC$10041,54,0)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hidden="1" x14ac:dyDescent="0.2">
      <c r="B6661" s="31">
        <v>6652</v>
      </c>
      <c r="J6661">
        <f t="shared" si="109"/>
        <v>105000</v>
      </c>
      <c r="K6661" t="e">
        <f>VLOOKUP(B6661,'REGISTRO ABONOS'!$B$8:$BC$10041,54,0)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hidden="1" x14ac:dyDescent="0.2">
      <c r="B6662" s="31">
        <v>6653</v>
      </c>
      <c r="J6662">
        <f t="shared" si="109"/>
        <v>105000</v>
      </c>
      <c r="K6662" t="e">
        <f>VLOOKUP(B6662,'REGISTRO ABONOS'!$B$8:$BC$10041,54,0)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hidden="1" x14ac:dyDescent="0.2">
      <c r="B6663" s="31">
        <v>6654</v>
      </c>
      <c r="J6663">
        <f t="shared" si="109"/>
        <v>105000</v>
      </c>
      <c r="K6663" t="e">
        <f>VLOOKUP(B6663,'REGISTRO ABONOS'!$B$8:$BC$10041,54,0)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hidden="1" x14ac:dyDescent="0.2">
      <c r="B6664" s="31">
        <v>6655</v>
      </c>
      <c r="J6664">
        <f t="shared" si="109"/>
        <v>105000</v>
      </c>
      <c r="K6664" t="e">
        <f>VLOOKUP(B6664,'REGISTRO ABONOS'!$B$8:$BC$10041,54,0)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hidden="1" x14ac:dyDescent="0.2">
      <c r="B6665" s="31">
        <v>6656</v>
      </c>
      <c r="J6665">
        <f t="shared" si="109"/>
        <v>105000</v>
      </c>
      <c r="K6665" t="e">
        <f>VLOOKUP(B6665,'REGISTRO ABONOS'!$B$8:$BC$10041,54,0)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hidden="1" x14ac:dyDescent="0.2">
      <c r="B6666" s="31">
        <v>6657</v>
      </c>
      <c r="J6666">
        <f t="shared" si="109"/>
        <v>105000</v>
      </c>
      <c r="K6666" t="e">
        <f>VLOOKUP(B6666,'REGISTRO ABONOS'!$B$8:$BC$10041,54,0)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hidden="1" x14ac:dyDescent="0.2">
      <c r="B6667" s="31">
        <v>6658</v>
      </c>
      <c r="J6667">
        <f t="shared" si="109"/>
        <v>105000</v>
      </c>
      <c r="K6667" t="e">
        <f>VLOOKUP(B6667,'REGISTRO ABONOS'!$B$8:$BC$10041,54,0)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hidden="1" x14ac:dyDescent="0.2">
      <c r="B6668" s="31">
        <v>6659</v>
      </c>
      <c r="J6668">
        <f t="shared" si="109"/>
        <v>105000</v>
      </c>
      <c r="K6668" t="e">
        <f>VLOOKUP(B6668,'REGISTRO ABONOS'!$B$8:$BC$10041,54,0)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hidden="1" x14ac:dyDescent="0.2">
      <c r="B6669" s="31">
        <v>6660</v>
      </c>
      <c r="J6669">
        <f t="shared" si="109"/>
        <v>105000</v>
      </c>
      <c r="K6669" t="e">
        <f>VLOOKUP(B6669,'REGISTRO ABONOS'!$B$8:$BC$10041,54,0)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hidden="1" x14ac:dyDescent="0.2">
      <c r="B6670" s="31">
        <v>6661</v>
      </c>
      <c r="J6670">
        <f t="shared" si="109"/>
        <v>105000</v>
      </c>
      <c r="K6670" t="e">
        <f>VLOOKUP(B6670,'REGISTRO ABONOS'!$B$8:$BC$10041,54,0)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hidden="1" x14ac:dyDescent="0.2">
      <c r="B6671" s="31">
        <v>6662</v>
      </c>
      <c r="J6671">
        <f t="shared" si="109"/>
        <v>105000</v>
      </c>
      <c r="K6671" t="e">
        <f>VLOOKUP(B6671,'REGISTRO ABONOS'!$B$8:$BC$10041,54,0)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hidden="1" x14ac:dyDescent="0.2">
      <c r="B6672" s="31">
        <v>6663</v>
      </c>
      <c r="J6672">
        <f t="shared" si="109"/>
        <v>105000</v>
      </c>
      <c r="K6672" t="e">
        <f>VLOOKUP(B6672,'REGISTRO ABONOS'!$B$8:$BC$10041,54,0)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hidden="1" x14ac:dyDescent="0.2">
      <c r="B6673" s="31">
        <v>6664</v>
      </c>
      <c r="J6673">
        <f t="shared" si="109"/>
        <v>105000</v>
      </c>
      <c r="K6673" t="e">
        <f>VLOOKUP(B6673,'REGISTRO ABONOS'!$B$8:$BC$10041,54,0)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hidden="1" x14ac:dyDescent="0.2">
      <c r="B6674" s="31">
        <v>6665</v>
      </c>
      <c r="J6674">
        <f t="shared" si="109"/>
        <v>105000</v>
      </c>
      <c r="K6674" t="e">
        <f>VLOOKUP(B6674,'REGISTRO ABONOS'!$B$8:$BC$10041,54,0)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hidden="1" x14ac:dyDescent="0.2">
      <c r="B6675" s="31">
        <v>6666</v>
      </c>
      <c r="J6675">
        <f t="shared" si="109"/>
        <v>105000</v>
      </c>
      <c r="K6675" t="e">
        <f>VLOOKUP(B6675,'REGISTRO ABONOS'!$B$8:$BC$10041,54,0)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hidden="1" x14ac:dyDescent="0.2">
      <c r="B6676" s="31">
        <v>6667</v>
      </c>
      <c r="J6676">
        <f t="shared" si="109"/>
        <v>105000</v>
      </c>
      <c r="K6676" t="e">
        <f>VLOOKUP(B6676,'REGISTRO ABONOS'!$B$8:$BC$10041,54,0)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hidden="1" x14ac:dyDescent="0.2">
      <c r="B6677" s="31">
        <v>6668</v>
      </c>
      <c r="J6677">
        <f t="shared" si="109"/>
        <v>105000</v>
      </c>
      <c r="K6677" t="e">
        <f>VLOOKUP(B6677,'REGISTRO ABONOS'!$B$8:$BC$10041,54,0)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hidden="1" x14ac:dyDescent="0.2">
      <c r="B6678" s="31">
        <v>6669</v>
      </c>
      <c r="J6678">
        <f t="shared" si="109"/>
        <v>105000</v>
      </c>
      <c r="K6678" t="e">
        <f>VLOOKUP(B6678,'REGISTRO ABONOS'!$B$8:$BC$10041,54,0)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hidden="1" x14ac:dyDescent="0.2">
      <c r="B6679" s="31">
        <v>6670</v>
      </c>
      <c r="J6679">
        <f t="shared" si="109"/>
        <v>105000</v>
      </c>
      <c r="K6679" t="e">
        <f>VLOOKUP(B6679,'REGISTRO ABONOS'!$B$8:$BC$10041,54,0)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hidden="1" x14ac:dyDescent="0.2">
      <c r="B6680" s="31">
        <v>6671</v>
      </c>
      <c r="J6680">
        <f t="shared" si="109"/>
        <v>105000</v>
      </c>
      <c r="K6680" t="e">
        <f>VLOOKUP(B6680,'REGISTRO ABONOS'!$B$8:$BC$10041,54,0)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hidden="1" x14ac:dyDescent="0.2">
      <c r="B6681" s="31">
        <v>6672</v>
      </c>
      <c r="J6681">
        <f t="shared" si="109"/>
        <v>105000</v>
      </c>
      <c r="K6681" t="e">
        <f>VLOOKUP(B6681,'REGISTRO ABONOS'!$B$8:$BC$10041,54,0)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hidden="1" x14ac:dyDescent="0.2">
      <c r="B6682" s="31">
        <v>6673</v>
      </c>
      <c r="J6682">
        <f t="shared" si="109"/>
        <v>105000</v>
      </c>
      <c r="K6682" t="e">
        <f>VLOOKUP(B6682,'REGISTRO ABONOS'!$B$8:$BC$10041,54,0)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hidden="1" x14ac:dyDescent="0.2">
      <c r="B6683" s="31">
        <v>6674</v>
      </c>
      <c r="J6683">
        <f t="shared" si="109"/>
        <v>105000</v>
      </c>
      <c r="K6683" t="e">
        <f>VLOOKUP(B6683,'REGISTRO ABONOS'!$B$8:$BC$10041,54,0)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hidden="1" x14ac:dyDescent="0.2">
      <c r="B6684" s="31">
        <v>6675</v>
      </c>
      <c r="J6684">
        <f t="shared" si="109"/>
        <v>105000</v>
      </c>
      <c r="K6684" t="e">
        <f>VLOOKUP(B6684,'REGISTRO ABONOS'!$B$8:$BC$10041,54,0)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hidden="1" x14ac:dyDescent="0.2">
      <c r="B6685" s="31">
        <v>6676</v>
      </c>
      <c r="J6685">
        <f t="shared" si="109"/>
        <v>105000</v>
      </c>
      <c r="K6685" t="e">
        <f>VLOOKUP(B6685,'REGISTRO ABONOS'!$B$8:$BC$10041,54,0)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hidden="1" x14ac:dyDescent="0.2">
      <c r="B6686" s="31">
        <v>6677</v>
      </c>
      <c r="J6686">
        <f t="shared" si="109"/>
        <v>105000</v>
      </c>
      <c r="K6686" t="e">
        <f>VLOOKUP(B6686,'REGISTRO ABONOS'!$B$8:$BC$10041,54,0)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hidden="1" x14ac:dyDescent="0.2">
      <c r="B6687" s="31">
        <v>6678</v>
      </c>
      <c r="J6687">
        <f t="shared" si="109"/>
        <v>105000</v>
      </c>
      <c r="K6687" t="e">
        <f>VLOOKUP(B6687,'REGISTRO ABONOS'!$B$8:$BC$10041,54,0)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hidden="1" x14ac:dyDescent="0.2">
      <c r="B6688" s="31">
        <v>6679</v>
      </c>
      <c r="J6688">
        <f t="shared" si="109"/>
        <v>105000</v>
      </c>
      <c r="K6688" t="e">
        <f>VLOOKUP(B6688,'REGISTRO ABONOS'!$B$8:$BC$10041,54,0)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hidden="1" x14ac:dyDescent="0.2">
      <c r="B6689" s="31">
        <v>6680</v>
      </c>
      <c r="J6689">
        <f t="shared" si="109"/>
        <v>105000</v>
      </c>
      <c r="K6689" t="e">
        <f>VLOOKUP(B6689,'REGISTRO ABONOS'!$B$8:$BC$10041,54,0)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hidden="1" x14ac:dyDescent="0.2">
      <c r="B6690" s="31">
        <v>6681</v>
      </c>
      <c r="J6690">
        <f t="shared" si="109"/>
        <v>105000</v>
      </c>
      <c r="K6690" t="e">
        <f>VLOOKUP(B6690,'REGISTRO ABONOS'!$B$8:$BC$10041,54,0)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hidden="1" x14ac:dyDescent="0.2">
      <c r="B6691" s="31">
        <v>6682</v>
      </c>
      <c r="J6691">
        <f t="shared" si="109"/>
        <v>105000</v>
      </c>
      <c r="K6691" t="e">
        <f>VLOOKUP(B6691,'REGISTRO ABONOS'!$B$8:$BC$10041,54,0)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hidden="1" x14ac:dyDescent="0.2">
      <c r="B6692" s="31">
        <v>6683</v>
      </c>
      <c r="J6692">
        <f t="shared" si="109"/>
        <v>105000</v>
      </c>
      <c r="K6692" t="e">
        <f>VLOOKUP(B6692,'REGISTRO ABONOS'!$B$8:$BC$10041,54,0)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hidden="1" x14ac:dyDescent="0.2">
      <c r="B6693" s="31">
        <v>6684</v>
      </c>
      <c r="J6693">
        <f t="shared" si="109"/>
        <v>105000</v>
      </c>
      <c r="K6693" t="e">
        <f>VLOOKUP(B6693,'REGISTRO ABONOS'!$B$8:$BC$10041,54,0)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hidden="1" x14ac:dyDescent="0.2">
      <c r="B6694" s="31">
        <v>6685</v>
      </c>
      <c r="J6694">
        <f t="shared" si="109"/>
        <v>105000</v>
      </c>
      <c r="K6694" t="e">
        <f>VLOOKUP(B6694,'REGISTRO ABONOS'!$B$8:$BC$10041,54,0)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hidden="1" x14ac:dyDescent="0.2">
      <c r="B6695" s="31">
        <v>6686</v>
      </c>
      <c r="J6695">
        <f t="shared" si="109"/>
        <v>105000</v>
      </c>
      <c r="K6695" t="e">
        <f>VLOOKUP(B6695,'REGISTRO ABONOS'!$B$8:$BC$10041,54,0)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hidden="1" x14ac:dyDescent="0.2">
      <c r="B6696" s="31">
        <v>6687</v>
      </c>
      <c r="J6696">
        <f t="shared" si="109"/>
        <v>105000</v>
      </c>
      <c r="K6696" t="e">
        <f>VLOOKUP(B6696,'REGISTRO ABONOS'!$B$8:$BC$10041,54,0)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hidden="1" x14ac:dyDescent="0.2">
      <c r="B6697" s="31">
        <v>6688</v>
      </c>
      <c r="J6697">
        <f t="shared" si="109"/>
        <v>105000</v>
      </c>
      <c r="K6697" t="e">
        <f>VLOOKUP(B6697,'REGISTRO ABONOS'!$B$8:$BC$10041,54,0)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hidden="1" x14ac:dyDescent="0.2">
      <c r="B6698" s="31">
        <v>6689</v>
      </c>
      <c r="J6698">
        <f t="shared" si="109"/>
        <v>105000</v>
      </c>
      <c r="K6698" t="e">
        <f>VLOOKUP(B6698,'REGISTRO ABONOS'!$B$8:$BC$10041,54,0)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hidden="1" x14ac:dyDescent="0.2">
      <c r="B6699" s="31">
        <v>6690</v>
      </c>
      <c r="J6699">
        <f t="shared" si="109"/>
        <v>105000</v>
      </c>
      <c r="K6699" t="e">
        <f>VLOOKUP(B6699,'REGISTRO ABONOS'!$B$8:$BC$10041,54,0)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hidden="1" x14ac:dyDescent="0.2">
      <c r="B6700" s="31">
        <v>6691</v>
      </c>
      <c r="J6700">
        <f t="shared" si="109"/>
        <v>105000</v>
      </c>
      <c r="K6700" t="e">
        <f>VLOOKUP(B6700,'REGISTRO ABONOS'!$B$8:$BC$10041,54,0)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hidden="1" x14ac:dyDescent="0.2">
      <c r="B6701" s="31">
        <v>6692</v>
      </c>
      <c r="J6701">
        <f t="shared" si="109"/>
        <v>105000</v>
      </c>
      <c r="K6701" t="e">
        <f>VLOOKUP(B6701,'REGISTRO ABONOS'!$B$8:$BC$10041,54,0)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hidden="1" x14ac:dyDescent="0.2">
      <c r="B6702" s="31">
        <v>6693</v>
      </c>
      <c r="J6702">
        <f t="shared" si="109"/>
        <v>105000</v>
      </c>
      <c r="K6702" t="e">
        <f>VLOOKUP(B6702,'REGISTRO ABONOS'!$B$8:$BC$10041,54,0)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hidden="1" x14ac:dyDescent="0.2">
      <c r="B6703" s="31">
        <v>6694</v>
      </c>
      <c r="J6703">
        <f t="shared" si="109"/>
        <v>105000</v>
      </c>
      <c r="K6703" t="e">
        <f>VLOOKUP(B6703,'REGISTRO ABONOS'!$B$8:$BC$10041,54,0)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hidden="1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ABONOS'!$B$8:$BC$10041,54,0)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hidden="1" x14ac:dyDescent="0.2">
      <c r="B6705" s="31">
        <v>6696</v>
      </c>
      <c r="J6705">
        <f t="shared" si="110"/>
        <v>105000</v>
      </c>
      <c r="K6705" t="e">
        <f>VLOOKUP(B6705,'REGISTRO ABONOS'!$B$8:$BC$10041,54,0)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hidden="1" x14ac:dyDescent="0.2">
      <c r="B6706" s="31">
        <v>6697</v>
      </c>
      <c r="J6706">
        <f t="shared" si="110"/>
        <v>105000</v>
      </c>
      <c r="K6706" t="e">
        <f>VLOOKUP(B6706,'REGISTRO ABONOS'!$B$8:$BC$10041,54,0)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hidden="1" x14ac:dyDescent="0.2">
      <c r="B6707" s="31">
        <v>6698</v>
      </c>
      <c r="J6707">
        <f t="shared" si="110"/>
        <v>105000</v>
      </c>
      <c r="K6707" t="e">
        <f>VLOOKUP(B6707,'REGISTRO ABONOS'!$B$8:$BC$10041,54,0)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hidden="1" x14ac:dyDescent="0.2">
      <c r="B6708" s="31">
        <v>6699</v>
      </c>
      <c r="J6708">
        <f t="shared" si="110"/>
        <v>105000</v>
      </c>
      <c r="K6708" t="e">
        <f>VLOOKUP(B6708,'REGISTRO ABONOS'!$B$8:$BC$10041,54,0)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hidden="1" x14ac:dyDescent="0.2">
      <c r="B6709" s="31">
        <v>6700</v>
      </c>
      <c r="J6709">
        <f t="shared" si="110"/>
        <v>105000</v>
      </c>
      <c r="K6709" t="e">
        <f>VLOOKUP(B6709,'REGISTRO ABONOS'!$B$8:$BC$10041,54,0)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hidden="1" x14ac:dyDescent="0.2">
      <c r="B6710" s="31">
        <v>6701</v>
      </c>
      <c r="J6710">
        <f t="shared" si="110"/>
        <v>105000</v>
      </c>
      <c r="K6710" t="e">
        <f>VLOOKUP(B6710,'REGISTRO ABONOS'!$B$8:$BC$10041,54,0)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hidden="1" x14ac:dyDescent="0.2">
      <c r="B6711" s="31">
        <v>6702</v>
      </c>
      <c r="J6711">
        <f t="shared" si="110"/>
        <v>105000</v>
      </c>
      <c r="K6711" t="e">
        <f>VLOOKUP(B6711,'REGISTRO ABONOS'!$B$8:$BC$10041,54,0)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hidden="1" x14ac:dyDescent="0.2">
      <c r="B6712" s="31">
        <v>6703</v>
      </c>
      <c r="J6712">
        <f t="shared" si="110"/>
        <v>105000</v>
      </c>
      <c r="K6712" t="e">
        <f>VLOOKUP(B6712,'REGISTRO ABONOS'!$B$8:$BC$10041,54,0)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hidden="1" x14ac:dyDescent="0.2">
      <c r="B6713" s="31">
        <v>6704</v>
      </c>
      <c r="J6713">
        <f t="shared" si="110"/>
        <v>105000</v>
      </c>
      <c r="K6713" t="e">
        <f>VLOOKUP(B6713,'REGISTRO ABONOS'!$B$8:$BC$10041,54,0)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hidden="1" x14ac:dyDescent="0.2">
      <c r="B6714" s="31">
        <v>6705</v>
      </c>
      <c r="J6714">
        <f t="shared" si="110"/>
        <v>105000</v>
      </c>
      <c r="K6714" t="e">
        <f>VLOOKUP(B6714,'REGISTRO ABONOS'!$B$8:$BC$10041,54,0)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hidden="1" x14ac:dyDescent="0.2">
      <c r="B6715" s="31">
        <v>6706</v>
      </c>
      <c r="J6715">
        <f t="shared" si="110"/>
        <v>105000</v>
      </c>
      <c r="K6715" t="e">
        <f>VLOOKUP(B6715,'REGISTRO ABONOS'!$B$8:$BC$10041,54,0)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hidden="1" x14ac:dyDescent="0.2">
      <c r="B6716" s="31">
        <v>6707</v>
      </c>
      <c r="J6716">
        <f t="shared" si="110"/>
        <v>105000</v>
      </c>
      <c r="K6716" t="e">
        <f>VLOOKUP(B6716,'REGISTRO ABONOS'!$B$8:$BC$10041,54,0)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hidden="1" x14ac:dyDescent="0.2">
      <c r="B6717" s="31">
        <v>6708</v>
      </c>
      <c r="J6717">
        <f t="shared" si="110"/>
        <v>105000</v>
      </c>
      <c r="K6717" t="e">
        <f>VLOOKUP(B6717,'REGISTRO ABONOS'!$B$8:$BC$10041,54,0)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hidden="1" x14ac:dyDescent="0.2">
      <c r="B6718" s="31">
        <v>6709</v>
      </c>
      <c r="J6718">
        <f t="shared" si="110"/>
        <v>105000</v>
      </c>
      <c r="K6718" t="e">
        <f>VLOOKUP(B6718,'REGISTRO ABONOS'!$B$8:$BC$10041,54,0)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hidden="1" x14ac:dyDescent="0.2">
      <c r="B6719" s="31">
        <v>6710</v>
      </c>
      <c r="J6719">
        <f t="shared" si="110"/>
        <v>105000</v>
      </c>
      <c r="K6719" t="e">
        <f>VLOOKUP(B6719,'REGISTRO ABONOS'!$B$8:$BC$10041,54,0)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hidden="1" x14ac:dyDescent="0.2">
      <c r="B6720" s="31">
        <v>6711</v>
      </c>
      <c r="J6720">
        <f t="shared" si="110"/>
        <v>105000</v>
      </c>
      <c r="K6720" t="e">
        <f>VLOOKUP(B6720,'REGISTRO ABONOS'!$B$8:$BC$10041,54,0)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hidden="1" x14ac:dyDescent="0.2">
      <c r="B6721" s="31">
        <v>6712</v>
      </c>
      <c r="J6721">
        <f t="shared" si="110"/>
        <v>105000</v>
      </c>
      <c r="K6721" t="e">
        <f>VLOOKUP(B6721,'REGISTRO ABONOS'!$B$8:$BC$10041,54,0)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hidden="1" x14ac:dyDescent="0.2">
      <c r="B6722" s="31">
        <v>6713</v>
      </c>
      <c r="J6722">
        <f t="shared" si="110"/>
        <v>105000</v>
      </c>
      <c r="K6722" t="e">
        <f>VLOOKUP(B6722,'REGISTRO ABONOS'!$B$8:$BC$10041,54,0)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hidden="1" x14ac:dyDescent="0.2">
      <c r="B6723" s="31">
        <v>6714</v>
      </c>
      <c r="J6723">
        <f t="shared" si="110"/>
        <v>105000</v>
      </c>
      <c r="K6723" t="e">
        <f>VLOOKUP(B6723,'REGISTRO ABONOS'!$B$8:$BC$10041,54,0)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hidden="1" x14ac:dyDescent="0.2">
      <c r="B6724" s="31">
        <v>6715</v>
      </c>
      <c r="J6724">
        <f t="shared" si="110"/>
        <v>105000</v>
      </c>
      <c r="K6724" t="e">
        <f>VLOOKUP(B6724,'REGISTRO ABONOS'!$B$8:$BC$10041,54,0)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hidden="1" x14ac:dyDescent="0.2">
      <c r="B6725" s="31">
        <v>6716</v>
      </c>
      <c r="J6725">
        <f t="shared" si="110"/>
        <v>105000</v>
      </c>
      <c r="K6725" t="e">
        <f>VLOOKUP(B6725,'REGISTRO ABONOS'!$B$8:$BC$10041,54,0)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hidden="1" x14ac:dyDescent="0.2">
      <c r="B6726" s="31">
        <v>6717</v>
      </c>
      <c r="J6726">
        <f t="shared" si="110"/>
        <v>105000</v>
      </c>
      <c r="K6726" t="e">
        <f>VLOOKUP(B6726,'REGISTRO ABONOS'!$B$8:$BC$10041,54,0)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hidden="1" x14ac:dyDescent="0.2">
      <c r="B6727" s="31">
        <v>6718</v>
      </c>
      <c r="J6727">
        <f t="shared" si="110"/>
        <v>105000</v>
      </c>
      <c r="K6727" t="e">
        <f>VLOOKUP(B6727,'REGISTRO ABONOS'!$B$8:$BC$10041,54,0)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hidden="1" x14ac:dyDescent="0.2">
      <c r="B6728" s="31">
        <v>6719</v>
      </c>
      <c r="J6728">
        <f t="shared" si="110"/>
        <v>105000</v>
      </c>
      <c r="K6728" t="e">
        <f>VLOOKUP(B6728,'REGISTRO ABONOS'!$B$8:$BC$10041,54,0)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hidden="1" x14ac:dyDescent="0.2">
      <c r="B6729" s="31">
        <v>6720</v>
      </c>
      <c r="J6729">
        <f t="shared" si="110"/>
        <v>105000</v>
      </c>
      <c r="K6729" t="e">
        <f>VLOOKUP(B6729,'REGISTRO ABONOS'!$B$8:$BC$10041,54,0)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hidden="1" x14ac:dyDescent="0.2">
      <c r="B6730" s="31">
        <v>6721</v>
      </c>
      <c r="J6730">
        <f t="shared" si="110"/>
        <v>105000</v>
      </c>
      <c r="K6730" t="e">
        <f>VLOOKUP(B6730,'REGISTRO ABONOS'!$B$8:$BC$10041,54,0)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hidden="1" x14ac:dyDescent="0.2">
      <c r="B6731" s="31">
        <v>6722</v>
      </c>
      <c r="J6731">
        <f t="shared" si="110"/>
        <v>105000</v>
      </c>
      <c r="K6731" t="e">
        <f>VLOOKUP(B6731,'REGISTRO ABONOS'!$B$8:$BC$10041,54,0)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hidden="1" x14ac:dyDescent="0.2">
      <c r="B6732" s="31">
        <v>6723</v>
      </c>
      <c r="J6732">
        <f t="shared" si="110"/>
        <v>105000</v>
      </c>
      <c r="K6732" t="e">
        <f>VLOOKUP(B6732,'REGISTRO ABONOS'!$B$8:$BC$10041,54,0)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hidden="1" x14ac:dyDescent="0.2">
      <c r="B6733" s="31">
        <v>6724</v>
      </c>
      <c r="J6733">
        <f t="shared" si="110"/>
        <v>105000</v>
      </c>
      <c r="K6733" t="e">
        <f>VLOOKUP(B6733,'REGISTRO ABONOS'!$B$8:$BC$10041,54,0)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hidden="1" x14ac:dyDescent="0.2">
      <c r="B6734" s="31">
        <v>6725</v>
      </c>
      <c r="J6734">
        <f t="shared" si="110"/>
        <v>105000</v>
      </c>
      <c r="K6734" t="e">
        <f>VLOOKUP(B6734,'REGISTRO ABONOS'!$B$8:$BC$10041,54,0)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hidden="1" x14ac:dyDescent="0.2">
      <c r="B6735" s="31">
        <v>6726</v>
      </c>
      <c r="J6735">
        <f t="shared" si="110"/>
        <v>105000</v>
      </c>
      <c r="K6735" t="e">
        <f>VLOOKUP(B6735,'REGISTRO ABONOS'!$B$8:$BC$10041,54,0)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hidden="1" x14ac:dyDescent="0.2">
      <c r="B6736" s="31">
        <v>6727</v>
      </c>
      <c r="J6736">
        <f t="shared" si="110"/>
        <v>105000</v>
      </c>
      <c r="K6736" t="e">
        <f>VLOOKUP(B6736,'REGISTRO ABONOS'!$B$8:$BC$10041,54,0)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hidden="1" x14ac:dyDescent="0.2">
      <c r="B6737" s="31">
        <v>6728</v>
      </c>
      <c r="J6737">
        <f t="shared" si="110"/>
        <v>105000</v>
      </c>
      <c r="K6737" t="e">
        <f>VLOOKUP(B6737,'REGISTRO ABONOS'!$B$8:$BC$10041,54,0)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10"/>
        <v>105000</v>
      </c>
      <c r="K6738" t="e">
        <f>VLOOKUP(B6738,'REGISTRO ABONOS'!$B$8:$BC$10041,54,0)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hidden="1" x14ac:dyDescent="0.2">
      <c r="B6739" s="31">
        <v>6730</v>
      </c>
      <c r="J6739">
        <f t="shared" si="110"/>
        <v>105000</v>
      </c>
      <c r="K6739" t="e">
        <f>VLOOKUP(B6739,'REGISTRO ABONOS'!$B$8:$BC$10041,54,0)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hidden="1" x14ac:dyDescent="0.2">
      <c r="B6740" s="31">
        <v>6731</v>
      </c>
      <c r="J6740">
        <f t="shared" si="110"/>
        <v>105000</v>
      </c>
      <c r="K6740" t="e">
        <f>VLOOKUP(B6740,'REGISTRO ABONOS'!$B$8:$BC$10041,54,0)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hidden="1" x14ac:dyDescent="0.2">
      <c r="B6741" s="31">
        <v>6732</v>
      </c>
      <c r="J6741">
        <f t="shared" si="110"/>
        <v>105000</v>
      </c>
      <c r="K6741" t="e">
        <f>VLOOKUP(B6741,'REGISTRO ABONOS'!$B$8:$BC$10041,54,0)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hidden="1" x14ac:dyDescent="0.2">
      <c r="B6742" s="31">
        <v>6733</v>
      </c>
      <c r="J6742">
        <f t="shared" si="110"/>
        <v>105000</v>
      </c>
      <c r="K6742" t="e">
        <f>VLOOKUP(B6742,'REGISTRO ABONOS'!$B$8:$BC$10041,54,0)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hidden="1" x14ac:dyDescent="0.2">
      <c r="B6743" s="31">
        <v>6734</v>
      </c>
      <c r="J6743">
        <f t="shared" si="110"/>
        <v>105000</v>
      </c>
      <c r="K6743" t="e">
        <f>VLOOKUP(B6743,'REGISTRO ABONOS'!$B$8:$BC$10041,54,0)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hidden="1" x14ac:dyDescent="0.2">
      <c r="B6744" s="31">
        <v>6735</v>
      </c>
      <c r="J6744">
        <f t="shared" si="110"/>
        <v>105000</v>
      </c>
      <c r="K6744" t="e">
        <f>VLOOKUP(B6744,'REGISTRO ABONOS'!$B$8:$BC$10041,54,0)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hidden="1" x14ac:dyDescent="0.2">
      <c r="B6745" s="31">
        <v>6736</v>
      </c>
      <c r="J6745">
        <f t="shared" si="110"/>
        <v>105000</v>
      </c>
      <c r="K6745" t="e">
        <f>VLOOKUP(B6745,'REGISTRO ABONOS'!$B$8:$BC$10041,54,0)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hidden="1" x14ac:dyDescent="0.2">
      <c r="B6746" s="31">
        <v>6737</v>
      </c>
      <c r="J6746">
        <f t="shared" si="110"/>
        <v>105000</v>
      </c>
      <c r="K6746" t="e">
        <f>VLOOKUP(B6746,'REGISTRO ABONOS'!$B$8:$BC$10041,54,0)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hidden="1" x14ac:dyDescent="0.2">
      <c r="B6747" s="31">
        <v>6738</v>
      </c>
      <c r="J6747">
        <f t="shared" si="110"/>
        <v>105000</v>
      </c>
      <c r="K6747" t="e">
        <f>VLOOKUP(B6747,'REGISTRO ABONOS'!$B$8:$BC$10041,54,0)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hidden="1" x14ac:dyDescent="0.2">
      <c r="B6748" s="31">
        <v>6739</v>
      </c>
      <c r="J6748">
        <f t="shared" si="110"/>
        <v>105000</v>
      </c>
      <c r="K6748" t="e">
        <f>VLOOKUP(B6748,'REGISTRO ABONOS'!$B$8:$BC$10041,54,0)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hidden="1" x14ac:dyDescent="0.2">
      <c r="B6749" s="31">
        <v>6740</v>
      </c>
      <c r="J6749">
        <f t="shared" si="110"/>
        <v>105000</v>
      </c>
      <c r="K6749" t="e">
        <f>VLOOKUP(B6749,'REGISTRO ABONOS'!$B$8:$BC$10041,54,0)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hidden="1" x14ac:dyDescent="0.2">
      <c r="B6750" s="31">
        <v>6741</v>
      </c>
      <c r="J6750">
        <f t="shared" si="110"/>
        <v>105000</v>
      </c>
      <c r="K6750" t="e">
        <f>VLOOKUP(B6750,'REGISTRO ABONOS'!$B$8:$BC$10041,54,0)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hidden="1" x14ac:dyDescent="0.2">
      <c r="B6751" s="31">
        <v>6742</v>
      </c>
      <c r="J6751">
        <f t="shared" si="110"/>
        <v>105000</v>
      </c>
      <c r="K6751" t="e">
        <f>VLOOKUP(B6751,'REGISTRO ABONOS'!$B$8:$BC$10041,54,0)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hidden="1" x14ac:dyDescent="0.2">
      <c r="B6752" s="31">
        <v>6743</v>
      </c>
      <c r="J6752">
        <f t="shared" si="110"/>
        <v>105000</v>
      </c>
      <c r="K6752" t="e">
        <f>VLOOKUP(B6752,'REGISTRO ABONOS'!$B$8:$BC$10041,54,0)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hidden="1" x14ac:dyDescent="0.2">
      <c r="B6753" s="31">
        <v>6744</v>
      </c>
      <c r="J6753">
        <f t="shared" si="110"/>
        <v>105000</v>
      </c>
      <c r="K6753" t="e">
        <f>VLOOKUP(B6753,'REGISTRO ABONOS'!$B$8:$BC$10041,54,0)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hidden="1" x14ac:dyDescent="0.2">
      <c r="B6754" s="31">
        <v>6745</v>
      </c>
      <c r="J6754">
        <f t="shared" si="110"/>
        <v>105000</v>
      </c>
      <c r="K6754" t="e">
        <f>VLOOKUP(B6754,'REGISTRO ABONOS'!$B$8:$BC$10041,54,0)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hidden="1" x14ac:dyDescent="0.2">
      <c r="B6755" s="31">
        <v>6746</v>
      </c>
      <c r="J6755">
        <f t="shared" si="110"/>
        <v>105000</v>
      </c>
      <c r="K6755" t="e">
        <f>VLOOKUP(B6755,'REGISTRO ABONOS'!$B$8:$BC$10041,54,0)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hidden="1" x14ac:dyDescent="0.2">
      <c r="B6756" s="31">
        <v>6747</v>
      </c>
      <c r="J6756">
        <f t="shared" si="110"/>
        <v>105000</v>
      </c>
      <c r="K6756" t="e">
        <f>VLOOKUP(B6756,'REGISTRO ABONOS'!$B$8:$BC$10041,54,0)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hidden="1" x14ac:dyDescent="0.2">
      <c r="B6757" s="31">
        <v>6748</v>
      </c>
      <c r="J6757">
        <f t="shared" si="110"/>
        <v>105000</v>
      </c>
      <c r="K6757" t="e">
        <f>VLOOKUP(B6757,'REGISTRO ABONOS'!$B$8:$BC$10041,54,0)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hidden="1" x14ac:dyDescent="0.2">
      <c r="B6758" s="31">
        <v>6749</v>
      </c>
      <c r="J6758">
        <f t="shared" si="110"/>
        <v>105000</v>
      </c>
      <c r="K6758" t="e">
        <f>VLOOKUP(B6758,'REGISTRO ABONOS'!$B$8:$BC$10041,54,0)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hidden="1" x14ac:dyDescent="0.2">
      <c r="B6759" s="31">
        <v>6750</v>
      </c>
      <c r="J6759">
        <f t="shared" si="110"/>
        <v>105000</v>
      </c>
      <c r="K6759" t="e">
        <f>VLOOKUP(B6759,'REGISTRO ABONOS'!$B$8:$BC$10041,54,0)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hidden="1" x14ac:dyDescent="0.2">
      <c r="B6760" s="31">
        <v>6751</v>
      </c>
      <c r="J6760">
        <f t="shared" si="110"/>
        <v>105000</v>
      </c>
      <c r="K6760" t="e">
        <f>VLOOKUP(B6760,'REGISTRO ABONOS'!$B$8:$BC$10041,54,0)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hidden="1" x14ac:dyDescent="0.2">
      <c r="B6761" s="31">
        <v>6752</v>
      </c>
      <c r="J6761">
        <f t="shared" si="110"/>
        <v>105000</v>
      </c>
      <c r="K6761" t="e">
        <f>VLOOKUP(B6761,'REGISTRO ABONOS'!$B$8:$BC$10041,54,0)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hidden="1" x14ac:dyDescent="0.2">
      <c r="B6762" s="31">
        <v>6753</v>
      </c>
      <c r="J6762">
        <f t="shared" si="110"/>
        <v>105000</v>
      </c>
      <c r="K6762" t="e">
        <f>VLOOKUP(B6762,'REGISTRO ABONOS'!$B$8:$BC$10041,54,0)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hidden="1" x14ac:dyDescent="0.2">
      <c r="B6763" s="31">
        <v>6754</v>
      </c>
      <c r="J6763">
        <f t="shared" si="110"/>
        <v>105000</v>
      </c>
      <c r="K6763" t="e">
        <f>VLOOKUP(B6763,'REGISTRO ABONOS'!$B$8:$BC$10041,54,0)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hidden="1" x14ac:dyDescent="0.2">
      <c r="B6764" s="31">
        <v>6755</v>
      </c>
      <c r="J6764">
        <f t="shared" si="110"/>
        <v>105000</v>
      </c>
      <c r="K6764" t="e">
        <f>VLOOKUP(B6764,'REGISTRO ABONOS'!$B$8:$BC$10041,54,0)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hidden="1" x14ac:dyDescent="0.2">
      <c r="B6765" s="31">
        <v>6756</v>
      </c>
      <c r="J6765">
        <f t="shared" si="110"/>
        <v>105000</v>
      </c>
      <c r="K6765" t="e">
        <f>VLOOKUP(B6765,'REGISTRO ABONOS'!$B$8:$BC$10041,54,0)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hidden="1" x14ac:dyDescent="0.2">
      <c r="B6766" s="31">
        <v>6757</v>
      </c>
      <c r="J6766">
        <f t="shared" si="110"/>
        <v>105000</v>
      </c>
      <c r="K6766" t="e">
        <f>VLOOKUP(B6766,'REGISTRO ABONOS'!$B$8:$BC$10041,54,0)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hidden="1" x14ac:dyDescent="0.2">
      <c r="B6767" s="31">
        <v>6758</v>
      </c>
      <c r="J6767">
        <f t="shared" si="110"/>
        <v>105000</v>
      </c>
      <c r="K6767" t="e">
        <f>VLOOKUP(B6767,'REGISTRO ABONOS'!$B$8:$BC$10041,54,0)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hidden="1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ABONOS'!$B$8:$BC$10041,54,0)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hidden="1" x14ac:dyDescent="0.2">
      <c r="B6769" s="31">
        <v>6760</v>
      </c>
      <c r="J6769">
        <f t="shared" si="111"/>
        <v>105000</v>
      </c>
      <c r="K6769" t="e">
        <f>VLOOKUP(B6769,'REGISTRO ABONOS'!$B$8:$BC$10041,54,0)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hidden="1" x14ac:dyDescent="0.2">
      <c r="B6770" s="31">
        <v>6761</v>
      </c>
      <c r="J6770">
        <f t="shared" si="111"/>
        <v>105000</v>
      </c>
      <c r="K6770" t="e">
        <f>VLOOKUP(B6770,'REGISTRO ABONOS'!$B$8:$BC$10041,54,0)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hidden="1" x14ac:dyDescent="0.2">
      <c r="B6771" s="31">
        <v>6762</v>
      </c>
      <c r="J6771">
        <f t="shared" si="111"/>
        <v>105000</v>
      </c>
      <c r="K6771" t="e">
        <f>VLOOKUP(B6771,'REGISTRO ABONOS'!$B$8:$BC$10041,54,0)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hidden="1" x14ac:dyDescent="0.2">
      <c r="B6772" s="31">
        <v>6763</v>
      </c>
      <c r="J6772">
        <f t="shared" si="111"/>
        <v>105000</v>
      </c>
      <c r="K6772" t="e">
        <f>VLOOKUP(B6772,'REGISTRO ABONOS'!$B$8:$BC$10041,54,0)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hidden="1" x14ac:dyDescent="0.2">
      <c r="B6773" s="31">
        <v>6764</v>
      </c>
      <c r="J6773">
        <f t="shared" si="111"/>
        <v>105000</v>
      </c>
      <c r="K6773" t="e">
        <f>VLOOKUP(B6773,'REGISTRO ABONOS'!$B$8:$BC$10041,54,0)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hidden="1" x14ac:dyDescent="0.2">
      <c r="B6774" s="31">
        <v>6765</v>
      </c>
      <c r="J6774">
        <f t="shared" si="111"/>
        <v>105000</v>
      </c>
      <c r="K6774" t="e">
        <f>VLOOKUP(B6774,'REGISTRO ABONOS'!$B$8:$BC$10041,54,0)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hidden="1" x14ac:dyDescent="0.2">
      <c r="B6775" s="31">
        <v>6766</v>
      </c>
      <c r="J6775">
        <f t="shared" si="111"/>
        <v>105000</v>
      </c>
      <c r="K6775" t="e">
        <f>VLOOKUP(B6775,'REGISTRO ABONOS'!$B$8:$BC$10041,54,0)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hidden="1" x14ac:dyDescent="0.2">
      <c r="B6776" s="31">
        <v>6767</v>
      </c>
      <c r="J6776">
        <f t="shared" si="111"/>
        <v>105000</v>
      </c>
      <c r="K6776" t="e">
        <f>VLOOKUP(B6776,'REGISTRO ABONOS'!$B$8:$BC$10041,54,0)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hidden="1" x14ac:dyDescent="0.2">
      <c r="B6777" s="31">
        <v>6768</v>
      </c>
      <c r="J6777">
        <f t="shared" si="111"/>
        <v>105000</v>
      </c>
      <c r="K6777" t="e">
        <f>VLOOKUP(B6777,'REGISTRO ABONOS'!$B$8:$BC$10041,54,0)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hidden="1" x14ac:dyDescent="0.2">
      <c r="B6778" s="31">
        <v>6769</v>
      </c>
      <c r="J6778">
        <f t="shared" si="111"/>
        <v>105000</v>
      </c>
      <c r="K6778" t="e">
        <f>VLOOKUP(B6778,'REGISTRO ABONOS'!$B$8:$BC$10041,54,0)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hidden="1" x14ac:dyDescent="0.2">
      <c r="B6779" s="31">
        <v>6770</v>
      </c>
      <c r="J6779">
        <f t="shared" si="111"/>
        <v>105000</v>
      </c>
      <c r="K6779" t="e">
        <f>VLOOKUP(B6779,'REGISTRO ABONOS'!$B$8:$BC$10041,54,0)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hidden="1" x14ac:dyDescent="0.2">
      <c r="B6780" s="31">
        <v>6771</v>
      </c>
      <c r="J6780">
        <f t="shared" si="111"/>
        <v>105000</v>
      </c>
      <c r="K6780" t="e">
        <f>VLOOKUP(B6780,'REGISTRO ABONOS'!$B$8:$BC$10041,54,0)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hidden="1" x14ac:dyDescent="0.2">
      <c r="B6781" s="31">
        <v>6772</v>
      </c>
      <c r="J6781">
        <f t="shared" si="111"/>
        <v>105000</v>
      </c>
      <c r="K6781" t="e">
        <f>VLOOKUP(B6781,'REGISTRO ABONOS'!$B$8:$BC$10041,54,0)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hidden="1" x14ac:dyDescent="0.2">
      <c r="B6782" s="31">
        <v>6773</v>
      </c>
      <c r="J6782">
        <f t="shared" si="111"/>
        <v>105000</v>
      </c>
      <c r="K6782" t="e">
        <f>VLOOKUP(B6782,'REGISTRO ABONOS'!$B$8:$BC$10041,54,0)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hidden="1" x14ac:dyDescent="0.2">
      <c r="B6783" s="31">
        <v>6774</v>
      </c>
      <c r="J6783">
        <f t="shared" si="111"/>
        <v>105000</v>
      </c>
      <c r="K6783" t="e">
        <f>VLOOKUP(B6783,'REGISTRO ABONOS'!$B$8:$BC$10041,54,0)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hidden="1" x14ac:dyDescent="0.2">
      <c r="B6784" s="31">
        <v>6775</v>
      </c>
      <c r="J6784">
        <f t="shared" si="111"/>
        <v>105000</v>
      </c>
      <c r="K6784" t="e">
        <f>VLOOKUP(B6784,'REGISTRO ABONOS'!$B$8:$BC$10041,54,0)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hidden="1" x14ac:dyDescent="0.2">
      <c r="B6785" s="31">
        <v>6776</v>
      </c>
      <c r="J6785">
        <f t="shared" si="111"/>
        <v>105000</v>
      </c>
      <c r="K6785" t="e">
        <f>VLOOKUP(B6785,'REGISTRO ABONOS'!$B$8:$BC$10041,54,0)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hidden="1" x14ac:dyDescent="0.2">
      <c r="B6786" s="31">
        <v>6777</v>
      </c>
      <c r="J6786">
        <f t="shared" si="111"/>
        <v>105000</v>
      </c>
      <c r="K6786" t="e">
        <f>VLOOKUP(B6786,'REGISTRO ABONOS'!$B$8:$BC$10041,54,0)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hidden="1" x14ac:dyDescent="0.2">
      <c r="B6787" s="31">
        <v>6778</v>
      </c>
      <c r="J6787">
        <f t="shared" si="111"/>
        <v>105000</v>
      </c>
      <c r="K6787" t="e">
        <f>VLOOKUP(B6787,'REGISTRO ABONOS'!$B$8:$BC$10041,54,0)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hidden="1" x14ac:dyDescent="0.2">
      <c r="B6788" s="31">
        <v>6779</v>
      </c>
      <c r="J6788">
        <f t="shared" si="111"/>
        <v>105000</v>
      </c>
      <c r="K6788" t="e">
        <f>VLOOKUP(B6788,'REGISTRO ABONOS'!$B$8:$BC$10041,54,0)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hidden="1" x14ac:dyDescent="0.2">
      <c r="B6789" s="31">
        <v>6780</v>
      </c>
      <c r="J6789">
        <f t="shared" si="111"/>
        <v>105000</v>
      </c>
      <c r="K6789" t="e">
        <f>VLOOKUP(B6789,'REGISTRO ABONOS'!$B$8:$BC$10041,54,0)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hidden="1" x14ac:dyDescent="0.2">
      <c r="B6790" s="31">
        <v>6781</v>
      </c>
      <c r="J6790">
        <f t="shared" si="111"/>
        <v>105000</v>
      </c>
      <c r="K6790" t="e">
        <f>VLOOKUP(B6790,'REGISTRO ABONOS'!$B$8:$BC$10041,54,0)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hidden="1" x14ac:dyDescent="0.2">
      <c r="B6791" s="31">
        <v>6782</v>
      </c>
      <c r="J6791">
        <f t="shared" si="111"/>
        <v>105000</v>
      </c>
      <c r="K6791" t="e">
        <f>VLOOKUP(B6791,'REGISTRO ABONOS'!$B$8:$BC$10041,54,0)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hidden="1" x14ac:dyDescent="0.2">
      <c r="B6792" s="31">
        <v>6783</v>
      </c>
      <c r="J6792">
        <f t="shared" si="111"/>
        <v>105000</v>
      </c>
      <c r="K6792" t="e">
        <f>VLOOKUP(B6792,'REGISTRO ABONOS'!$B$8:$BC$10041,54,0)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hidden="1" x14ac:dyDescent="0.2">
      <c r="B6793" s="31">
        <v>6784</v>
      </c>
      <c r="J6793">
        <f t="shared" si="111"/>
        <v>105000</v>
      </c>
      <c r="K6793" t="e">
        <f>VLOOKUP(B6793,'REGISTRO ABONOS'!$B$8:$BC$10041,54,0)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hidden="1" x14ac:dyDescent="0.2">
      <c r="B6794" s="31">
        <v>6785</v>
      </c>
      <c r="J6794">
        <f t="shared" si="111"/>
        <v>105000</v>
      </c>
      <c r="K6794" t="e">
        <f>VLOOKUP(B6794,'REGISTRO ABONOS'!$B$8:$BC$10041,54,0)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hidden="1" x14ac:dyDescent="0.2">
      <c r="B6795" s="31">
        <v>6786</v>
      </c>
      <c r="J6795">
        <f t="shared" si="111"/>
        <v>105000</v>
      </c>
      <c r="K6795" t="e">
        <f>VLOOKUP(B6795,'REGISTRO ABONOS'!$B$8:$BC$10041,54,0)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hidden="1" x14ac:dyDescent="0.2">
      <c r="B6796" s="31">
        <v>6787</v>
      </c>
      <c r="J6796">
        <f t="shared" si="111"/>
        <v>105000</v>
      </c>
      <c r="K6796" t="e">
        <f>VLOOKUP(B6796,'REGISTRO ABONOS'!$B$8:$BC$10041,54,0)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hidden="1" x14ac:dyDescent="0.2">
      <c r="B6797" s="31">
        <v>6788</v>
      </c>
      <c r="J6797">
        <f t="shared" si="111"/>
        <v>105000</v>
      </c>
      <c r="K6797" t="e">
        <f>VLOOKUP(B6797,'REGISTRO ABONOS'!$B$8:$BC$10041,54,0)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hidden="1" x14ac:dyDescent="0.2">
      <c r="B6798" s="31">
        <v>6789</v>
      </c>
      <c r="J6798">
        <f t="shared" si="111"/>
        <v>105000</v>
      </c>
      <c r="K6798" t="e">
        <f>VLOOKUP(B6798,'REGISTRO ABONOS'!$B$8:$BC$10041,54,0)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hidden="1" x14ac:dyDescent="0.2">
      <c r="B6799" s="31">
        <v>6790</v>
      </c>
      <c r="J6799">
        <f t="shared" si="111"/>
        <v>105000</v>
      </c>
      <c r="K6799" t="e">
        <f>VLOOKUP(B6799,'REGISTRO ABONOS'!$B$8:$BC$10041,54,0)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hidden="1" x14ac:dyDescent="0.2">
      <c r="B6800" s="31">
        <v>6791</v>
      </c>
      <c r="J6800">
        <f t="shared" si="111"/>
        <v>105000</v>
      </c>
      <c r="K6800" t="e">
        <f>VLOOKUP(B6800,'REGISTRO ABONOS'!$B$8:$BC$10041,54,0)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hidden="1" x14ac:dyDescent="0.2">
      <c r="B6801" s="31">
        <v>6792</v>
      </c>
      <c r="J6801">
        <f t="shared" si="111"/>
        <v>105000</v>
      </c>
      <c r="K6801" t="e">
        <f>VLOOKUP(B6801,'REGISTRO ABONOS'!$B$8:$BC$10041,54,0)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hidden="1" x14ac:dyDescent="0.2">
      <c r="B6802" s="31">
        <v>6793</v>
      </c>
      <c r="J6802">
        <f t="shared" si="111"/>
        <v>105000</v>
      </c>
      <c r="K6802" t="e">
        <f>VLOOKUP(B6802,'REGISTRO ABONOS'!$B$8:$BC$10041,54,0)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hidden="1" x14ac:dyDescent="0.2">
      <c r="B6803" s="31">
        <v>6794</v>
      </c>
      <c r="J6803">
        <f t="shared" si="111"/>
        <v>105000</v>
      </c>
      <c r="K6803" t="e">
        <f>VLOOKUP(B6803,'REGISTRO ABONOS'!$B$8:$BC$10041,54,0)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hidden="1" x14ac:dyDescent="0.2">
      <c r="B6804" s="31">
        <v>6795</v>
      </c>
      <c r="J6804">
        <f t="shared" si="111"/>
        <v>105000</v>
      </c>
      <c r="K6804" t="e">
        <f>VLOOKUP(B6804,'REGISTRO ABONOS'!$B$8:$BC$10041,54,0)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hidden="1" x14ac:dyDescent="0.2">
      <c r="B6805" s="31">
        <v>6796</v>
      </c>
      <c r="J6805">
        <f t="shared" si="111"/>
        <v>105000</v>
      </c>
      <c r="K6805" t="e">
        <f>VLOOKUP(B6805,'REGISTRO ABONOS'!$B$8:$BC$10041,54,0)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hidden="1" x14ac:dyDescent="0.2">
      <c r="B6806" s="31">
        <v>6797</v>
      </c>
      <c r="J6806">
        <f t="shared" si="111"/>
        <v>105000</v>
      </c>
      <c r="K6806" t="e">
        <f>VLOOKUP(B6806,'REGISTRO ABONOS'!$B$8:$BC$10041,54,0)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hidden="1" x14ac:dyDescent="0.2">
      <c r="B6807" s="31">
        <v>6798</v>
      </c>
      <c r="J6807">
        <f t="shared" si="111"/>
        <v>105000</v>
      </c>
      <c r="K6807" t="e">
        <f>VLOOKUP(B6807,'REGISTRO ABONOS'!$B$8:$BC$10041,54,0)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hidden="1" x14ac:dyDescent="0.2">
      <c r="B6808" s="31">
        <v>6799</v>
      </c>
      <c r="J6808">
        <f t="shared" si="111"/>
        <v>105000</v>
      </c>
      <c r="K6808" t="e">
        <f>VLOOKUP(B6808,'REGISTRO ABONOS'!$B$8:$BC$10041,54,0)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hidden="1" x14ac:dyDescent="0.2">
      <c r="B6809" s="31">
        <v>6800</v>
      </c>
      <c r="J6809">
        <f t="shared" si="111"/>
        <v>105000</v>
      </c>
      <c r="K6809" t="e">
        <f>VLOOKUP(B6809,'REGISTRO ABONOS'!$B$8:$BC$10041,54,0)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hidden="1" x14ac:dyDescent="0.2">
      <c r="B6810" s="31">
        <v>6801</v>
      </c>
      <c r="J6810">
        <f t="shared" si="111"/>
        <v>105000</v>
      </c>
      <c r="K6810" t="e">
        <f>VLOOKUP(B6810,'REGISTRO ABONOS'!$B$8:$BC$10041,54,0)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hidden="1" x14ac:dyDescent="0.2">
      <c r="B6811" s="31">
        <v>6802</v>
      </c>
      <c r="J6811">
        <f t="shared" si="111"/>
        <v>105000</v>
      </c>
      <c r="K6811" t="e">
        <f>VLOOKUP(B6811,'REGISTRO ABONOS'!$B$8:$BC$10041,54,0)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hidden="1" x14ac:dyDescent="0.2">
      <c r="B6812" s="31">
        <v>6803</v>
      </c>
      <c r="J6812">
        <f t="shared" si="111"/>
        <v>105000</v>
      </c>
      <c r="K6812" t="e">
        <f>VLOOKUP(B6812,'REGISTRO ABONOS'!$B$8:$BC$10041,54,0)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hidden="1" x14ac:dyDescent="0.2">
      <c r="B6813" s="31">
        <v>6804</v>
      </c>
      <c r="J6813">
        <f t="shared" si="111"/>
        <v>105000</v>
      </c>
      <c r="K6813" t="e">
        <f>VLOOKUP(B6813,'REGISTRO ABONOS'!$B$8:$BC$10041,54,0)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hidden="1" x14ac:dyDescent="0.2">
      <c r="B6814" s="31">
        <v>6805</v>
      </c>
      <c r="J6814">
        <f t="shared" si="111"/>
        <v>105000</v>
      </c>
      <c r="K6814" t="e">
        <f>VLOOKUP(B6814,'REGISTRO ABONOS'!$B$8:$BC$10041,54,0)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hidden="1" x14ac:dyDescent="0.2">
      <c r="B6815" s="31">
        <v>6806</v>
      </c>
      <c r="J6815">
        <f t="shared" si="111"/>
        <v>105000</v>
      </c>
      <c r="K6815" t="e">
        <f>VLOOKUP(B6815,'REGISTRO ABONOS'!$B$8:$BC$10041,54,0)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hidden="1" x14ac:dyDescent="0.2">
      <c r="B6816" s="31">
        <v>6807</v>
      </c>
      <c r="J6816">
        <f t="shared" si="111"/>
        <v>105000</v>
      </c>
      <c r="K6816" t="e">
        <f>VLOOKUP(B6816,'REGISTRO ABONOS'!$B$8:$BC$10041,54,0)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hidden="1" x14ac:dyDescent="0.2">
      <c r="B6817" s="31">
        <v>6808</v>
      </c>
      <c r="J6817">
        <f t="shared" si="111"/>
        <v>105000</v>
      </c>
      <c r="K6817" t="e">
        <f>VLOOKUP(B6817,'REGISTRO ABONOS'!$B$8:$BC$10041,54,0)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hidden="1" x14ac:dyDescent="0.2">
      <c r="B6818" s="31">
        <v>6809</v>
      </c>
      <c r="J6818">
        <f t="shared" si="111"/>
        <v>105000</v>
      </c>
      <c r="K6818" t="e">
        <f>VLOOKUP(B6818,'REGISTRO ABONOS'!$B$8:$BC$10041,54,0)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hidden="1" x14ac:dyDescent="0.2">
      <c r="B6819" s="31">
        <v>6810</v>
      </c>
      <c r="J6819">
        <f t="shared" si="111"/>
        <v>105000</v>
      </c>
      <c r="K6819" t="e">
        <f>VLOOKUP(B6819,'REGISTRO ABONOS'!$B$8:$BC$10041,54,0)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hidden="1" x14ac:dyDescent="0.2">
      <c r="B6820" s="31">
        <v>6811</v>
      </c>
      <c r="J6820">
        <f t="shared" si="111"/>
        <v>105000</v>
      </c>
      <c r="K6820" t="e">
        <f>VLOOKUP(B6820,'REGISTRO ABONOS'!$B$8:$BC$10041,54,0)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hidden="1" x14ac:dyDescent="0.2">
      <c r="B6821" s="31">
        <v>6812</v>
      </c>
      <c r="J6821">
        <f t="shared" si="111"/>
        <v>105000</v>
      </c>
      <c r="K6821" t="e">
        <f>VLOOKUP(B6821,'REGISTRO ABONOS'!$B$8:$BC$10041,54,0)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hidden="1" x14ac:dyDescent="0.2">
      <c r="B6822" s="31">
        <v>6813</v>
      </c>
      <c r="J6822">
        <f t="shared" si="111"/>
        <v>105000</v>
      </c>
      <c r="K6822" t="e">
        <f>VLOOKUP(B6822,'REGISTRO ABONOS'!$B$8:$BC$10041,54,0)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1"/>
        <v>105000</v>
      </c>
      <c r="K6823" t="e">
        <f>VLOOKUP(B6823,'REGISTRO ABONOS'!$B$8:$BC$10041,54,0)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hidden="1" x14ac:dyDescent="0.2">
      <c r="B6824" s="31">
        <v>6815</v>
      </c>
      <c r="J6824">
        <f t="shared" si="111"/>
        <v>105000</v>
      </c>
      <c r="K6824" t="e">
        <f>VLOOKUP(B6824,'REGISTRO ABONOS'!$B$8:$BC$10041,54,0)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hidden="1" x14ac:dyDescent="0.2">
      <c r="B6825" s="31">
        <v>6816</v>
      </c>
      <c r="J6825">
        <f t="shared" si="111"/>
        <v>105000</v>
      </c>
      <c r="K6825" t="e">
        <f>VLOOKUP(B6825,'REGISTRO ABONOS'!$B$8:$BC$10041,54,0)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hidden="1" x14ac:dyDescent="0.2">
      <c r="B6826" s="31">
        <v>6817</v>
      </c>
      <c r="J6826">
        <f t="shared" si="111"/>
        <v>105000</v>
      </c>
      <c r="K6826" t="e">
        <f>VLOOKUP(B6826,'REGISTRO ABONOS'!$B$8:$BC$10041,54,0)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hidden="1" x14ac:dyDescent="0.2">
      <c r="B6827" s="31">
        <v>6818</v>
      </c>
      <c r="J6827">
        <f t="shared" si="111"/>
        <v>105000</v>
      </c>
      <c r="K6827" t="e">
        <f>VLOOKUP(B6827,'REGISTRO ABONOS'!$B$8:$BC$10041,54,0)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hidden="1" x14ac:dyDescent="0.2">
      <c r="B6828" s="31">
        <v>6819</v>
      </c>
      <c r="J6828">
        <f t="shared" si="111"/>
        <v>105000</v>
      </c>
      <c r="K6828" t="e">
        <f>VLOOKUP(B6828,'REGISTRO ABONOS'!$B$8:$BC$10041,54,0)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hidden="1" x14ac:dyDescent="0.2">
      <c r="B6829" s="31">
        <v>6820</v>
      </c>
      <c r="J6829">
        <f t="shared" si="111"/>
        <v>105000</v>
      </c>
      <c r="K6829" t="e">
        <f>VLOOKUP(B6829,'REGISTRO ABONOS'!$B$8:$BC$10041,54,0)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hidden="1" x14ac:dyDescent="0.2">
      <c r="B6830" s="31">
        <v>6821</v>
      </c>
      <c r="J6830">
        <f t="shared" si="111"/>
        <v>105000</v>
      </c>
      <c r="K6830" t="e">
        <f>VLOOKUP(B6830,'REGISTRO ABONOS'!$B$8:$BC$10041,54,0)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hidden="1" x14ac:dyDescent="0.2">
      <c r="B6831" s="31">
        <v>6822</v>
      </c>
      <c r="J6831">
        <f t="shared" si="111"/>
        <v>105000</v>
      </c>
      <c r="K6831" t="e">
        <f>VLOOKUP(B6831,'REGISTRO ABONOS'!$B$8:$BC$10041,54,0)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hidden="1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ABONOS'!$B$8:$BC$10041,54,0)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hidden="1" x14ac:dyDescent="0.2">
      <c r="B6833" s="31">
        <v>6824</v>
      </c>
      <c r="J6833">
        <f t="shared" si="112"/>
        <v>105000</v>
      </c>
      <c r="K6833" t="e">
        <f>VLOOKUP(B6833,'REGISTRO ABONOS'!$B$8:$BC$10041,54,0)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hidden="1" x14ac:dyDescent="0.2">
      <c r="B6834" s="31">
        <v>6825</v>
      </c>
      <c r="J6834">
        <f t="shared" si="112"/>
        <v>105000</v>
      </c>
      <c r="K6834" t="e">
        <f>VLOOKUP(B6834,'REGISTRO ABONOS'!$B$8:$BC$10041,54,0)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hidden="1" x14ac:dyDescent="0.2">
      <c r="B6835" s="31">
        <v>6826</v>
      </c>
      <c r="J6835">
        <f t="shared" si="112"/>
        <v>105000</v>
      </c>
      <c r="K6835" t="e">
        <f>VLOOKUP(B6835,'REGISTRO ABONOS'!$B$8:$BC$10041,54,0)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2"/>
        <v>105000</v>
      </c>
      <c r="K6836" t="e">
        <f>VLOOKUP(B6836,'REGISTRO ABONOS'!$B$8:$BC$10041,54,0)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hidden="1" x14ac:dyDescent="0.2">
      <c r="B6837" s="31">
        <v>6828</v>
      </c>
      <c r="J6837">
        <f t="shared" si="112"/>
        <v>105000</v>
      </c>
      <c r="K6837" t="e">
        <f>VLOOKUP(B6837,'REGISTRO ABONOS'!$B$8:$BC$10041,54,0)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hidden="1" x14ac:dyDescent="0.2">
      <c r="B6838" s="31">
        <v>6829</v>
      </c>
      <c r="J6838">
        <f t="shared" si="112"/>
        <v>105000</v>
      </c>
      <c r="K6838" t="e">
        <f>VLOOKUP(B6838,'REGISTRO ABONOS'!$B$8:$BC$10041,54,0)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hidden="1" x14ac:dyDescent="0.2">
      <c r="B6839" s="31">
        <v>6830</v>
      </c>
      <c r="J6839">
        <f t="shared" si="112"/>
        <v>105000</v>
      </c>
      <c r="K6839" t="e">
        <f>VLOOKUP(B6839,'REGISTRO ABONOS'!$B$8:$BC$10041,54,0)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hidden="1" x14ac:dyDescent="0.2">
      <c r="B6840" s="31">
        <v>6831</v>
      </c>
      <c r="J6840">
        <f t="shared" si="112"/>
        <v>105000</v>
      </c>
      <c r="K6840" t="e">
        <f>VLOOKUP(B6840,'REGISTRO ABONOS'!$B$8:$BC$10041,54,0)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hidden="1" x14ac:dyDescent="0.2">
      <c r="B6841" s="31">
        <v>6832</v>
      </c>
      <c r="J6841">
        <f t="shared" si="112"/>
        <v>105000</v>
      </c>
      <c r="K6841" t="e">
        <f>VLOOKUP(B6841,'REGISTRO ABONOS'!$B$8:$BC$10041,54,0)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hidden="1" x14ac:dyDescent="0.2">
      <c r="B6842" s="31">
        <v>6833</v>
      </c>
      <c r="J6842">
        <f t="shared" si="112"/>
        <v>105000</v>
      </c>
      <c r="K6842" t="e">
        <f>VLOOKUP(B6842,'REGISTRO ABONOS'!$B$8:$BC$10041,54,0)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hidden="1" x14ac:dyDescent="0.2">
      <c r="B6843" s="31">
        <v>6834</v>
      </c>
      <c r="J6843">
        <f t="shared" si="112"/>
        <v>105000</v>
      </c>
      <c r="K6843" t="e">
        <f>VLOOKUP(B6843,'REGISTRO ABONOS'!$B$8:$BC$10041,54,0)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hidden="1" x14ac:dyDescent="0.2">
      <c r="B6844" s="31">
        <v>6835</v>
      </c>
      <c r="J6844">
        <f t="shared" si="112"/>
        <v>105000</v>
      </c>
      <c r="K6844" t="e">
        <f>VLOOKUP(B6844,'REGISTRO ABONOS'!$B$8:$BC$10041,54,0)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hidden="1" x14ac:dyDescent="0.2">
      <c r="B6845" s="31">
        <v>6836</v>
      </c>
      <c r="J6845">
        <f t="shared" si="112"/>
        <v>105000</v>
      </c>
      <c r="K6845" t="e">
        <f>VLOOKUP(B6845,'REGISTRO ABONOS'!$B$8:$BC$10041,54,0)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hidden="1" x14ac:dyDescent="0.2">
      <c r="B6846" s="31">
        <v>6837</v>
      </c>
      <c r="J6846">
        <f t="shared" si="112"/>
        <v>105000</v>
      </c>
      <c r="K6846" t="e">
        <f>VLOOKUP(B6846,'REGISTRO ABONOS'!$B$8:$BC$10041,54,0)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hidden="1" x14ac:dyDescent="0.2">
      <c r="B6847" s="31">
        <v>6838</v>
      </c>
      <c r="J6847">
        <f t="shared" si="112"/>
        <v>105000</v>
      </c>
      <c r="K6847" t="e">
        <f>VLOOKUP(B6847,'REGISTRO ABONOS'!$B$8:$BC$10041,54,0)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hidden="1" x14ac:dyDescent="0.2">
      <c r="B6848" s="31">
        <v>6839</v>
      </c>
      <c r="J6848">
        <f t="shared" si="112"/>
        <v>105000</v>
      </c>
      <c r="K6848" t="e">
        <f>VLOOKUP(B6848,'REGISTRO ABONOS'!$B$8:$BC$10041,54,0)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hidden="1" x14ac:dyDescent="0.2">
      <c r="B6849" s="31">
        <v>6840</v>
      </c>
      <c r="J6849">
        <f t="shared" si="112"/>
        <v>105000</v>
      </c>
      <c r="K6849" t="e">
        <f>VLOOKUP(B6849,'REGISTRO ABONOS'!$B$8:$BC$10041,54,0)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hidden="1" x14ac:dyDescent="0.2">
      <c r="B6850" s="31">
        <v>6841</v>
      </c>
      <c r="J6850">
        <f t="shared" si="112"/>
        <v>105000</v>
      </c>
      <c r="K6850" t="e">
        <f>VLOOKUP(B6850,'REGISTRO ABONOS'!$B$8:$BC$10041,54,0)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hidden="1" x14ac:dyDescent="0.2">
      <c r="B6851" s="31">
        <v>6842</v>
      </c>
      <c r="J6851">
        <f t="shared" si="112"/>
        <v>105000</v>
      </c>
      <c r="K6851" t="e">
        <f>VLOOKUP(B6851,'REGISTRO ABONOS'!$B$8:$BC$10041,54,0)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hidden="1" x14ac:dyDescent="0.2">
      <c r="B6852" s="31">
        <v>6843</v>
      </c>
      <c r="J6852">
        <f t="shared" si="112"/>
        <v>105000</v>
      </c>
      <c r="K6852" t="e">
        <f>VLOOKUP(B6852,'REGISTRO ABONOS'!$B$8:$BC$10041,54,0)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hidden="1" x14ac:dyDescent="0.2">
      <c r="B6853" s="31">
        <v>6844</v>
      </c>
      <c r="J6853">
        <f t="shared" si="112"/>
        <v>105000</v>
      </c>
      <c r="K6853" t="e">
        <f>VLOOKUP(B6853,'REGISTRO ABONOS'!$B$8:$BC$10041,54,0)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hidden="1" x14ac:dyDescent="0.2">
      <c r="B6854" s="31">
        <v>6845</v>
      </c>
      <c r="J6854">
        <f t="shared" si="112"/>
        <v>105000</v>
      </c>
      <c r="K6854" t="e">
        <f>VLOOKUP(B6854,'REGISTRO ABONOS'!$B$8:$BC$10041,54,0)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hidden="1" x14ac:dyDescent="0.2">
      <c r="B6855" s="31">
        <v>6846</v>
      </c>
      <c r="J6855">
        <f t="shared" si="112"/>
        <v>105000</v>
      </c>
      <c r="K6855" t="e">
        <f>VLOOKUP(B6855,'REGISTRO ABONOS'!$B$8:$BC$10041,54,0)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hidden="1" x14ac:dyDescent="0.2">
      <c r="B6856" s="31">
        <v>6847</v>
      </c>
      <c r="J6856">
        <f t="shared" si="112"/>
        <v>105000</v>
      </c>
      <c r="K6856" t="e">
        <f>VLOOKUP(B6856,'REGISTRO ABONOS'!$B$8:$BC$10041,54,0)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hidden="1" x14ac:dyDescent="0.2">
      <c r="B6857" s="31">
        <v>6848</v>
      </c>
      <c r="J6857">
        <f t="shared" si="112"/>
        <v>105000</v>
      </c>
      <c r="K6857" t="e">
        <f>VLOOKUP(B6857,'REGISTRO ABONOS'!$B$8:$BC$10041,54,0)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hidden="1" x14ac:dyDescent="0.2">
      <c r="B6858" s="31">
        <v>6849</v>
      </c>
      <c r="J6858">
        <f t="shared" si="112"/>
        <v>105000</v>
      </c>
      <c r="K6858" t="e">
        <f>VLOOKUP(B6858,'REGISTRO ABONOS'!$B$8:$BC$10041,54,0)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hidden="1" x14ac:dyDescent="0.2">
      <c r="B6859" s="31">
        <v>6850</v>
      </c>
      <c r="J6859">
        <f t="shared" si="112"/>
        <v>105000</v>
      </c>
      <c r="K6859" t="e">
        <f>VLOOKUP(B6859,'REGISTRO ABONOS'!$B$8:$BC$10041,54,0)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hidden="1" x14ac:dyDescent="0.2">
      <c r="B6860" s="31">
        <v>6851</v>
      </c>
      <c r="J6860">
        <f t="shared" si="112"/>
        <v>105000</v>
      </c>
      <c r="K6860" t="e">
        <f>VLOOKUP(B6860,'REGISTRO ABONOS'!$B$8:$BC$10041,54,0)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hidden="1" x14ac:dyDescent="0.2">
      <c r="B6861" s="31">
        <v>6852</v>
      </c>
      <c r="J6861">
        <f t="shared" si="112"/>
        <v>105000</v>
      </c>
      <c r="K6861" t="e">
        <f>VLOOKUP(B6861,'REGISTRO ABONOS'!$B$8:$BC$10041,54,0)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hidden="1" x14ac:dyDescent="0.2">
      <c r="B6862" s="31">
        <v>6853</v>
      </c>
      <c r="J6862">
        <f t="shared" si="112"/>
        <v>105000</v>
      </c>
      <c r="K6862" t="e">
        <f>VLOOKUP(B6862,'REGISTRO ABONOS'!$B$8:$BC$10041,54,0)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hidden="1" x14ac:dyDescent="0.2">
      <c r="B6863" s="31">
        <v>6854</v>
      </c>
      <c r="J6863">
        <f t="shared" si="112"/>
        <v>105000</v>
      </c>
      <c r="K6863" t="e">
        <f>VLOOKUP(B6863,'REGISTRO ABONOS'!$B$8:$BC$10041,54,0)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hidden="1" x14ac:dyDescent="0.2">
      <c r="B6864" s="31">
        <v>6855</v>
      </c>
      <c r="J6864">
        <f t="shared" si="112"/>
        <v>105000</v>
      </c>
      <c r="K6864" t="e">
        <f>VLOOKUP(B6864,'REGISTRO ABONOS'!$B$8:$BC$10041,54,0)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hidden="1" x14ac:dyDescent="0.2">
      <c r="B6865" s="31">
        <v>6856</v>
      </c>
      <c r="J6865">
        <f t="shared" si="112"/>
        <v>105000</v>
      </c>
      <c r="K6865" t="e">
        <f>VLOOKUP(B6865,'REGISTRO ABONOS'!$B$8:$BC$10041,54,0)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hidden="1" x14ac:dyDescent="0.2">
      <c r="B6866" s="31">
        <v>6857</v>
      </c>
      <c r="J6866">
        <f t="shared" si="112"/>
        <v>105000</v>
      </c>
      <c r="K6866" t="e">
        <f>VLOOKUP(B6866,'REGISTRO ABONOS'!$B$8:$BC$10041,54,0)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hidden="1" x14ac:dyDescent="0.2">
      <c r="B6867" s="31">
        <v>6858</v>
      </c>
      <c r="J6867">
        <f t="shared" si="112"/>
        <v>105000</v>
      </c>
      <c r="K6867" t="e">
        <f>VLOOKUP(B6867,'REGISTRO ABONOS'!$B$8:$BC$10041,54,0)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hidden="1" x14ac:dyDescent="0.2">
      <c r="B6868" s="31">
        <v>6859</v>
      </c>
      <c r="J6868">
        <f t="shared" si="112"/>
        <v>105000</v>
      </c>
      <c r="K6868" t="e">
        <f>VLOOKUP(B6868,'REGISTRO ABONOS'!$B$8:$BC$10041,54,0)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hidden="1" x14ac:dyDescent="0.2">
      <c r="B6869" s="31">
        <v>6860</v>
      </c>
      <c r="J6869">
        <f t="shared" si="112"/>
        <v>105000</v>
      </c>
      <c r="K6869" t="e">
        <f>VLOOKUP(B6869,'REGISTRO ABONOS'!$B$8:$BC$10041,54,0)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hidden="1" x14ac:dyDescent="0.2">
      <c r="B6870" s="31">
        <v>6861</v>
      </c>
      <c r="J6870">
        <f t="shared" si="112"/>
        <v>105000</v>
      </c>
      <c r="K6870" t="e">
        <f>VLOOKUP(B6870,'REGISTRO ABONOS'!$B$8:$BC$10041,54,0)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hidden="1" x14ac:dyDescent="0.2">
      <c r="B6871" s="31">
        <v>6862</v>
      </c>
      <c r="J6871">
        <f t="shared" si="112"/>
        <v>105000</v>
      </c>
      <c r="K6871" t="e">
        <f>VLOOKUP(B6871,'REGISTRO ABONOS'!$B$8:$BC$10041,54,0)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hidden="1" x14ac:dyDescent="0.2">
      <c r="B6872" s="31">
        <v>6863</v>
      </c>
      <c r="J6872">
        <f t="shared" si="112"/>
        <v>105000</v>
      </c>
      <c r="K6872" t="e">
        <f>VLOOKUP(B6872,'REGISTRO ABONOS'!$B$8:$BC$10041,54,0)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hidden="1" x14ac:dyDescent="0.2">
      <c r="B6873" s="31">
        <v>6864</v>
      </c>
      <c r="J6873">
        <f t="shared" si="112"/>
        <v>105000</v>
      </c>
      <c r="K6873" t="e">
        <f>VLOOKUP(B6873,'REGISTRO ABONOS'!$B$8:$BC$10041,54,0)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hidden="1" x14ac:dyDescent="0.2">
      <c r="B6874" s="31">
        <v>6865</v>
      </c>
      <c r="J6874">
        <f t="shared" si="112"/>
        <v>105000</v>
      </c>
      <c r="K6874" t="e">
        <f>VLOOKUP(B6874,'REGISTRO ABONOS'!$B$8:$BC$10041,54,0)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hidden="1" x14ac:dyDescent="0.2">
      <c r="B6875" s="31">
        <v>6866</v>
      </c>
      <c r="J6875">
        <f t="shared" si="112"/>
        <v>105000</v>
      </c>
      <c r="K6875" t="e">
        <f>VLOOKUP(B6875,'REGISTRO ABONOS'!$B$8:$BC$10041,54,0)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hidden="1" x14ac:dyDescent="0.2">
      <c r="B6876" s="31">
        <v>6867</v>
      </c>
      <c r="J6876">
        <f t="shared" si="112"/>
        <v>105000</v>
      </c>
      <c r="K6876" t="e">
        <f>VLOOKUP(B6876,'REGISTRO ABONOS'!$B$8:$BC$10041,54,0)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hidden="1" x14ac:dyDescent="0.2">
      <c r="B6877" s="31">
        <v>6868</v>
      </c>
      <c r="J6877">
        <f t="shared" si="112"/>
        <v>105000</v>
      </c>
      <c r="K6877" t="e">
        <f>VLOOKUP(B6877,'REGISTRO ABONOS'!$B$8:$BC$10041,54,0)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hidden="1" x14ac:dyDescent="0.2">
      <c r="B6878" s="31">
        <v>6869</v>
      </c>
      <c r="J6878">
        <f t="shared" si="112"/>
        <v>105000</v>
      </c>
      <c r="K6878" t="e">
        <f>VLOOKUP(B6878,'REGISTRO ABONOS'!$B$8:$BC$10041,54,0)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hidden="1" x14ac:dyDescent="0.2">
      <c r="B6879" s="31">
        <v>6870</v>
      </c>
      <c r="J6879">
        <f t="shared" si="112"/>
        <v>105000</v>
      </c>
      <c r="K6879" t="e">
        <f>VLOOKUP(B6879,'REGISTRO ABONOS'!$B$8:$BC$10041,54,0)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hidden="1" x14ac:dyDescent="0.2">
      <c r="B6880" s="31">
        <v>6871</v>
      </c>
      <c r="J6880">
        <f t="shared" si="112"/>
        <v>105000</v>
      </c>
      <c r="K6880" t="e">
        <f>VLOOKUP(B6880,'REGISTRO ABONOS'!$B$8:$BC$10041,54,0)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hidden="1" x14ac:dyDescent="0.2">
      <c r="B6881" s="31">
        <v>6872</v>
      </c>
      <c r="J6881">
        <f t="shared" si="112"/>
        <v>105000</v>
      </c>
      <c r="K6881" t="e">
        <f>VLOOKUP(B6881,'REGISTRO ABONOS'!$B$8:$BC$10041,54,0)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hidden="1" x14ac:dyDescent="0.2">
      <c r="B6882" s="31">
        <v>6873</v>
      </c>
      <c r="J6882">
        <f t="shared" si="112"/>
        <v>105000</v>
      </c>
      <c r="K6882" t="e">
        <f>VLOOKUP(B6882,'REGISTRO ABONOS'!$B$8:$BC$10041,54,0)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hidden="1" x14ac:dyDescent="0.2">
      <c r="B6883" s="31">
        <v>6874</v>
      </c>
      <c r="J6883">
        <f t="shared" si="112"/>
        <v>105000</v>
      </c>
      <c r="K6883" t="e">
        <f>VLOOKUP(B6883,'REGISTRO ABONOS'!$B$8:$BC$10041,54,0)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hidden="1" x14ac:dyDescent="0.2">
      <c r="B6884" s="31">
        <v>6875</v>
      </c>
      <c r="J6884">
        <f t="shared" si="112"/>
        <v>105000</v>
      </c>
      <c r="K6884" t="e">
        <f>VLOOKUP(B6884,'REGISTRO ABONOS'!$B$8:$BC$10041,54,0)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hidden="1" x14ac:dyDescent="0.2">
      <c r="B6885" s="31">
        <v>6876</v>
      </c>
      <c r="J6885">
        <f t="shared" si="112"/>
        <v>105000</v>
      </c>
      <c r="K6885" t="e">
        <f>VLOOKUP(B6885,'REGISTRO ABONOS'!$B$8:$BC$10041,54,0)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hidden="1" x14ac:dyDescent="0.2">
      <c r="B6886" s="31">
        <v>6877</v>
      </c>
      <c r="J6886">
        <f t="shared" si="112"/>
        <v>105000</v>
      </c>
      <c r="K6886" t="e">
        <f>VLOOKUP(B6886,'REGISTRO ABONOS'!$B$8:$BC$10041,54,0)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hidden="1" x14ac:dyDescent="0.2">
      <c r="B6887" s="31">
        <v>6878</v>
      </c>
      <c r="J6887">
        <f t="shared" si="112"/>
        <v>105000</v>
      </c>
      <c r="K6887" t="e">
        <f>VLOOKUP(B6887,'REGISTRO ABONOS'!$B$8:$BC$10041,54,0)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hidden="1" x14ac:dyDescent="0.2">
      <c r="B6888" s="31">
        <v>6879</v>
      </c>
      <c r="J6888">
        <f t="shared" si="112"/>
        <v>105000</v>
      </c>
      <c r="K6888" t="e">
        <f>VLOOKUP(B6888,'REGISTRO ABONOS'!$B$8:$BC$10041,54,0)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hidden="1" x14ac:dyDescent="0.2">
      <c r="B6889" s="31">
        <v>6880</v>
      </c>
      <c r="J6889">
        <f t="shared" si="112"/>
        <v>105000</v>
      </c>
      <c r="K6889" t="e">
        <f>VLOOKUP(B6889,'REGISTRO ABONOS'!$B$8:$BC$10041,54,0)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hidden="1" x14ac:dyDescent="0.2">
      <c r="B6890" s="31">
        <v>6881</v>
      </c>
      <c r="J6890">
        <f t="shared" si="112"/>
        <v>105000</v>
      </c>
      <c r="K6890" t="e">
        <f>VLOOKUP(B6890,'REGISTRO ABONOS'!$B$8:$BC$10041,54,0)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hidden="1" x14ac:dyDescent="0.2">
      <c r="B6891" s="31">
        <v>6882</v>
      </c>
      <c r="J6891">
        <f t="shared" si="112"/>
        <v>105000</v>
      </c>
      <c r="K6891" t="e">
        <f>VLOOKUP(B6891,'REGISTRO ABONOS'!$B$8:$BC$10041,54,0)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hidden="1" x14ac:dyDescent="0.2">
      <c r="B6892" s="31">
        <v>6883</v>
      </c>
      <c r="J6892">
        <f t="shared" si="112"/>
        <v>105000</v>
      </c>
      <c r="K6892" t="e">
        <f>VLOOKUP(B6892,'REGISTRO ABONOS'!$B$8:$BC$10041,54,0)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hidden="1" x14ac:dyDescent="0.2">
      <c r="B6893" s="31">
        <v>6884</v>
      </c>
      <c r="J6893">
        <f t="shared" si="112"/>
        <v>105000</v>
      </c>
      <c r="K6893" t="e">
        <f>VLOOKUP(B6893,'REGISTRO ABONOS'!$B$8:$BC$10041,54,0)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hidden="1" x14ac:dyDescent="0.2">
      <c r="B6894" s="31">
        <v>6885</v>
      </c>
      <c r="J6894">
        <f t="shared" si="112"/>
        <v>105000</v>
      </c>
      <c r="K6894" t="e">
        <f>VLOOKUP(B6894,'REGISTRO ABONOS'!$B$8:$BC$10041,54,0)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hidden="1" x14ac:dyDescent="0.2">
      <c r="B6895" s="31">
        <v>6886</v>
      </c>
      <c r="J6895">
        <f t="shared" si="112"/>
        <v>105000</v>
      </c>
      <c r="K6895" t="e">
        <f>VLOOKUP(B6895,'REGISTRO ABONOS'!$B$8:$BC$10041,54,0)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hidden="1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ABONOS'!$B$8:$BC$10041,54,0)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hidden="1" x14ac:dyDescent="0.2">
      <c r="B6897" s="31">
        <v>6888</v>
      </c>
      <c r="J6897">
        <f t="shared" si="113"/>
        <v>105000</v>
      </c>
      <c r="K6897" t="e">
        <f>VLOOKUP(B6897,'REGISTRO ABONOS'!$B$8:$BC$10041,54,0)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hidden="1" x14ac:dyDescent="0.2">
      <c r="B6898" s="31">
        <v>6889</v>
      </c>
      <c r="J6898">
        <f t="shared" si="113"/>
        <v>105000</v>
      </c>
      <c r="K6898" t="e">
        <f>VLOOKUP(B6898,'REGISTRO ABONOS'!$B$8:$BC$10041,54,0)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hidden="1" x14ac:dyDescent="0.2">
      <c r="B6899" s="31">
        <v>6890</v>
      </c>
      <c r="J6899">
        <f t="shared" si="113"/>
        <v>105000</v>
      </c>
      <c r="K6899" t="e">
        <f>VLOOKUP(B6899,'REGISTRO ABONOS'!$B$8:$BC$10041,54,0)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hidden="1" x14ac:dyDescent="0.2">
      <c r="B6900" s="31">
        <v>6891</v>
      </c>
      <c r="J6900">
        <f t="shared" si="113"/>
        <v>105000</v>
      </c>
      <c r="K6900" t="e">
        <f>VLOOKUP(B6900,'REGISTRO ABONOS'!$B$8:$BC$10041,54,0)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hidden="1" x14ac:dyDescent="0.2">
      <c r="B6901" s="31">
        <v>6892</v>
      </c>
      <c r="J6901">
        <f t="shared" si="113"/>
        <v>105000</v>
      </c>
      <c r="K6901" t="e">
        <f>VLOOKUP(B6901,'REGISTRO ABONOS'!$B$8:$BC$10041,54,0)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hidden="1" x14ac:dyDescent="0.2">
      <c r="B6902" s="31">
        <v>6893</v>
      </c>
      <c r="J6902">
        <f t="shared" si="113"/>
        <v>105000</v>
      </c>
      <c r="K6902" t="e">
        <f>VLOOKUP(B6902,'REGISTRO ABONOS'!$B$8:$BC$10041,54,0)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hidden="1" x14ac:dyDescent="0.2">
      <c r="B6903" s="31">
        <v>6894</v>
      </c>
      <c r="J6903">
        <f t="shared" si="113"/>
        <v>105000</v>
      </c>
      <c r="K6903" t="e">
        <f>VLOOKUP(B6903,'REGISTRO ABONOS'!$B$8:$BC$10041,54,0)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hidden="1" x14ac:dyDescent="0.2">
      <c r="B6904" s="31">
        <v>6895</v>
      </c>
      <c r="J6904">
        <f t="shared" si="113"/>
        <v>105000</v>
      </c>
      <c r="K6904" t="e">
        <f>VLOOKUP(B6904,'REGISTRO ABONOS'!$B$8:$BC$10041,54,0)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hidden="1" x14ac:dyDescent="0.2">
      <c r="B6905" s="31">
        <v>6896</v>
      </c>
      <c r="J6905">
        <f t="shared" si="113"/>
        <v>105000</v>
      </c>
      <c r="K6905" t="e">
        <f>VLOOKUP(B6905,'REGISTRO ABONOS'!$B$8:$BC$10041,54,0)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hidden="1" x14ac:dyDescent="0.2">
      <c r="B6906" s="31">
        <v>6897</v>
      </c>
      <c r="J6906">
        <f t="shared" si="113"/>
        <v>105000</v>
      </c>
      <c r="K6906" t="e">
        <f>VLOOKUP(B6906,'REGISTRO ABONOS'!$B$8:$BC$10041,54,0)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hidden="1" x14ac:dyDescent="0.2">
      <c r="B6907" s="31">
        <v>6898</v>
      </c>
      <c r="J6907">
        <f t="shared" si="113"/>
        <v>105000</v>
      </c>
      <c r="K6907" t="e">
        <f>VLOOKUP(B6907,'REGISTRO ABONOS'!$B$8:$BC$10041,54,0)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hidden="1" x14ac:dyDescent="0.2">
      <c r="B6908" s="31">
        <v>6899</v>
      </c>
      <c r="J6908">
        <f t="shared" si="113"/>
        <v>105000</v>
      </c>
      <c r="K6908" t="e">
        <f>VLOOKUP(B6908,'REGISTRO ABONOS'!$B$8:$BC$10041,54,0)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hidden="1" x14ac:dyDescent="0.2">
      <c r="B6909" s="31">
        <v>6900</v>
      </c>
      <c r="J6909">
        <f t="shared" si="113"/>
        <v>105000</v>
      </c>
      <c r="K6909" t="e">
        <f>VLOOKUP(B6909,'REGISTRO ABONOS'!$B$8:$BC$10041,54,0)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3"/>
        <v>105000</v>
      </c>
      <c r="K6910" t="e">
        <f>VLOOKUP(B6910,'REGISTRO ABONOS'!$B$8:$BC$10041,54,0)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3"/>
        <v>105000</v>
      </c>
      <c r="K6911" t="e">
        <f>VLOOKUP(B6911,'REGISTRO ABONOS'!$B$8:$BC$10041,54,0)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hidden="1" x14ac:dyDescent="0.2">
      <c r="B6912" s="31">
        <v>6903</v>
      </c>
      <c r="J6912">
        <f t="shared" si="113"/>
        <v>105000</v>
      </c>
      <c r="K6912" t="e">
        <f>VLOOKUP(B6912,'REGISTRO ABONOS'!$B$8:$BC$10041,54,0)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hidden="1" x14ac:dyDescent="0.2">
      <c r="B6913" s="31">
        <v>6904</v>
      </c>
      <c r="J6913">
        <f t="shared" si="113"/>
        <v>105000</v>
      </c>
      <c r="K6913" t="e">
        <f>VLOOKUP(B6913,'REGISTRO ABONOS'!$B$8:$BC$10041,54,0)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hidden="1" x14ac:dyDescent="0.2">
      <c r="B6914" s="31">
        <v>6905</v>
      </c>
      <c r="J6914">
        <f t="shared" si="113"/>
        <v>105000</v>
      </c>
      <c r="K6914" t="e">
        <f>VLOOKUP(B6914,'REGISTRO ABONOS'!$B$8:$BC$10041,54,0)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hidden="1" x14ac:dyDescent="0.2">
      <c r="B6915" s="31">
        <v>6906</v>
      </c>
      <c r="J6915">
        <f t="shared" si="113"/>
        <v>105000</v>
      </c>
      <c r="K6915" t="e">
        <f>VLOOKUP(B6915,'REGISTRO ABONOS'!$B$8:$BC$10041,54,0)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hidden="1" x14ac:dyDescent="0.2">
      <c r="B6916" s="31">
        <v>6907</v>
      </c>
      <c r="J6916">
        <f t="shared" si="113"/>
        <v>105000</v>
      </c>
      <c r="K6916" t="e">
        <f>VLOOKUP(B6916,'REGISTRO ABONOS'!$B$8:$BC$10041,54,0)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hidden="1" x14ac:dyDescent="0.2">
      <c r="B6917" s="31">
        <v>6908</v>
      </c>
      <c r="J6917">
        <f t="shared" si="113"/>
        <v>105000</v>
      </c>
      <c r="K6917" t="e">
        <f>VLOOKUP(B6917,'REGISTRO ABONOS'!$B$8:$BC$10041,54,0)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hidden="1" x14ac:dyDescent="0.2">
      <c r="B6918" s="31">
        <v>6909</v>
      </c>
      <c r="J6918">
        <f t="shared" si="113"/>
        <v>105000</v>
      </c>
      <c r="K6918" t="e">
        <f>VLOOKUP(B6918,'REGISTRO ABONOS'!$B$8:$BC$10041,54,0)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hidden="1" x14ac:dyDescent="0.2">
      <c r="B6919" s="31">
        <v>6910</v>
      </c>
      <c r="J6919">
        <f t="shared" si="113"/>
        <v>105000</v>
      </c>
      <c r="K6919" t="e">
        <f>VLOOKUP(B6919,'REGISTRO ABONOS'!$B$8:$BC$10041,54,0)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hidden="1" x14ac:dyDescent="0.2">
      <c r="B6920" s="31">
        <v>6911</v>
      </c>
      <c r="J6920">
        <f t="shared" si="113"/>
        <v>105000</v>
      </c>
      <c r="K6920" t="e">
        <f>VLOOKUP(B6920,'REGISTRO ABONOS'!$B$8:$BC$10041,54,0)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hidden="1" x14ac:dyDescent="0.2">
      <c r="B6921" s="31">
        <v>6912</v>
      </c>
      <c r="J6921">
        <f t="shared" si="113"/>
        <v>105000</v>
      </c>
      <c r="K6921" t="e">
        <f>VLOOKUP(B6921,'REGISTRO ABONOS'!$B$8:$BC$10041,54,0)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hidden="1" x14ac:dyDescent="0.2">
      <c r="B6922" s="31">
        <v>6913</v>
      </c>
      <c r="J6922">
        <f t="shared" si="113"/>
        <v>105000</v>
      </c>
      <c r="K6922" t="e">
        <f>VLOOKUP(B6922,'REGISTRO ABONOS'!$B$8:$BC$10041,54,0)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hidden="1" x14ac:dyDescent="0.2">
      <c r="B6923" s="31">
        <v>6914</v>
      </c>
      <c r="J6923">
        <f t="shared" si="113"/>
        <v>105000</v>
      </c>
      <c r="K6923" t="e">
        <f>VLOOKUP(B6923,'REGISTRO ABONOS'!$B$8:$BC$10041,54,0)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hidden="1" x14ac:dyDescent="0.2">
      <c r="B6924" s="31">
        <v>6915</v>
      </c>
      <c r="J6924">
        <f t="shared" si="113"/>
        <v>105000</v>
      </c>
      <c r="K6924" t="e">
        <f>VLOOKUP(B6924,'REGISTRO ABONOS'!$B$8:$BC$10041,54,0)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hidden="1" x14ac:dyDescent="0.2">
      <c r="B6925" s="31">
        <v>6916</v>
      </c>
      <c r="J6925">
        <f t="shared" si="113"/>
        <v>105000</v>
      </c>
      <c r="K6925" t="e">
        <f>VLOOKUP(B6925,'REGISTRO ABONOS'!$B$8:$BC$10041,54,0)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hidden="1" x14ac:dyDescent="0.2">
      <c r="B6926" s="31">
        <v>6917</v>
      </c>
      <c r="J6926">
        <f t="shared" si="113"/>
        <v>105000</v>
      </c>
      <c r="K6926" t="e">
        <f>VLOOKUP(B6926,'REGISTRO ABONOS'!$B$8:$BC$10041,54,0)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hidden="1" x14ac:dyDescent="0.2">
      <c r="B6927" s="31">
        <v>6918</v>
      </c>
      <c r="J6927">
        <f t="shared" si="113"/>
        <v>105000</v>
      </c>
      <c r="K6927" t="e">
        <f>VLOOKUP(B6927,'REGISTRO ABONOS'!$B$8:$BC$10041,54,0)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hidden="1" x14ac:dyDescent="0.2">
      <c r="B6928" s="31">
        <v>6919</v>
      </c>
      <c r="J6928">
        <f t="shared" si="113"/>
        <v>105000</v>
      </c>
      <c r="K6928" t="e">
        <f>VLOOKUP(B6928,'REGISTRO ABONOS'!$B$8:$BC$10041,54,0)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hidden="1" x14ac:dyDescent="0.2">
      <c r="B6929" s="31">
        <v>6920</v>
      </c>
      <c r="J6929">
        <f t="shared" si="113"/>
        <v>105000</v>
      </c>
      <c r="K6929" t="e">
        <f>VLOOKUP(B6929,'REGISTRO ABONOS'!$B$8:$BC$10041,54,0)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hidden="1" x14ac:dyDescent="0.2">
      <c r="B6930" s="31">
        <v>6921</v>
      </c>
      <c r="J6930">
        <f t="shared" si="113"/>
        <v>105000</v>
      </c>
      <c r="K6930" t="e">
        <f>VLOOKUP(B6930,'REGISTRO ABONOS'!$B$8:$BC$10041,54,0)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hidden="1" x14ac:dyDescent="0.2">
      <c r="B6931" s="31">
        <v>6922</v>
      </c>
      <c r="J6931">
        <f t="shared" si="113"/>
        <v>105000</v>
      </c>
      <c r="K6931" t="e">
        <f>VLOOKUP(B6931,'REGISTRO ABONOS'!$B$8:$BC$10041,54,0)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hidden="1" x14ac:dyDescent="0.2">
      <c r="B6932" s="31">
        <v>6923</v>
      </c>
      <c r="J6932">
        <f t="shared" si="113"/>
        <v>105000</v>
      </c>
      <c r="K6932" t="e">
        <f>VLOOKUP(B6932,'REGISTRO ABONOS'!$B$8:$BC$10041,54,0)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hidden="1" x14ac:dyDescent="0.2">
      <c r="B6933" s="31">
        <v>6924</v>
      </c>
      <c r="J6933">
        <f t="shared" si="113"/>
        <v>105000</v>
      </c>
      <c r="K6933" t="e">
        <f>VLOOKUP(B6933,'REGISTRO ABONOS'!$B$8:$BC$10041,54,0)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hidden="1" x14ac:dyDescent="0.2">
      <c r="B6934" s="31">
        <v>6925</v>
      </c>
      <c r="J6934">
        <f t="shared" si="113"/>
        <v>105000</v>
      </c>
      <c r="K6934" t="e">
        <f>VLOOKUP(B6934,'REGISTRO ABONOS'!$B$8:$BC$10041,54,0)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hidden="1" x14ac:dyDescent="0.2">
      <c r="B6935" s="31">
        <v>6926</v>
      </c>
      <c r="J6935">
        <f t="shared" si="113"/>
        <v>105000</v>
      </c>
      <c r="K6935" t="e">
        <f>VLOOKUP(B6935,'REGISTRO ABONOS'!$B$8:$BC$10041,54,0)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hidden="1" x14ac:dyDescent="0.2">
      <c r="B6936" s="31">
        <v>6927</v>
      </c>
      <c r="J6936">
        <f t="shared" si="113"/>
        <v>105000</v>
      </c>
      <c r="K6936" t="e">
        <f>VLOOKUP(B6936,'REGISTRO ABONOS'!$B$8:$BC$10041,54,0)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hidden="1" x14ac:dyDescent="0.2">
      <c r="B6937" s="31">
        <v>6928</v>
      </c>
      <c r="J6937">
        <f t="shared" si="113"/>
        <v>105000</v>
      </c>
      <c r="K6937" t="e">
        <f>VLOOKUP(B6937,'REGISTRO ABONOS'!$B$8:$BC$10041,54,0)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hidden="1" x14ac:dyDescent="0.2">
      <c r="B6938" s="31">
        <v>6929</v>
      </c>
      <c r="J6938">
        <f t="shared" si="113"/>
        <v>105000</v>
      </c>
      <c r="K6938" t="e">
        <f>VLOOKUP(B6938,'REGISTRO ABONOS'!$B$8:$BC$10041,54,0)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hidden="1" x14ac:dyDescent="0.2">
      <c r="B6939" s="31">
        <v>6930</v>
      </c>
      <c r="J6939">
        <f t="shared" si="113"/>
        <v>105000</v>
      </c>
      <c r="K6939" t="e">
        <f>VLOOKUP(B6939,'REGISTRO ABONOS'!$B$8:$BC$10041,54,0)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hidden="1" x14ac:dyDescent="0.2">
      <c r="B6940" s="31">
        <v>6931</v>
      </c>
      <c r="J6940">
        <f t="shared" si="113"/>
        <v>105000</v>
      </c>
      <c r="K6940" t="e">
        <f>VLOOKUP(B6940,'REGISTRO ABONOS'!$B$8:$BC$10041,54,0)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hidden="1" x14ac:dyDescent="0.2">
      <c r="B6941" s="31">
        <v>6932</v>
      </c>
      <c r="J6941">
        <f t="shared" si="113"/>
        <v>105000</v>
      </c>
      <c r="K6941" t="e">
        <f>VLOOKUP(B6941,'REGISTRO ABONOS'!$B$8:$BC$10041,54,0)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hidden="1" x14ac:dyDescent="0.2">
      <c r="B6942" s="31">
        <v>6933</v>
      </c>
      <c r="J6942">
        <f t="shared" si="113"/>
        <v>105000</v>
      </c>
      <c r="K6942" t="e">
        <f>VLOOKUP(B6942,'REGISTRO ABONOS'!$B$8:$BC$10041,54,0)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hidden="1" x14ac:dyDescent="0.2">
      <c r="B6943" s="31">
        <v>6934</v>
      </c>
      <c r="J6943">
        <f t="shared" si="113"/>
        <v>105000</v>
      </c>
      <c r="K6943" t="e">
        <f>VLOOKUP(B6943,'REGISTRO ABONOS'!$B$8:$BC$10041,54,0)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hidden="1" x14ac:dyDescent="0.2">
      <c r="B6944" s="31">
        <v>6935</v>
      </c>
      <c r="J6944">
        <f t="shared" si="113"/>
        <v>105000</v>
      </c>
      <c r="K6944" t="e">
        <f>VLOOKUP(B6944,'REGISTRO ABONOS'!$B$8:$BC$10041,54,0)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3"/>
        <v>105000</v>
      </c>
      <c r="K6945" t="e">
        <f>VLOOKUP(B6945,'REGISTRO ABONOS'!$B$8:$BC$10041,54,0)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hidden="1" x14ac:dyDescent="0.2">
      <c r="B6946" s="31">
        <v>6937</v>
      </c>
      <c r="J6946">
        <f t="shared" si="113"/>
        <v>105000</v>
      </c>
      <c r="K6946" t="e">
        <f>VLOOKUP(B6946,'REGISTRO ABONOS'!$B$8:$BC$10041,54,0)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hidden="1" x14ac:dyDescent="0.2">
      <c r="B6947" s="31">
        <v>6938</v>
      </c>
      <c r="J6947">
        <f t="shared" si="113"/>
        <v>105000</v>
      </c>
      <c r="K6947" t="e">
        <f>VLOOKUP(B6947,'REGISTRO ABONOS'!$B$8:$BC$10041,54,0)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hidden="1" x14ac:dyDescent="0.2">
      <c r="B6948" s="31">
        <v>6939</v>
      </c>
      <c r="J6948">
        <f t="shared" si="113"/>
        <v>105000</v>
      </c>
      <c r="K6948" t="e">
        <f>VLOOKUP(B6948,'REGISTRO ABONOS'!$B$8:$BC$10041,54,0)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hidden="1" x14ac:dyDescent="0.2">
      <c r="B6949" s="31">
        <v>6940</v>
      </c>
      <c r="J6949">
        <f t="shared" si="113"/>
        <v>105000</v>
      </c>
      <c r="K6949" t="e">
        <f>VLOOKUP(B6949,'REGISTRO ABONOS'!$B$8:$BC$10041,54,0)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hidden="1" x14ac:dyDescent="0.2">
      <c r="B6950" s="31">
        <v>6941</v>
      </c>
      <c r="J6950">
        <f t="shared" si="113"/>
        <v>105000</v>
      </c>
      <c r="K6950" t="e">
        <f>VLOOKUP(B6950,'REGISTRO ABONOS'!$B$8:$BC$10041,54,0)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3"/>
        <v>105000</v>
      </c>
      <c r="K6951">
        <f>VLOOKUP(B6951,'REGISTRO ABONOS'!$B$8:$BC$10041,54,0)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hidden="1" x14ac:dyDescent="0.2">
      <c r="B6952" s="31">
        <v>6943</v>
      </c>
      <c r="J6952">
        <f t="shared" si="113"/>
        <v>105000</v>
      </c>
      <c r="K6952" t="e">
        <f>VLOOKUP(B6952,'REGISTRO ABONOS'!$B$8:$BC$10041,54,0)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hidden="1" x14ac:dyDescent="0.2">
      <c r="B6953" s="31">
        <v>6944</v>
      </c>
      <c r="J6953">
        <f t="shared" si="113"/>
        <v>105000</v>
      </c>
      <c r="K6953" t="e">
        <f>VLOOKUP(B6953,'REGISTRO ABONOS'!$B$8:$BC$10041,54,0)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hidden="1" x14ac:dyDescent="0.2">
      <c r="B6954" s="31">
        <v>6945</v>
      </c>
      <c r="J6954">
        <f t="shared" si="113"/>
        <v>105000</v>
      </c>
      <c r="K6954" t="e">
        <f>VLOOKUP(B6954,'REGISTRO ABONOS'!$B$8:$BC$10041,54,0)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hidden="1" x14ac:dyDescent="0.2">
      <c r="B6955" s="31">
        <v>6946</v>
      </c>
      <c r="J6955">
        <f t="shared" si="113"/>
        <v>105000</v>
      </c>
      <c r="K6955" t="e">
        <f>VLOOKUP(B6955,'REGISTRO ABONOS'!$B$8:$BC$10041,54,0)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hidden="1" x14ac:dyDescent="0.2">
      <c r="B6956" s="31">
        <v>6947</v>
      </c>
      <c r="J6956">
        <f t="shared" si="113"/>
        <v>105000</v>
      </c>
      <c r="K6956" t="e">
        <f>VLOOKUP(B6956,'REGISTRO ABONOS'!$B$8:$BC$10041,54,0)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3"/>
        <v>130000</v>
      </c>
      <c r="K6957" t="e">
        <f>VLOOKUP(B6957,'REGISTRO ABONOS'!$B$8:$BC$10041,54,0)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hidden="1" x14ac:dyDescent="0.2">
      <c r="B6958" s="31">
        <v>6949</v>
      </c>
      <c r="J6958">
        <f t="shared" si="113"/>
        <v>105000</v>
      </c>
      <c r="K6958" t="e">
        <f>VLOOKUP(B6958,'REGISTRO ABONOS'!$B$8:$BC$10041,54,0)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hidden="1" x14ac:dyDescent="0.2">
      <c r="B6959" s="31">
        <v>6950</v>
      </c>
      <c r="J6959">
        <f t="shared" si="113"/>
        <v>105000</v>
      </c>
      <c r="K6959" t="e">
        <f>VLOOKUP(B6959,'REGISTRO ABONOS'!$B$8:$BC$10041,54,0)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hidden="1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ABONOS'!$B$8:$BC$10041,54,0)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hidden="1" x14ac:dyDescent="0.2">
      <c r="B6961" s="31">
        <v>6952</v>
      </c>
      <c r="J6961">
        <f t="shared" si="114"/>
        <v>105000</v>
      </c>
      <c r="K6961" t="e">
        <f>VLOOKUP(B6961,'REGISTRO ABONOS'!$B$8:$BC$10041,54,0)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hidden="1" x14ac:dyDescent="0.2">
      <c r="B6962" s="31">
        <v>6953</v>
      </c>
      <c r="J6962">
        <f t="shared" si="114"/>
        <v>105000</v>
      </c>
      <c r="K6962" t="e">
        <f>VLOOKUP(B6962,'REGISTRO ABONOS'!$B$8:$BC$10041,54,0)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hidden="1" x14ac:dyDescent="0.2">
      <c r="B6963" s="31">
        <v>6954</v>
      </c>
      <c r="J6963">
        <f t="shared" si="114"/>
        <v>105000</v>
      </c>
      <c r="K6963" t="e">
        <f>VLOOKUP(B6963,'REGISTRO ABONOS'!$B$8:$BC$10041,54,0)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hidden="1" x14ac:dyDescent="0.2">
      <c r="B6964" s="31">
        <v>6955</v>
      </c>
      <c r="J6964">
        <f t="shared" si="114"/>
        <v>105000</v>
      </c>
      <c r="K6964" t="e">
        <f>VLOOKUP(B6964,'REGISTRO ABONOS'!$B$8:$BC$10041,54,0)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hidden="1" x14ac:dyDescent="0.2">
      <c r="B6965" s="31">
        <v>6956</v>
      </c>
      <c r="J6965">
        <f t="shared" si="114"/>
        <v>105000</v>
      </c>
      <c r="K6965" t="e">
        <f>VLOOKUP(B6965,'REGISTRO ABONOS'!$B$8:$BC$10041,54,0)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hidden="1" x14ac:dyDescent="0.2">
      <c r="B6966" s="31">
        <v>6957</v>
      </c>
      <c r="J6966">
        <f t="shared" si="114"/>
        <v>105000</v>
      </c>
      <c r="K6966" t="e">
        <f>VLOOKUP(B6966,'REGISTRO ABONOS'!$B$8:$BC$10041,54,0)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hidden="1" x14ac:dyDescent="0.2">
      <c r="B6967" s="31">
        <v>6958</v>
      </c>
      <c r="J6967">
        <f t="shared" si="114"/>
        <v>105000</v>
      </c>
      <c r="K6967" t="e">
        <f>VLOOKUP(B6967,'REGISTRO ABONOS'!$B$8:$BC$10041,54,0)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hidden="1" x14ac:dyDescent="0.2">
      <c r="B6968" s="31">
        <v>6959</v>
      </c>
      <c r="J6968">
        <f t="shared" si="114"/>
        <v>105000</v>
      </c>
      <c r="K6968" t="e">
        <f>VLOOKUP(B6968,'REGISTRO ABONOS'!$B$8:$BC$10041,54,0)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hidden="1" x14ac:dyDescent="0.2">
      <c r="B6969" s="31">
        <v>6960</v>
      </c>
      <c r="J6969">
        <f t="shared" si="114"/>
        <v>105000</v>
      </c>
      <c r="K6969" t="e">
        <f>VLOOKUP(B6969,'REGISTRO ABONOS'!$B$8:$BC$10041,54,0)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hidden="1" x14ac:dyDescent="0.2">
      <c r="B6970" s="31">
        <v>6961</v>
      </c>
      <c r="J6970">
        <f t="shared" si="114"/>
        <v>105000</v>
      </c>
      <c r="K6970" t="e">
        <f>VLOOKUP(B6970,'REGISTRO ABONOS'!$B$8:$BC$10041,54,0)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hidden="1" x14ac:dyDescent="0.2">
      <c r="B6971" s="31">
        <v>6962</v>
      </c>
      <c r="J6971">
        <f t="shared" si="114"/>
        <v>105000</v>
      </c>
      <c r="K6971" t="e">
        <f>VLOOKUP(B6971,'REGISTRO ABONOS'!$B$8:$BC$10041,54,0)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hidden="1" x14ac:dyDescent="0.2">
      <c r="B6972" s="31">
        <v>6963</v>
      </c>
      <c r="J6972">
        <f t="shared" si="114"/>
        <v>105000</v>
      </c>
      <c r="K6972" t="e">
        <f>VLOOKUP(B6972,'REGISTRO ABONOS'!$B$8:$BC$10041,54,0)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hidden="1" x14ac:dyDescent="0.2">
      <c r="B6973" s="31">
        <v>6964</v>
      </c>
      <c r="J6973">
        <f t="shared" si="114"/>
        <v>105000</v>
      </c>
      <c r="K6973" t="e">
        <f>VLOOKUP(B6973,'REGISTRO ABONOS'!$B$8:$BC$10041,54,0)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hidden="1" x14ac:dyDescent="0.2">
      <c r="B6974" s="31">
        <v>6965</v>
      </c>
      <c r="J6974">
        <f t="shared" si="114"/>
        <v>105000</v>
      </c>
      <c r="K6974" t="e">
        <f>VLOOKUP(B6974,'REGISTRO ABONOS'!$B$8:$BC$10041,54,0)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hidden="1" x14ac:dyDescent="0.2">
      <c r="B6975" s="31">
        <v>6966</v>
      </c>
      <c r="J6975">
        <f t="shared" si="114"/>
        <v>105000</v>
      </c>
      <c r="K6975" t="e">
        <f>VLOOKUP(B6975,'REGISTRO ABONOS'!$B$8:$BC$10041,54,0)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hidden="1" x14ac:dyDescent="0.2">
      <c r="B6976" s="31">
        <v>6967</v>
      </c>
      <c r="J6976">
        <f t="shared" si="114"/>
        <v>105000</v>
      </c>
      <c r="K6976" t="e">
        <f>VLOOKUP(B6976,'REGISTRO ABONOS'!$B$8:$BC$10041,54,0)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hidden="1" x14ac:dyDescent="0.2">
      <c r="B6977" s="31">
        <v>6968</v>
      </c>
      <c r="J6977">
        <f t="shared" si="114"/>
        <v>105000</v>
      </c>
      <c r="K6977" t="e">
        <f>VLOOKUP(B6977,'REGISTRO ABONOS'!$B$8:$BC$10041,54,0)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hidden="1" x14ac:dyDescent="0.2">
      <c r="B6978" s="31">
        <v>6969</v>
      </c>
      <c r="J6978">
        <f t="shared" si="114"/>
        <v>105000</v>
      </c>
      <c r="K6978" t="e">
        <f>VLOOKUP(B6978,'REGISTRO ABONOS'!$B$8:$BC$10041,54,0)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hidden="1" x14ac:dyDescent="0.2">
      <c r="B6979" s="31">
        <v>6970</v>
      </c>
      <c r="J6979">
        <f t="shared" si="114"/>
        <v>105000</v>
      </c>
      <c r="K6979" t="e">
        <f>VLOOKUP(B6979,'REGISTRO ABONOS'!$B$8:$BC$10041,54,0)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hidden="1" x14ac:dyDescent="0.2">
      <c r="B6980" s="31">
        <v>6971</v>
      </c>
      <c r="J6980">
        <f t="shared" si="114"/>
        <v>105000</v>
      </c>
      <c r="K6980" t="e">
        <f>VLOOKUP(B6980,'REGISTRO ABONOS'!$B$8:$BC$10041,54,0)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hidden="1" x14ac:dyDescent="0.2">
      <c r="B6981" s="31">
        <v>6972</v>
      </c>
      <c r="J6981">
        <f t="shared" si="114"/>
        <v>105000</v>
      </c>
      <c r="K6981" t="e">
        <f>VLOOKUP(B6981,'REGISTRO ABONOS'!$B$8:$BC$10041,54,0)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hidden="1" x14ac:dyDescent="0.2">
      <c r="B6982" s="31">
        <v>6973</v>
      </c>
      <c r="J6982">
        <f t="shared" si="114"/>
        <v>105000</v>
      </c>
      <c r="K6982" t="e">
        <f>VLOOKUP(B6982,'REGISTRO ABONOS'!$B$8:$BC$10041,54,0)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hidden="1" x14ac:dyDescent="0.2">
      <c r="B6983" s="31">
        <v>6974</v>
      </c>
      <c r="J6983">
        <f t="shared" si="114"/>
        <v>105000</v>
      </c>
      <c r="K6983" t="e">
        <f>VLOOKUP(B6983,'REGISTRO ABONOS'!$B$8:$BC$10041,54,0)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hidden="1" x14ac:dyDescent="0.2">
      <c r="B6984" s="31">
        <v>6975</v>
      </c>
      <c r="J6984">
        <f t="shared" si="114"/>
        <v>105000</v>
      </c>
      <c r="K6984" t="e">
        <f>VLOOKUP(B6984,'REGISTRO ABONOS'!$B$8:$BC$10041,54,0)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hidden="1" x14ac:dyDescent="0.2">
      <c r="B6985" s="31">
        <v>6976</v>
      </c>
      <c r="J6985">
        <f t="shared" si="114"/>
        <v>105000</v>
      </c>
      <c r="K6985" t="e">
        <f>VLOOKUP(B6985,'REGISTRO ABONOS'!$B$8:$BC$10041,54,0)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hidden="1" x14ac:dyDescent="0.2">
      <c r="B6986" s="31">
        <v>6977</v>
      </c>
      <c r="J6986">
        <f t="shared" si="114"/>
        <v>105000</v>
      </c>
      <c r="K6986" t="e">
        <f>VLOOKUP(B6986,'REGISTRO ABONOS'!$B$8:$BC$10041,54,0)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hidden="1" x14ac:dyDescent="0.2">
      <c r="B6987" s="31">
        <v>6978</v>
      </c>
      <c r="J6987">
        <f t="shared" si="114"/>
        <v>105000</v>
      </c>
      <c r="K6987" t="e">
        <f>VLOOKUP(B6987,'REGISTRO ABONOS'!$B$8:$BC$10041,54,0)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hidden="1" x14ac:dyDescent="0.2">
      <c r="B6988" s="31">
        <v>6979</v>
      </c>
      <c r="J6988">
        <f t="shared" si="114"/>
        <v>105000</v>
      </c>
      <c r="K6988" t="e">
        <f>VLOOKUP(B6988,'REGISTRO ABONOS'!$B$8:$BC$10041,54,0)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hidden="1" x14ac:dyDescent="0.2">
      <c r="B6989" s="31">
        <v>6980</v>
      </c>
      <c r="J6989">
        <f t="shared" si="114"/>
        <v>105000</v>
      </c>
      <c r="K6989" t="e">
        <f>VLOOKUP(B6989,'REGISTRO ABONOS'!$B$8:$BC$10041,54,0)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hidden="1" x14ac:dyDescent="0.2">
      <c r="B6990" s="31">
        <v>6981</v>
      </c>
      <c r="J6990">
        <f t="shared" si="114"/>
        <v>105000</v>
      </c>
      <c r="K6990" t="e">
        <f>VLOOKUP(B6990,'REGISTRO ABONOS'!$B$8:$BC$10041,54,0)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hidden="1" x14ac:dyDescent="0.2">
      <c r="B6991" s="31">
        <v>6982</v>
      </c>
      <c r="J6991">
        <f t="shared" si="114"/>
        <v>105000</v>
      </c>
      <c r="K6991" t="e">
        <f>VLOOKUP(B6991,'REGISTRO ABONOS'!$B$8:$BC$10041,54,0)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hidden="1" x14ac:dyDescent="0.2">
      <c r="B6992" s="31">
        <v>6983</v>
      </c>
      <c r="J6992">
        <f t="shared" si="114"/>
        <v>105000</v>
      </c>
      <c r="K6992" t="e">
        <f>VLOOKUP(B6992,'REGISTRO ABONOS'!$B$8:$BC$10041,54,0)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hidden="1" x14ac:dyDescent="0.2">
      <c r="B6993" s="31">
        <v>6984</v>
      </c>
      <c r="J6993">
        <f t="shared" si="114"/>
        <v>105000</v>
      </c>
      <c r="K6993" t="e">
        <f>VLOOKUP(B6993,'REGISTRO ABONOS'!$B$8:$BC$10041,54,0)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hidden="1" x14ac:dyDescent="0.2">
      <c r="B6994" s="31">
        <v>6985</v>
      </c>
      <c r="J6994">
        <f t="shared" si="114"/>
        <v>105000</v>
      </c>
      <c r="K6994" t="e">
        <f>VLOOKUP(B6994,'REGISTRO ABONOS'!$B$8:$BC$10041,54,0)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hidden="1" x14ac:dyDescent="0.2">
      <c r="B6995" s="31">
        <v>6986</v>
      </c>
      <c r="J6995">
        <f t="shared" si="114"/>
        <v>105000</v>
      </c>
      <c r="K6995" t="e">
        <f>VLOOKUP(B6995,'REGISTRO ABONOS'!$B$8:$BC$10041,54,0)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hidden="1" x14ac:dyDescent="0.2">
      <c r="B6996" s="31">
        <v>6987</v>
      </c>
      <c r="J6996">
        <f t="shared" si="114"/>
        <v>105000</v>
      </c>
      <c r="K6996" t="e">
        <f>VLOOKUP(B6996,'REGISTRO ABONOS'!$B$8:$BC$10041,54,0)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hidden="1" x14ac:dyDescent="0.2">
      <c r="B6997" s="31">
        <v>6988</v>
      </c>
      <c r="J6997">
        <f t="shared" si="114"/>
        <v>105000</v>
      </c>
      <c r="K6997" t="e">
        <f>VLOOKUP(B6997,'REGISTRO ABONOS'!$B$8:$BC$10041,54,0)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hidden="1" x14ac:dyDescent="0.2">
      <c r="B6998" s="31">
        <v>6989</v>
      </c>
      <c r="J6998">
        <f t="shared" si="114"/>
        <v>105000</v>
      </c>
      <c r="K6998" t="e">
        <f>VLOOKUP(B6998,'REGISTRO ABONOS'!$B$8:$BC$10041,54,0)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hidden="1" x14ac:dyDescent="0.2">
      <c r="B6999" s="31">
        <v>6990</v>
      </c>
      <c r="J6999">
        <f t="shared" si="114"/>
        <v>105000</v>
      </c>
      <c r="K6999" t="e">
        <f>VLOOKUP(B6999,'REGISTRO ABONOS'!$B$8:$BC$10041,54,0)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hidden="1" x14ac:dyDescent="0.2">
      <c r="B7000" s="31">
        <v>6991</v>
      </c>
      <c r="J7000">
        <f t="shared" si="114"/>
        <v>105000</v>
      </c>
      <c r="K7000" t="e">
        <f>VLOOKUP(B7000,'REGISTRO ABONOS'!$B$8:$BC$10041,54,0)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hidden="1" x14ac:dyDescent="0.2">
      <c r="B7001" s="31">
        <v>6992</v>
      </c>
      <c r="J7001">
        <f t="shared" si="114"/>
        <v>105000</v>
      </c>
      <c r="K7001" t="e">
        <f>VLOOKUP(B7001,'REGISTRO ABONOS'!$B$8:$BC$10041,54,0)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hidden="1" x14ac:dyDescent="0.2">
      <c r="B7002" s="31">
        <v>6993</v>
      </c>
      <c r="J7002">
        <f t="shared" si="114"/>
        <v>105000</v>
      </c>
      <c r="K7002" t="e">
        <f>VLOOKUP(B7002,'REGISTRO ABONOS'!$B$8:$BC$10041,54,0)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4"/>
        <v>105000</v>
      </c>
      <c r="K7003">
        <f>VLOOKUP(B7003,'REGISTRO ABONOS'!$B$8:$BC$10041,54,0)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hidden="1" x14ac:dyDescent="0.2">
      <c r="B7004" s="31">
        <v>6995</v>
      </c>
      <c r="J7004">
        <f t="shared" si="114"/>
        <v>105000</v>
      </c>
      <c r="K7004" t="e">
        <f>VLOOKUP(B7004,'REGISTRO ABONOS'!$B$8:$BC$10041,54,0)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hidden="1" x14ac:dyDescent="0.2">
      <c r="B7005" s="31">
        <v>6996</v>
      </c>
      <c r="J7005">
        <f t="shared" si="114"/>
        <v>105000</v>
      </c>
      <c r="K7005" t="e">
        <f>VLOOKUP(B7005,'REGISTRO ABONOS'!$B$8:$BC$10041,54,0)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hidden="1" x14ac:dyDescent="0.2">
      <c r="B7006" s="31">
        <v>6997</v>
      </c>
      <c r="J7006">
        <f t="shared" si="114"/>
        <v>105000</v>
      </c>
      <c r="K7006" t="e">
        <f>VLOOKUP(B7006,'REGISTRO ABONOS'!$B$8:$BC$10041,54,0)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hidden="1" x14ac:dyDescent="0.2">
      <c r="B7007" s="31">
        <v>6998</v>
      </c>
      <c r="J7007">
        <f t="shared" si="114"/>
        <v>105000</v>
      </c>
      <c r="K7007" t="e">
        <f>VLOOKUP(B7007,'REGISTRO ABONOS'!$B$8:$BC$10041,54,0)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hidden="1" x14ac:dyDescent="0.2">
      <c r="B7008" s="31">
        <v>6999</v>
      </c>
      <c r="J7008">
        <f t="shared" si="114"/>
        <v>105000</v>
      </c>
      <c r="K7008" t="e">
        <f>VLOOKUP(B7008,'REGISTRO ABONOS'!$B$8:$BC$10041,54,0)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hidden="1" x14ac:dyDescent="0.2">
      <c r="B7009" s="31">
        <v>7000</v>
      </c>
      <c r="J7009">
        <f t="shared" si="114"/>
        <v>105000</v>
      </c>
      <c r="K7009" t="e">
        <f>VLOOKUP(B7009,'REGISTRO ABONOS'!$B$8:$BC$10041,54,0)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hidden="1" x14ac:dyDescent="0.2">
      <c r="B7010" s="31">
        <v>7001</v>
      </c>
      <c r="J7010">
        <f t="shared" si="114"/>
        <v>105000</v>
      </c>
      <c r="K7010" t="e">
        <f>VLOOKUP(B7010,'REGISTRO ABONOS'!$B$8:$BC$10041,54,0)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hidden="1" x14ac:dyDescent="0.2">
      <c r="B7011" s="31">
        <v>7002</v>
      </c>
      <c r="J7011">
        <f t="shared" si="114"/>
        <v>105000</v>
      </c>
      <c r="K7011" t="e">
        <f>VLOOKUP(B7011,'REGISTRO ABONOS'!$B$8:$BC$10041,54,0)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hidden="1" x14ac:dyDescent="0.2">
      <c r="B7012" s="31">
        <v>7003</v>
      </c>
      <c r="J7012">
        <f t="shared" si="114"/>
        <v>105000</v>
      </c>
      <c r="K7012" t="e">
        <f>VLOOKUP(B7012,'REGISTRO ABONOS'!$B$8:$BC$10041,54,0)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hidden="1" x14ac:dyDescent="0.2">
      <c r="B7013" s="31">
        <v>7004</v>
      </c>
      <c r="J7013">
        <f t="shared" si="114"/>
        <v>105000</v>
      </c>
      <c r="K7013" t="e">
        <f>VLOOKUP(B7013,'REGISTRO ABONOS'!$B$8:$BC$10041,54,0)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hidden="1" x14ac:dyDescent="0.2">
      <c r="B7014" s="31">
        <v>7005</v>
      </c>
      <c r="J7014">
        <f t="shared" si="114"/>
        <v>105000</v>
      </c>
      <c r="K7014" t="e">
        <f>VLOOKUP(B7014,'REGISTRO ABONOS'!$B$8:$BC$10041,54,0)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hidden="1" x14ac:dyDescent="0.2">
      <c r="B7015" s="31">
        <v>7006</v>
      </c>
      <c r="J7015">
        <f t="shared" si="114"/>
        <v>105000</v>
      </c>
      <c r="K7015" t="e">
        <f>VLOOKUP(B7015,'REGISTRO ABONOS'!$B$8:$BC$10041,54,0)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hidden="1" x14ac:dyDescent="0.2">
      <c r="B7016" s="31">
        <v>7007</v>
      </c>
      <c r="J7016">
        <f t="shared" si="114"/>
        <v>105000</v>
      </c>
      <c r="K7016" t="e">
        <f>VLOOKUP(B7016,'REGISTRO ABONOS'!$B$8:$BC$10041,54,0)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hidden="1" x14ac:dyDescent="0.2">
      <c r="B7017" s="31">
        <v>7008</v>
      </c>
      <c r="J7017">
        <f t="shared" si="114"/>
        <v>105000</v>
      </c>
      <c r="K7017" t="e">
        <f>VLOOKUP(B7017,'REGISTRO ABONOS'!$B$8:$BC$10041,54,0)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hidden="1" x14ac:dyDescent="0.2">
      <c r="B7018" s="31">
        <v>7009</v>
      </c>
      <c r="J7018">
        <f t="shared" si="114"/>
        <v>105000</v>
      </c>
      <c r="K7018" t="e">
        <f>VLOOKUP(B7018,'REGISTRO ABONOS'!$B$8:$BC$10041,54,0)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hidden="1" x14ac:dyDescent="0.2">
      <c r="B7019" s="31">
        <v>7010</v>
      </c>
      <c r="J7019">
        <f t="shared" si="114"/>
        <v>105000</v>
      </c>
      <c r="K7019" t="e">
        <f>VLOOKUP(B7019,'REGISTRO ABONOS'!$B$8:$BC$10041,54,0)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hidden="1" x14ac:dyDescent="0.2">
      <c r="B7020" s="31">
        <v>7011</v>
      </c>
      <c r="J7020">
        <f t="shared" si="114"/>
        <v>105000</v>
      </c>
      <c r="K7020" t="e">
        <f>VLOOKUP(B7020,'REGISTRO ABONOS'!$B$8:$BC$10041,54,0)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hidden="1" x14ac:dyDescent="0.2">
      <c r="B7021" s="31">
        <v>7012</v>
      </c>
      <c r="J7021">
        <f t="shared" si="114"/>
        <v>105000</v>
      </c>
      <c r="K7021" t="e">
        <f>VLOOKUP(B7021,'REGISTRO ABONOS'!$B$8:$BC$10041,54,0)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hidden="1" x14ac:dyDescent="0.2">
      <c r="B7022" s="31">
        <v>7013</v>
      </c>
      <c r="J7022">
        <f t="shared" si="114"/>
        <v>105000</v>
      </c>
      <c r="K7022" t="e">
        <f>VLOOKUP(B7022,'REGISTRO ABONOS'!$B$8:$BC$10041,54,0)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hidden="1" x14ac:dyDescent="0.2">
      <c r="B7023" s="31">
        <v>7014</v>
      </c>
      <c r="J7023">
        <f t="shared" si="114"/>
        <v>105000</v>
      </c>
      <c r="K7023" t="e">
        <f>VLOOKUP(B7023,'REGISTRO ABONOS'!$B$8:$BC$10041,54,0)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hidden="1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ABONOS'!$B$8:$BC$10041,54,0)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hidden="1" x14ac:dyDescent="0.2">
      <c r="B7025" s="31">
        <v>7016</v>
      </c>
      <c r="J7025">
        <f t="shared" si="115"/>
        <v>105000</v>
      </c>
      <c r="K7025" t="e">
        <f>VLOOKUP(B7025,'REGISTRO ABONOS'!$B$8:$BC$10041,54,0)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hidden="1" x14ac:dyDescent="0.2">
      <c r="B7026" s="31">
        <v>7017</v>
      </c>
      <c r="J7026">
        <f t="shared" si="115"/>
        <v>105000</v>
      </c>
      <c r="K7026" t="e">
        <f>VLOOKUP(B7026,'REGISTRO ABONOS'!$B$8:$BC$10041,54,0)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hidden="1" x14ac:dyDescent="0.2">
      <c r="B7027" s="31">
        <v>7018</v>
      </c>
      <c r="J7027">
        <f t="shared" si="115"/>
        <v>105000</v>
      </c>
      <c r="K7027" t="e">
        <f>VLOOKUP(B7027,'REGISTRO ABONOS'!$B$8:$BC$10041,54,0)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hidden="1" x14ac:dyDescent="0.2">
      <c r="B7028" s="31">
        <v>7019</v>
      </c>
      <c r="J7028">
        <f t="shared" si="115"/>
        <v>105000</v>
      </c>
      <c r="K7028" t="e">
        <f>VLOOKUP(B7028,'REGISTRO ABONOS'!$B$8:$BC$10041,54,0)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hidden="1" x14ac:dyDescent="0.2">
      <c r="B7029" s="31">
        <v>7020</v>
      </c>
      <c r="J7029">
        <f t="shared" si="115"/>
        <v>105000</v>
      </c>
      <c r="K7029" t="e">
        <f>VLOOKUP(B7029,'REGISTRO ABONOS'!$B$8:$BC$10041,54,0)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hidden="1" x14ac:dyDescent="0.2">
      <c r="B7030" s="31">
        <v>7021</v>
      </c>
      <c r="J7030">
        <f t="shared" si="115"/>
        <v>105000</v>
      </c>
      <c r="K7030" t="e">
        <f>VLOOKUP(B7030,'REGISTRO ABONOS'!$B$8:$BC$10041,54,0)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hidden="1" x14ac:dyDescent="0.2">
      <c r="B7031" s="31">
        <v>7022</v>
      </c>
      <c r="J7031">
        <f t="shared" si="115"/>
        <v>105000</v>
      </c>
      <c r="K7031" t="e">
        <f>VLOOKUP(B7031,'REGISTRO ABONOS'!$B$8:$BC$10041,54,0)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hidden="1" x14ac:dyDescent="0.2">
      <c r="B7032" s="31">
        <v>7023</v>
      </c>
      <c r="J7032">
        <f t="shared" si="115"/>
        <v>105000</v>
      </c>
      <c r="K7032" t="e">
        <f>VLOOKUP(B7032,'REGISTRO ABONOS'!$B$8:$BC$10041,54,0)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hidden="1" x14ac:dyDescent="0.2">
      <c r="B7033" s="31">
        <v>7024</v>
      </c>
      <c r="J7033">
        <f t="shared" si="115"/>
        <v>105000</v>
      </c>
      <c r="K7033" t="e">
        <f>VLOOKUP(B7033,'REGISTRO ABONOS'!$B$8:$BC$10041,54,0)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hidden="1" x14ac:dyDescent="0.2">
      <c r="B7034" s="31">
        <v>7025</v>
      </c>
      <c r="J7034">
        <f t="shared" si="115"/>
        <v>105000</v>
      </c>
      <c r="K7034" t="e">
        <f>VLOOKUP(B7034,'REGISTRO ABONOS'!$B$8:$BC$10041,54,0)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hidden="1" x14ac:dyDescent="0.2">
      <c r="B7035" s="31">
        <v>7026</v>
      </c>
      <c r="J7035">
        <f t="shared" si="115"/>
        <v>105000</v>
      </c>
      <c r="K7035" t="e">
        <f>VLOOKUP(B7035,'REGISTRO ABONOS'!$B$8:$BC$10041,54,0)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hidden="1" x14ac:dyDescent="0.2">
      <c r="B7036" s="31">
        <v>7027</v>
      </c>
      <c r="J7036">
        <f t="shared" si="115"/>
        <v>105000</v>
      </c>
      <c r="K7036" t="e">
        <f>VLOOKUP(B7036,'REGISTRO ABONOS'!$B$8:$BC$10041,54,0)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hidden="1" x14ac:dyDescent="0.2">
      <c r="B7037" s="31">
        <v>7028</v>
      </c>
      <c r="J7037">
        <f t="shared" si="115"/>
        <v>105000</v>
      </c>
      <c r="K7037" t="e">
        <f>VLOOKUP(B7037,'REGISTRO ABONOS'!$B$8:$BC$10041,54,0)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hidden="1" x14ac:dyDescent="0.2">
      <c r="B7038" s="31">
        <v>7029</v>
      </c>
      <c r="J7038">
        <f t="shared" si="115"/>
        <v>105000</v>
      </c>
      <c r="K7038" t="e">
        <f>VLOOKUP(B7038,'REGISTRO ABONOS'!$B$8:$BC$10041,54,0)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hidden="1" x14ac:dyDescent="0.2">
      <c r="B7039" s="31">
        <v>7030</v>
      </c>
      <c r="J7039">
        <f t="shared" si="115"/>
        <v>105000</v>
      </c>
      <c r="K7039" t="e">
        <f>VLOOKUP(B7039,'REGISTRO ABONOS'!$B$8:$BC$10041,54,0)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hidden="1" x14ac:dyDescent="0.2">
      <c r="B7040" s="31">
        <v>7031</v>
      </c>
      <c r="J7040">
        <f t="shared" si="115"/>
        <v>105000</v>
      </c>
      <c r="K7040" t="e">
        <f>VLOOKUP(B7040,'REGISTRO ABONOS'!$B$8:$BC$10041,54,0)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hidden="1" x14ac:dyDescent="0.2">
      <c r="B7041" s="31">
        <v>7032</v>
      </c>
      <c r="J7041">
        <f t="shared" si="115"/>
        <v>105000</v>
      </c>
      <c r="K7041" t="e">
        <f>VLOOKUP(B7041,'REGISTRO ABONOS'!$B$8:$BC$10041,54,0)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hidden="1" x14ac:dyDescent="0.2">
      <c r="B7042" s="31">
        <v>7033</v>
      </c>
      <c r="J7042">
        <f t="shared" si="115"/>
        <v>105000</v>
      </c>
      <c r="K7042" t="e">
        <f>VLOOKUP(B7042,'REGISTRO ABONOS'!$B$8:$BC$10041,54,0)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hidden="1" x14ac:dyDescent="0.2">
      <c r="B7043" s="31">
        <v>7034</v>
      </c>
      <c r="J7043">
        <f t="shared" si="115"/>
        <v>105000</v>
      </c>
      <c r="K7043" t="e">
        <f>VLOOKUP(B7043,'REGISTRO ABONOS'!$B$8:$BC$10041,54,0)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hidden="1" x14ac:dyDescent="0.2">
      <c r="B7044" s="31">
        <v>7035</v>
      </c>
      <c r="J7044">
        <f t="shared" si="115"/>
        <v>105000</v>
      </c>
      <c r="K7044" t="e">
        <f>VLOOKUP(B7044,'REGISTRO ABONOS'!$B$8:$BC$10041,54,0)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hidden="1" x14ac:dyDescent="0.2">
      <c r="B7045" s="31">
        <v>7036</v>
      </c>
      <c r="J7045">
        <f t="shared" si="115"/>
        <v>105000</v>
      </c>
      <c r="K7045" t="e">
        <f>VLOOKUP(B7045,'REGISTRO ABONOS'!$B$8:$BC$10041,54,0)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hidden="1" x14ac:dyDescent="0.2">
      <c r="B7046" s="31">
        <v>7037</v>
      </c>
      <c r="J7046">
        <f t="shared" si="115"/>
        <v>105000</v>
      </c>
      <c r="K7046" t="e">
        <f>VLOOKUP(B7046,'REGISTRO ABONOS'!$B$8:$BC$10041,54,0)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hidden="1" x14ac:dyDescent="0.2">
      <c r="B7047" s="31">
        <v>7038</v>
      </c>
      <c r="J7047">
        <f t="shared" si="115"/>
        <v>105000</v>
      </c>
      <c r="K7047" t="e">
        <f>VLOOKUP(B7047,'REGISTRO ABONOS'!$B$8:$BC$10041,54,0)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hidden="1" x14ac:dyDescent="0.2">
      <c r="B7048" s="31">
        <v>7039</v>
      </c>
      <c r="J7048">
        <f t="shared" si="115"/>
        <v>105000</v>
      </c>
      <c r="K7048" t="e">
        <f>VLOOKUP(B7048,'REGISTRO ABONOS'!$B$8:$BC$10041,54,0)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hidden="1" x14ac:dyDescent="0.2">
      <c r="B7049" s="31">
        <v>7040</v>
      </c>
      <c r="J7049">
        <f t="shared" si="115"/>
        <v>105000</v>
      </c>
      <c r="K7049" t="e">
        <f>VLOOKUP(B7049,'REGISTRO ABONOS'!$B$8:$BC$10041,54,0)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hidden="1" x14ac:dyDescent="0.2">
      <c r="B7050" s="31">
        <v>7041</v>
      </c>
      <c r="J7050">
        <f t="shared" si="115"/>
        <v>105000</v>
      </c>
      <c r="K7050" t="e">
        <f>VLOOKUP(B7050,'REGISTRO ABONOS'!$B$8:$BC$10041,54,0)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hidden="1" x14ac:dyDescent="0.2">
      <c r="B7051" s="31">
        <v>7042</v>
      </c>
      <c r="J7051">
        <f t="shared" si="115"/>
        <v>105000</v>
      </c>
      <c r="K7051" t="e">
        <f>VLOOKUP(B7051,'REGISTRO ABONOS'!$B$8:$BC$10041,54,0)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hidden="1" x14ac:dyDescent="0.2">
      <c r="B7052" s="31">
        <v>7043</v>
      </c>
      <c r="J7052">
        <f t="shared" si="115"/>
        <v>105000</v>
      </c>
      <c r="K7052" t="e">
        <f>VLOOKUP(B7052,'REGISTRO ABONOS'!$B$8:$BC$10041,54,0)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hidden="1" x14ac:dyDescent="0.2">
      <c r="B7053" s="31">
        <v>7044</v>
      </c>
      <c r="J7053">
        <f t="shared" si="115"/>
        <v>105000</v>
      </c>
      <c r="K7053" t="e">
        <f>VLOOKUP(B7053,'REGISTRO ABONOS'!$B$8:$BC$10041,54,0)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hidden="1" x14ac:dyDescent="0.2">
      <c r="B7054" s="31">
        <v>7045</v>
      </c>
      <c r="J7054">
        <f t="shared" si="115"/>
        <v>105000</v>
      </c>
      <c r="K7054" t="e">
        <f>VLOOKUP(B7054,'REGISTRO ABONOS'!$B$8:$BC$10041,54,0)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hidden="1" x14ac:dyDescent="0.2">
      <c r="B7055" s="31">
        <v>7046</v>
      </c>
      <c r="J7055">
        <f t="shared" si="115"/>
        <v>105000</v>
      </c>
      <c r="K7055" t="e">
        <f>VLOOKUP(B7055,'REGISTRO ABONOS'!$B$8:$BC$10041,54,0)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hidden="1" x14ac:dyDescent="0.2">
      <c r="B7056" s="31">
        <v>7047</v>
      </c>
      <c r="J7056">
        <f t="shared" si="115"/>
        <v>105000</v>
      </c>
      <c r="K7056" t="e">
        <f>VLOOKUP(B7056,'REGISTRO ABONOS'!$B$8:$BC$10041,54,0)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5"/>
        <v>105000</v>
      </c>
      <c r="K7057" t="e">
        <f>VLOOKUP(B7057,'REGISTRO ABONOS'!$B$8:$BC$10041,54,0)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hidden="1" x14ac:dyDescent="0.2">
      <c r="B7058" s="31">
        <v>7049</v>
      </c>
      <c r="J7058">
        <f t="shared" si="115"/>
        <v>105000</v>
      </c>
      <c r="K7058" t="e">
        <f>VLOOKUP(B7058,'REGISTRO ABONOS'!$B$8:$BC$10041,54,0)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hidden="1" x14ac:dyDescent="0.2">
      <c r="B7059" s="31">
        <v>7050</v>
      </c>
      <c r="J7059">
        <f t="shared" si="115"/>
        <v>105000</v>
      </c>
      <c r="K7059" t="e">
        <f>VLOOKUP(B7059,'REGISTRO ABONOS'!$B$8:$BC$10041,54,0)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hidden="1" x14ac:dyDescent="0.2">
      <c r="B7060" s="31">
        <v>7051</v>
      </c>
      <c r="J7060">
        <f t="shared" si="115"/>
        <v>105000</v>
      </c>
      <c r="K7060" t="e">
        <f>VLOOKUP(B7060,'REGISTRO ABONOS'!$B$8:$BC$10041,54,0)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hidden="1" x14ac:dyDescent="0.2">
      <c r="B7061" s="31">
        <v>7052</v>
      </c>
      <c r="J7061">
        <f t="shared" si="115"/>
        <v>105000</v>
      </c>
      <c r="K7061" t="e">
        <f>VLOOKUP(B7061,'REGISTRO ABONOS'!$B$8:$BC$10041,54,0)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hidden="1" x14ac:dyDescent="0.2">
      <c r="B7062" s="31">
        <v>7053</v>
      </c>
      <c r="J7062">
        <f t="shared" si="115"/>
        <v>105000</v>
      </c>
      <c r="K7062" t="e">
        <f>VLOOKUP(B7062,'REGISTRO ABONOS'!$B$8:$BC$10041,54,0)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hidden="1" x14ac:dyDescent="0.2">
      <c r="B7063" s="31">
        <v>7054</v>
      </c>
      <c r="J7063">
        <f t="shared" si="115"/>
        <v>105000</v>
      </c>
      <c r="K7063" t="e">
        <f>VLOOKUP(B7063,'REGISTRO ABONOS'!$B$8:$BC$10041,54,0)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hidden="1" x14ac:dyDescent="0.2">
      <c r="B7064" s="31">
        <v>7055</v>
      </c>
      <c r="J7064">
        <f t="shared" si="115"/>
        <v>105000</v>
      </c>
      <c r="K7064" t="e">
        <f>VLOOKUP(B7064,'REGISTRO ABONOS'!$B$8:$BC$10041,54,0)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hidden="1" x14ac:dyDescent="0.2">
      <c r="B7065" s="31">
        <v>7056</v>
      </c>
      <c r="J7065">
        <f t="shared" si="115"/>
        <v>105000</v>
      </c>
      <c r="K7065" t="e">
        <f>VLOOKUP(B7065,'REGISTRO ABONOS'!$B$8:$BC$10041,54,0)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hidden="1" x14ac:dyDescent="0.2">
      <c r="B7066" s="31">
        <v>7057</v>
      </c>
      <c r="J7066">
        <f t="shared" si="115"/>
        <v>105000</v>
      </c>
      <c r="K7066" t="e">
        <f>VLOOKUP(B7066,'REGISTRO ABONOS'!$B$8:$BC$10041,54,0)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hidden="1" x14ac:dyDescent="0.2">
      <c r="B7067" s="31">
        <v>7058</v>
      </c>
      <c r="J7067">
        <f t="shared" si="115"/>
        <v>105000</v>
      </c>
      <c r="K7067" t="e">
        <f>VLOOKUP(B7067,'REGISTRO ABONOS'!$B$8:$BC$10041,54,0)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hidden="1" x14ac:dyDescent="0.2">
      <c r="B7068" s="31">
        <v>7059</v>
      </c>
      <c r="J7068">
        <f t="shared" si="115"/>
        <v>105000</v>
      </c>
      <c r="K7068" t="e">
        <f>VLOOKUP(B7068,'REGISTRO ABONOS'!$B$8:$BC$10041,54,0)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hidden="1" x14ac:dyDescent="0.2">
      <c r="B7069" s="31">
        <v>7060</v>
      </c>
      <c r="J7069">
        <f t="shared" si="115"/>
        <v>105000</v>
      </c>
      <c r="K7069" t="e">
        <f>VLOOKUP(B7069,'REGISTRO ABONOS'!$B$8:$BC$10041,54,0)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hidden="1" x14ac:dyDescent="0.2">
      <c r="B7070" s="31">
        <v>7061</v>
      </c>
      <c r="J7070">
        <f t="shared" si="115"/>
        <v>105000</v>
      </c>
      <c r="K7070" t="e">
        <f>VLOOKUP(B7070,'REGISTRO ABONOS'!$B$8:$BC$10041,54,0)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hidden="1" x14ac:dyDescent="0.2">
      <c r="B7071" s="31">
        <v>7062</v>
      </c>
      <c r="J7071">
        <f t="shared" si="115"/>
        <v>105000</v>
      </c>
      <c r="K7071" t="e">
        <f>VLOOKUP(B7071,'REGISTRO ABONOS'!$B$8:$BC$10041,54,0)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hidden="1" x14ac:dyDescent="0.2">
      <c r="B7072" s="31">
        <v>7063</v>
      </c>
      <c r="J7072">
        <f t="shared" si="115"/>
        <v>105000</v>
      </c>
      <c r="K7072" t="e">
        <f>VLOOKUP(B7072,'REGISTRO ABONOS'!$B$8:$BC$10041,54,0)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hidden="1" x14ac:dyDescent="0.2">
      <c r="B7073" s="31">
        <v>7064</v>
      </c>
      <c r="J7073">
        <f t="shared" si="115"/>
        <v>105000</v>
      </c>
      <c r="K7073" t="e">
        <f>VLOOKUP(B7073,'REGISTRO ABONOS'!$B$8:$BC$10041,54,0)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hidden="1" x14ac:dyDescent="0.2">
      <c r="B7074" s="31">
        <v>7065</v>
      </c>
      <c r="J7074">
        <f t="shared" si="115"/>
        <v>105000</v>
      </c>
      <c r="K7074" t="e">
        <f>VLOOKUP(B7074,'REGISTRO ABONOS'!$B$8:$BC$10041,54,0)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hidden="1" x14ac:dyDescent="0.2">
      <c r="B7075" s="31">
        <v>7066</v>
      </c>
      <c r="J7075">
        <f t="shared" si="115"/>
        <v>105000</v>
      </c>
      <c r="K7075" t="e">
        <f>VLOOKUP(B7075,'REGISTRO ABONOS'!$B$8:$BC$10041,54,0)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hidden="1" x14ac:dyDescent="0.2">
      <c r="B7076" s="31">
        <v>7067</v>
      </c>
      <c r="J7076">
        <f t="shared" si="115"/>
        <v>105000</v>
      </c>
      <c r="K7076" t="e">
        <f>VLOOKUP(B7076,'REGISTRO ABONOS'!$B$8:$BC$10041,54,0)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hidden="1" x14ac:dyDescent="0.2">
      <c r="B7077" s="31">
        <v>7068</v>
      </c>
      <c r="J7077">
        <f t="shared" si="115"/>
        <v>105000</v>
      </c>
      <c r="K7077" t="e">
        <f>VLOOKUP(B7077,'REGISTRO ABONOS'!$B$8:$BC$10041,54,0)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hidden="1" x14ac:dyDescent="0.2">
      <c r="B7078" s="31">
        <v>7069</v>
      </c>
      <c r="J7078">
        <f t="shared" si="115"/>
        <v>105000</v>
      </c>
      <c r="K7078" t="e">
        <f>VLOOKUP(B7078,'REGISTRO ABONOS'!$B$8:$BC$10041,54,0)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hidden="1" x14ac:dyDescent="0.2">
      <c r="B7079" s="31">
        <v>7070</v>
      </c>
      <c r="J7079">
        <f t="shared" si="115"/>
        <v>105000</v>
      </c>
      <c r="K7079" t="e">
        <f>VLOOKUP(B7079,'REGISTRO ABONOS'!$B$8:$BC$10041,54,0)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hidden="1" x14ac:dyDescent="0.2">
      <c r="B7080" s="31">
        <v>7071</v>
      </c>
      <c r="J7080">
        <f t="shared" si="115"/>
        <v>105000</v>
      </c>
      <c r="K7080" t="e">
        <f>VLOOKUP(B7080,'REGISTRO ABONOS'!$B$8:$BC$10041,54,0)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hidden="1" x14ac:dyDescent="0.2">
      <c r="B7081" s="31">
        <v>7072</v>
      </c>
      <c r="J7081">
        <f t="shared" si="115"/>
        <v>105000</v>
      </c>
      <c r="K7081" t="e">
        <f>VLOOKUP(B7081,'REGISTRO ABONOS'!$B$8:$BC$10041,54,0)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hidden="1" x14ac:dyDescent="0.2">
      <c r="B7082" s="31">
        <v>7073</v>
      </c>
      <c r="J7082">
        <f t="shared" si="115"/>
        <v>105000</v>
      </c>
      <c r="K7082" t="e">
        <f>VLOOKUP(B7082,'REGISTRO ABONOS'!$B$8:$BC$10041,54,0)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hidden="1" x14ac:dyDescent="0.2">
      <c r="B7083" s="31">
        <v>7074</v>
      </c>
      <c r="J7083">
        <f t="shared" si="115"/>
        <v>105000</v>
      </c>
      <c r="K7083" t="e">
        <f>VLOOKUP(B7083,'REGISTRO ABONOS'!$B$8:$BC$10041,54,0)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hidden="1" x14ac:dyDescent="0.2">
      <c r="B7084" s="31">
        <v>7075</v>
      </c>
      <c r="J7084">
        <f t="shared" si="115"/>
        <v>105000</v>
      </c>
      <c r="K7084" t="e">
        <f>VLOOKUP(B7084,'REGISTRO ABONOS'!$B$8:$BC$10041,54,0)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hidden="1" x14ac:dyDescent="0.2">
      <c r="B7085" s="31">
        <v>7076</v>
      </c>
      <c r="J7085">
        <f t="shared" si="115"/>
        <v>105000</v>
      </c>
      <c r="K7085" t="e">
        <f>VLOOKUP(B7085,'REGISTRO ABONOS'!$B$8:$BC$10041,54,0)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hidden="1" x14ac:dyDescent="0.2">
      <c r="B7086" s="31">
        <v>7077</v>
      </c>
      <c r="J7086">
        <f t="shared" si="115"/>
        <v>105000</v>
      </c>
      <c r="K7086" t="e">
        <f>VLOOKUP(B7086,'REGISTRO ABONOS'!$B$8:$BC$10041,54,0)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hidden="1" x14ac:dyDescent="0.2">
      <c r="B7087" s="31">
        <v>7078</v>
      </c>
      <c r="J7087">
        <f t="shared" si="115"/>
        <v>105000</v>
      </c>
      <c r="K7087" t="e">
        <f>VLOOKUP(B7087,'REGISTRO ABONOS'!$B$8:$BC$10041,54,0)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hidden="1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ABONOS'!$B$8:$BC$10041,54,0)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hidden="1" x14ac:dyDescent="0.2">
      <c r="B7089" s="31">
        <v>7080</v>
      </c>
      <c r="J7089">
        <f t="shared" si="116"/>
        <v>105000</v>
      </c>
      <c r="K7089" t="e">
        <f>VLOOKUP(B7089,'REGISTRO ABONOS'!$B$8:$BC$10041,54,0)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hidden="1" x14ac:dyDescent="0.2">
      <c r="B7090" s="31">
        <v>7081</v>
      </c>
      <c r="J7090">
        <f t="shared" si="116"/>
        <v>105000</v>
      </c>
      <c r="K7090" t="e">
        <f>VLOOKUP(B7090,'REGISTRO ABONOS'!$B$8:$BC$10041,54,0)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hidden="1" x14ac:dyDescent="0.2">
      <c r="B7091" s="31">
        <v>7082</v>
      </c>
      <c r="J7091">
        <f t="shared" si="116"/>
        <v>105000</v>
      </c>
      <c r="K7091" t="e">
        <f>VLOOKUP(B7091,'REGISTRO ABONOS'!$B$8:$BC$10041,54,0)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hidden="1" x14ac:dyDescent="0.2">
      <c r="B7092" s="31">
        <v>7083</v>
      </c>
      <c r="J7092">
        <f t="shared" si="116"/>
        <v>105000</v>
      </c>
      <c r="K7092" t="e">
        <f>VLOOKUP(B7092,'REGISTRO ABONOS'!$B$8:$BC$10041,54,0)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hidden="1" x14ac:dyDescent="0.2">
      <c r="B7093" s="31">
        <v>7084</v>
      </c>
      <c r="J7093">
        <f t="shared" si="116"/>
        <v>105000</v>
      </c>
      <c r="K7093" t="e">
        <f>VLOOKUP(B7093,'REGISTRO ABONOS'!$B$8:$BC$10041,54,0)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hidden="1" x14ac:dyDescent="0.2">
      <c r="B7094" s="31">
        <v>7085</v>
      </c>
      <c r="J7094">
        <f t="shared" si="116"/>
        <v>105000</v>
      </c>
      <c r="K7094" t="e">
        <f>VLOOKUP(B7094,'REGISTRO ABONOS'!$B$8:$BC$10041,54,0)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hidden="1" x14ac:dyDescent="0.2">
      <c r="B7095" s="31">
        <v>7086</v>
      </c>
      <c r="J7095">
        <f t="shared" si="116"/>
        <v>105000</v>
      </c>
      <c r="K7095" t="e">
        <f>VLOOKUP(B7095,'REGISTRO ABONOS'!$B$8:$BC$10041,54,0)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hidden="1" x14ac:dyDescent="0.2">
      <c r="B7096" s="31">
        <v>7087</v>
      </c>
      <c r="J7096">
        <f t="shared" si="116"/>
        <v>105000</v>
      </c>
      <c r="K7096" t="e">
        <f>VLOOKUP(B7096,'REGISTRO ABONOS'!$B$8:$BC$10041,54,0)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hidden="1" x14ac:dyDescent="0.2">
      <c r="B7097" s="31">
        <v>7088</v>
      </c>
      <c r="J7097">
        <f t="shared" si="116"/>
        <v>105000</v>
      </c>
      <c r="K7097" t="e">
        <f>VLOOKUP(B7097,'REGISTRO ABONOS'!$B$8:$BC$10041,54,0)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hidden="1" x14ac:dyDescent="0.2">
      <c r="B7098" s="31">
        <v>7089</v>
      </c>
      <c r="J7098">
        <f t="shared" si="116"/>
        <v>105000</v>
      </c>
      <c r="K7098" t="e">
        <f>VLOOKUP(B7098,'REGISTRO ABONOS'!$B$8:$BC$10041,54,0)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hidden="1" x14ac:dyDescent="0.2">
      <c r="B7099" s="31">
        <v>7090</v>
      </c>
      <c r="J7099">
        <f t="shared" si="116"/>
        <v>105000</v>
      </c>
      <c r="K7099" t="e">
        <f>VLOOKUP(B7099,'REGISTRO ABONOS'!$B$8:$BC$10041,54,0)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hidden="1" x14ac:dyDescent="0.2">
      <c r="B7100" s="31">
        <v>7091</v>
      </c>
      <c r="J7100">
        <f t="shared" si="116"/>
        <v>105000</v>
      </c>
      <c r="K7100" t="e">
        <f>VLOOKUP(B7100,'REGISTRO ABONOS'!$B$8:$BC$10041,54,0)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hidden="1" x14ac:dyDescent="0.2">
      <c r="B7101" s="31">
        <v>7092</v>
      </c>
      <c r="J7101">
        <f t="shared" si="116"/>
        <v>105000</v>
      </c>
      <c r="K7101" t="e">
        <f>VLOOKUP(B7101,'REGISTRO ABONOS'!$B$8:$BC$10041,54,0)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hidden="1" x14ac:dyDescent="0.2">
      <c r="B7102" s="31">
        <v>7093</v>
      </c>
      <c r="J7102">
        <f t="shared" si="116"/>
        <v>105000</v>
      </c>
      <c r="K7102" t="e">
        <f>VLOOKUP(B7102,'REGISTRO ABONOS'!$B$8:$BC$10041,54,0)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hidden="1" x14ac:dyDescent="0.2">
      <c r="B7103" s="31">
        <v>7094</v>
      </c>
      <c r="J7103">
        <f t="shared" si="116"/>
        <v>105000</v>
      </c>
      <c r="K7103" t="e">
        <f>VLOOKUP(B7103,'REGISTRO ABONOS'!$B$8:$BC$10041,54,0)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hidden="1" x14ac:dyDescent="0.2">
      <c r="B7104" s="31">
        <v>7095</v>
      </c>
      <c r="J7104">
        <f t="shared" si="116"/>
        <v>105000</v>
      </c>
      <c r="K7104" t="e">
        <f>VLOOKUP(B7104,'REGISTRO ABONOS'!$B$8:$BC$10041,54,0)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hidden="1" x14ac:dyDescent="0.2">
      <c r="B7105" s="31">
        <v>7096</v>
      </c>
      <c r="J7105">
        <f t="shared" si="116"/>
        <v>105000</v>
      </c>
      <c r="K7105" t="e">
        <f>VLOOKUP(B7105,'REGISTRO ABONOS'!$B$8:$BC$10041,54,0)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hidden="1" x14ac:dyDescent="0.2">
      <c r="B7106" s="31">
        <v>7097</v>
      </c>
      <c r="J7106">
        <f t="shared" si="116"/>
        <v>105000</v>
      </c>
      <c r="K7106" t="e">
        <f>VLOOKUP(B7106,'REGISTRO ABONOS'!$B$8:$BC$10041,54,0)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hidden="1" x14ac:dyDescent="0.2">
      <c r="B7107" s="31">
        <v>7098</v>
      </c>
      <c r="J7107">
        <f t="shared" si="116"/>
        <v>105000</v>
      </c>
      <c r="K7107" t="e">
        <f>VLOOKUP(B7107,'REGISTRO ABONOS'!$B$8:$BC$10041,54,0)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hidden="1" x14ac:dyDescent="0.2">
      <c r="B7108" s="31">
        <v>7099</v>
      </c>
      <c r="J7108">
        <f t="shared" si="116"/>
        <v>105000</v>
      </c>
      <c r="K7108" t="e">
        <f>VLOOKUP(B7108,'REGISTRO ABONOS'!$B$8:$BC$10041,54,0)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6"/>
        <v>105000</v>
      </c>
      <c r="K7109" t="e">
        <f>VLOOKUP(B7109,'REGISTRO ABONOS'!$B$8:$BC$10041,54,0)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hidden="1" x14ac:dyDescent="0.2">
      <c r="B7110" s="31">
        <v>7101</v>
      </c>
      <c r="J7110">
        <f t="shared" si="116"/>
        <v>105000</v>
      </c>
      <c r="K7110" t="e">
        <f>VLOOKUP(B7110,'REGISTRO ABONOS'!$B$8:$BC$10041,54,0)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hidden="1" x14ac:dyDescent="0.2">
      <c r="B7111" s="31">
        <v>7102</v>
      </c>
      <c r="J7111">
        <f t="shared" si="116"/>
        <v>105000</v>
      </c>
      <c r="K7111" t="e">
        <f>VLOOKUP(B7111,'REGISTRO ABONOS'!$B$8:$BC$10041,54,0)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hidden="1" x14ac:dyDescent="0.2">
      <c r="B7112" s="31">
        <v>7103</v>
      </c>
      <c r="J7112">
        <f t="shared" si="116"/>
        <v>105000</v>
      </c>
      <c r="K7112" t="e">
        <f>VLOOKUP(B7112,'REGISTRO ABONOS'!$B$8:$BC$10041,54,0)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hidden="1" x14ac:dyDescent="0.2">
      <c r="B7113" s="31">
        <v>7104</v>
      </c>
      <c r="J7113">
        <f t="shared" si="116"/>
        <v>105000</v>
      </c>
      <c r="K7113" t="e">
        <f>VLOOKUP(B7113,'REGISTRO ABONOS'!$B$8:$BC$10041,54,0)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hidden="1" x14ac:dyDescent="0.2">
      <c r="B7114" s="31">
        <v>7105</v>
      </c>
      <c r="J7114">
        <f t="shared" si="116"/>
        <v>105000</v>
      </c>
      <c r="K7114" t="e">
        <f>VLOOKUP(B7114,'REGISTRO ABONOS'!$B$8:$BC$10041,54,0)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hidden="1" x14ac:dyDescent="0.2">
      <c r="B7115" s="31">
        <v>7106</v>
      </c>
      <c r="J7115">
        <f t="shared" si="116"/>
        <v>105000</v>
      </c>
      <c r="K7115" t="e">
        <f>VLOOKUP(B7115,'REGISTRO ABONOS'!$B$8:$BC$10041,54,0)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hidden="1" x14ac:dyDescent="0.2">
      <c r="B7116" s="31">
        <v>7107</v>
      </c>
      <c r="J7116">
        <f t="shared" si="116"/>
        <v>105000</v>
      </c>
      <c r="K7116" t="e">
        <f>VLOOKUP(B7116,'REGISTRO ABONOS'!$B$8:$BC$10041,54,0)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hidden="1" x14ac:dyDescent="0.2">
      <c r="B7117" s="31">
        <v>7108</v>
      </c>
      <c r="J7117">
        <f t="shared" si="116"/>
        <v>105000</v>
      </c>
      <c r="K7117" t="e">
        <f>VLOOKUP(B7117,'REGISTRO ABONOS'!$B$8:$BC$10041,54,0)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hidden="1" x14ac:dyDescent="0.2">
      <c r="B7118" s="31">
        <v>7109</v>
      </c>
      <c r="J7118">
        <f t="shared" si="116"/>
        <v>105000</v>
      </c>
      <c r="K7118" t="e">
        <f>VLOOKUP(B7118,'REGISTRO ABONOS'!$B$8:$BC$10041,54,0)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hidden="1" x14ac:dyDescent="0.2">
      <c r="B7119" s="31">
        <v>7110</v>
      </c>
      <c r="J7119">
        <f t="shared" si="116"/>
        <v>105000</v>
      </c>
      <c r="K7119" t="e">
        <f>VLOOKUP(B7119,'REGISTRO ABONOS'!$B$8:$BC$10041,54,0)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hidden="1" x14ac:dyDescent="0.2">
      <c r="B7120" s="31">
        <v>7111</v>
      </c>
      <c r="J7120">
        <f t="shared" si="116"/>
        <v>105000</v>
      </c>
      <c r="K7120" t="e">
        <f>VLOOKUP(B7120,'REGISTRO ABONOS'!$B$8:$BC$10041,54,0)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hidden="1" x14ac:dyDescent="0.2">
      <c r="B7121" s="31">
        <v>7112</v>
      </c>
      <c r="J7121">
        <f t="shared" si="116"/>
        <v>105000</v>
      </c>
      <c r="K7121" t="e">
        <f>VLOOKUP(B7121,'REGISTRO ABONOS'!$B$8:$BC$10041,54,0)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hidden="1" x14ac:dyDescent="0.2">
      <c r="B7122" s="31">
        <v>7113</v>
      </c>
      <c r="J7122">
        <f t="shared" si="116"/>
        <v>105000</v>
      </c>
      <c r="K7122" t="e">
        <f>VLOOKUP(B7122,'REGISTRO ABONOS'!$B$8:$BC$10041,54,0)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hidden="1" x14ac:dyDescent="0.2">
      <c r="B7123" s="31">
        <v>7114</v>
      </c>
      <c r="J7123">
        <f t="shared" si="116"/>
        <v>105000</v>
      </c>
      <c r="K7123" t="e">
        <f>VLOOKUP(B7123,'REGISTRO ABONOS'!$B$8:$BC$10041,54,0)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hidden="1" x14ac:dyDescent="0.2">
      <c r="B7124" s="31">
        <v>7115</v>
      </c>
      <c r="J7124">
        <f t="shared" si="116"/>
        <v>105000</v>
      </c>
      <c r="K7124" t="e">
        <f>VLOOKUP(B7124,'REGISTRO ABONOS'!$B$8:$BC$10041,54,0)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hidden="1" x14ac:dyDescent="0.2">
      <c r="B7125" s="31">
        <v>7116</v>
      </c>
      <c r="J7125">
        <f t="shared" si="116"/>
        <v>105000</v>
      </c>
      <c r="K7125" t="e">
        <f>VLOOKUP(B7125,'REGISTRO ABONOS'!$B$8:$BC$10041,54,0)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hidden="1" x14ac:dyDescent="0.2">
      <c r="B7126" s="31">
        <v>7117</v>
      </c>
      <c r="J7126">
        <f t="shared" si="116"/>
        <v>105000</v>
      </c>
      <c r="K7126" t="e">
        <f>VLOOKUP(B7126,'REGISTRO ABONOS'!$B$8:$BC$10041,54,0)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hidden="1" x14ac:dyDescent="0.2">
      <c r="B7127" s="31">
        <v>7118</v>
      </c>
      <c r="J7127">
        <f t="shared" si="116"/>
        <v>105000</v>
      </c>
      <c r="K7127" t="e">
        <f>VLOOKUP(B7127,'REGISTRO ABONOS'!$B$8:$BC$10041,54,0)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hidden="1" x14ac:dyDescent="0.2">
      <c r="B7128" s="31">
        <v>7119</v>
      </c>
      <c r="J7128">
        <f t="shared" si="116"/>
        <v>105000</v>
      </c>
      <c r="K7128" t="e">
        <f>VLOOKUP(B7128,'REGISTRO ABONOS'!$B$8:$BC$10041,54,0)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hidden="1" x14ac:dyDescent="0.2">
      <c r="B7129" s="31">
        <v>7120</v>
      </c>
      <c r="J7129">
        <f t="shared" si="116"/>
        <v>105000</v>
      </c>
      <c r="K7129" t="e">
        <f>VLOOKUP(B7129,'REGISTRO ABONOS'!$B$8:$BC$10041,54,0)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hidden="1" x14ac:dyDescent="0.2">
      <c r="B7130" s="31">
        <v>7121</v>
      </c>
      <c r="J7130">
        <f t="shared" si="116"/>
        <v>105000</v>
      </c>
      <c r="K7130" t="e">
        <f>VLOOKUP(B7130,'REGISTRO ABONOS'!$B$8:$BC$10041,54,0)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hidden="1" x14ac:dyDescent="0.2">
      <c r="B7131" s="31">
        <v>7122</v>
      </c>
      <c r="J7131">
        <f t="shared" si="116"/>
        <v>105000</v>
      </c>
      <c r="K7131" t="e">
        <f>VLOOKUP(B7131,'REGISTRO ABONOS'!$B$8:$BC$10041,54,0)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6"/>
        <v>105000</v>
      </c>
      <c r="K7132">
        <f>VLOOKUP(B7132,'REGISTRO ABONOS'!$B$8:$BC$10041,54,0)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hidden="1" x14ac:dyDescent="0.2">
      <c r="B7133" s="31">
        <v>7124</v>
      </c>
      <c r="J7133">
        <f t="shared" si="116"/>
        <v>105000</v>
      </c>
      <c r="K7133" t="e">
        <f>VLOOKUP(B7133,'REGISTRO ABONOS'!$B$8:$BC$10041,54,0)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hidden="1" x14ac:dyDescent="0.2">
      <c r="B7134" s="31">
        <v>7125</v>
      </c>
      <c r="J7134">
        <f t="shared" si="116"/>
        <v>105000</v>
      </c>
      <c r="K7134" t="e">
        <f>VLOOKUP(B7134,'REGISTRO ABONOS'!$B$8:$BC$10041,54,0)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hidden="1" x14ac:dyDescent="0.2">
      <c r="B7135" s="31">
        <v>7126</v>
      </c>
      <c r="J7135">
        <f t="shared" si="116"/>
        <v>105000</v>
      </c>
      <c r="K7135" t="e">
        <f>VLOOKUP(B7135,'REGISTRO ABONOS'!$B$8:$BC$10041,54,0)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hidden="1" x14ac:dyDescent="0.2">
      <c r="B7136" s="31">
        <v>7127</v>
      </c>
      <c r="J7136">
        <f t="shared" si="116"/>
        <v>105000</v>
      </c>
      <c r="K7136" t="e">
        <f>VLOOKUP(B7136,'REGISTRO ABONOS'!$B$8:$BC$10041,54,0)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hidden="1" x14ac:dyDescent="0.2">
      <c r="B7137" s="31">
        <v>7128</v>
      </c>
      <c r="J7137">
        <f t="shared" si="116"/>
        <v>105000</v>
      </c>
      <c r="K7137" t="e">
        <f>VLOOKUP(B7137,'REGISTRO ABONOS'!$B$8:$BC$10041,54,0)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hidden="1" x14ac:dyDescent="0.2">
      <c r="B7138" s="31">
        <v>7129</v>
      </c>
      <c r="J7138">
        <f t="shared" si="116"/>
        <v>105000</v>
      </c>
      <c r="K7138" t="e">
        <f>VLOOKUP(B7138,'REGISTRO ABONOS'!$B$8:$BC$10041,54,0)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hidden="1" x14ac:dyDescent="0.2">
      <c r="B7139" s="31">
        <v>7130</v>
      </c>
      <c r="J7139">
        <f t="shared" si="116"/>
        <v>105000</v>
      </c>
      <c r="K7139" t="e">
        <f>VLOOKUP(B7139,'REGISTRO ABONOS'!$B$8:$BC$10041,54,0)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hidden="1" x14ac:dyDescent="0.2">
      <c r="B7140" s="31">
        <v>7131</v>
      </c>
      <c r="J7140">
        <f t="shared" si="116"/>
        <v>105000</v>
      </c>
      <c r="K7140" t="e">
        <f>VLOOKUP(B7140,'REGISTRO ABONOS'!$B$8:$BC$10041,54,0)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hidden="1" x14ac:dyDescent="0.2">
      <c r="B7141" s="31">
        <v>7132</v>
      </c>
      <c r="J7141">
        <f t="shared" si="116"/>
        <v>105000</v>
      </c>
      <c r="K7141" t="e">
        <f>VLOOKUP(B7141,'REGISTRO ABONOS'!$B$8:$BC$10041,54,0)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hidden="1" x14ac:dyDescent="0.2">
      <c r="B7142" s="31">
        <v>7133</v>
      </c>
      <c r="J7142">
        <f t="shared" si="116"/>
        <v>105000</v>
      </c>
      <c r="K7142" t="e">
        <f>VLOOKUP(B7142,'REGISTRO ABONOS'!$B$8:$BC$10041,54,0)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hidden="1" x14ac:dyDescent="0.2">
      <c r="B7143" s="31">
        <v>7134</v>
      </c>
      <c r="J7143">
        <f t="shared" si="116"/>
        <v>105000</v>
      </c>
      <c r="K7143" t="e">
        <f>VLOOKUP(B7143,'REGISTRO ABONOS'!$B$8:$BC$10041,54,0)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hidden="1" x14ac:dyDescent="0.2">
      <c r="B7144" s="31">
        <v>7135</v>
      </c>
      <c r="J7144">
        <f t="shared" si="116"/>
        <v>105000</v>
      </c>
      <c r="K7144" t="e">
        <f>VLOOKUP(B7144,'REGISTRO ABONOS'!$B$8:$BC$10041,54,0)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hidden="1" x14ac:dyDescent="0.2">
      <c r="B7145" s="31">
        <v>7136</v>
      </c>
      <c r="J7145">
        <f t="shared" si="116"/>
        <v>105000</v>
      </c>
      <c r="K7145" t="e">
        <f>VLOOKUP(B7145,'REGISTRO ABONOS'!$B$8:$BC$10041,54,0)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hidden="1" x14ac:dyDescent="0.2">
      <c r="B7146" s="31">
        <v>7137</v>
      </c>
      <c r="J7146">
        <f t="shared" si="116"/>
        <v>105000</v>
      </c>
      <c r="K7146" t="e">
        <f>VLOOKUP(B7146,'REGISTRO ABONOS'!$B$8:$BC$10041,54,0)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hidden="1" x14ac:dyDescent="0.2">
      <c r="B7147" s="31">
        <v>7138</v>
      </c>
      <c r="J7147">
        <f t="shared" si="116"/>
        <v>105000</v>
      </c>
      <c r="K7147" t="e">
        <f>VLOOKUP(B7147,'REGISTRO ABONOS'!$B$8:$BC$10041,54,0)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hidden="1" x14ac:dyDescent="0.2">
      <c r="B7148" s="31">
        <v>7139</v>
      </c>
      <c r="J7148">
        <f t="shared" si="116"/>
        <v>105000</v>
      </c>
      <c r="K7148" t="e">
        <f>VLOOKUP(B7148,'REGISTRO ABONOS'!$B$8:$BC$10041,54,0)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hidden="1" x14ac:dyDescent="0.2">
      <c r="B7149" s="31">
        <v>7140</v>
      </c>
      <c r="J7149">
        <f t="shared" si="116"/>
        <v>105000</v>
      </c>
      <c r="K7149" t="e">
        <f>VLOOKUP(B7149,'REGISTRO ABONOS'!$B$8:$BC$10041,54,0)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hidden="1" x14ac:dyDescent="0.2">
      <c r="B7150" s="31">
        <v>7141</v>
      </c>
      <c r="J7150">
        <f t="shared" si="116"/>
        <v>105000</v>
      </c>
      <c r="K7150" t="e">
        <f>VLOOKUP(B7150,'REGISTRO ABONOS'!$B$8:$BC$10041,54,0)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hidden="1" x14ac:dyDescent="0.2">
      <c r="B7151" s="31">
        <v>7142</v>
      </c>
      <c r="J7151">
        <f t="shared" si="116"/>
        <v>105000</v>
      </c>
      <c r="K7151" t="e">
        <f>VLOOKUP(B7151,'REGISTRO ABONOS'!$B$8:$BC$10041,54,0)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hidden="1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ABONOS'!$B$8:$BC$10041,54,0)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hidden="1" x14ac:dyDescent="0.2">
      <c r="B7153" s="31">
        <v>7144</v>
      </c>
      <c r="J7153">
        <f t="shared" si="117"/>
        <v>105000</v>
      </c>
      <c r="K7153" t="e">
        <f>VLOOKUP(B7153,'REGISTRO ABONOS'!$B$8:$BC$10041,54,0)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hidden="1" x14ac:dyDescent="0.2">
      <c r="B7154" s="31">
        <v>7145</v>
      </c>
      <c r="J7154">
        <f t="shared" si="117"/>
        <v>105000</v>
      </c>
      <c r="K7154" t="e">
        <f>VLOOKUP(B7154,'REGISTRO ABONOS'!$B$8:$BC$10041,54,0)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hidden="1" x14ac:dyDescent="0.2">
      <c r="B7155" s="31">
        <v>7146</v>
      </c>
      <c r="J7155">
        <f t="shared" si="117"/>
        <v>105000</v>
      </c>
      <c r="K7155" t="e">
        <f>VLOOKUP(B7155,'REGISTRO ABONOS'!$B$8:$BC$10041,54,0)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hidden="1" x14ac:dyDescent="0.2">
      <c r="B7156" s="31">
        <v>7147</v>
      </c>
      <c r="J7156">
        <f t="shared" si="117"/>
        <v>105000</v>
      </c>
      <c r="K7156" t="e">
        <f>VLOOKUP(B7156,'REGISTRO ABONOS'!$B$8:$BC$10041,54,0)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hidden="1" x14ac:dyDescent="0.2">
      <c r="B7157" s="31">
        <v>7148</v>
      </c>
      <c r="J7157">
        <f t="shared" si="117"/>
        <v>105000</v>
      </c>
      <c r="K7157" t="e">
        <f>VLOOKUP(B7157,'REGISTRO ABONOS'!$B$8:$BC$10041,54,0)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hidden="1" x14ac:dyDescent="0.2">
      <c r="B7158" s="31">
        <v>7149</v>
      </c>
      <c r="J7158">
        <f t="shared" si="117"/>
        <v>105000</v>
      </c>
      <c r="K7158" t="e">
        <f>VLOOKUP(B7158,'REGISTRO ABONOS'!$B$8:$BC$10041,54,0)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hidden="1" x14ac:dyDescent="0.2">
      <c r="B7159" s="31">
        <v>7150</v>
      </c>
      <c r="J7159">
        <f t="shared" si="117"/>
        <v>105000</v>
      </c>
      <c r="K7159" t="e">
        <f>VLOOKUP(B7159,'REGISTRO ABONOS'!$B$8:$BC$10041,54,0)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hidden="1" x14ac:dyDescent="0.2">
      <c r="B7160" s="31">
        <v>7151</v>
      </c>
      <c r="J7160">
        <f t="shared" si="117"/>
        <v>105000</v>
      </c>
      <c r="K7160" t="e">
        <f>VLOOKUP(B7160,'REGISTRO ABONOS'!$B$8:$BC$10041,54,0)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hidden="1" x14ac:dyDescent="0.2">
      <c r="B7161" s="31">
        <v>7152</v>
      </c>
      <c r="J7161">
        <f t="shared" si="117"/>
        <v>105000</v>
      </c>
      <c r="K7161" t="e">
        <f>VLOOKUP(B7161,'REGISTRO ABONOS'!$B$8:$BC$10041,54,0)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hidden="1" x14ac:dyDescent="0.2">
      <c r="B7162" s="31">
        <v>7153</v>
      </c>
      <c r="J7162">
        <f t="shared" si="117"/>
        <v>105000</v>
      </c>
      <c r="K7162" t="e">
        <f>VLOOKUP(B7162,'REGISTRO ABONOS'!$B$8:$BC$10041,54,0)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hidden="1" x14ac:dyDescent="0.2">
      <c r="B7163" s="31">
        <v>7154</v>
      </c>
      <c r="J7163">
        <f t="shared" si="117"/>
        <v>105000</v>
      </c>
      <c r="K7163" t="e">
        <f>VLOOKUP(B7163,'REGISTRO ABONOS'!$B$8:$BC$10041,54,0)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hidden="1" x14ac:dyDescent="0.2">
      <c r="B7164" s="31">
        <v>7155</v>
      </c>
      <c r="J7164">
        <f t="shared" si="117"/>
        <v>105000</v>
      </c>
      <c r="K7164" t="e">
        <f>VLOOKUP(B7164,'REGISTRO ABONOS'!$B$8:$BC$10041,54,0)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hidden="1" x14ac:dyDescent="0.2">
      <c r="B7165" s="31">
        <v>7156</v>
      </c>
      <c r="J7165">
        <f t="shared" si="117"/>
        <v>105000</v>
      </c>
      <c r="K7165" t="e">
        <f>VLOOKUP(B7165,'REGISTRO ABONOS'!$B$8:$BC$10041,54,0)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hidden="1" x14ac:dyDescent="0.2">
      <c r="B7166" s="31">
        <v>7157</v>
      </c>
      <c r="J7166">
        <f t="shared" si="117"/>
        <v>105000</v>
      </c>
      <c r="K7166" t="e">
        <f>VLOOKUP(B7166,'REGISTRO ABONOS'!$B$8:$BC$10041,54,0)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hidden="1" x14ac:dyDescent="0.2">
      <c r="B7167" s="31">
        <v>7158</v>
      </c>
      <c r="J7167">
        <f t="shared" si="117"/>
        <v>105000</v>
      </c>
      <c r="K7167" t="e">
        <f>VLOOKUP(B7167,'REGISTRO ABONOS'!$B$8:$BC$10041,54,0)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hidden="1" x14ac:dyDescent="0.2">
      <c r="B7168" s="31">
        <v>7159</v>
      </c>
      <c r="J7168">
        <f t="shared" si="117"/>
        <v>105000</v>
      </c>
      <c r="K7168" t="e">
        <f>VLOOKUP(B7168,'REGISTRO ABONOS'!$B$8:$BC$10041,54,0)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hidden="1" x14ac:dyDescent="0.2">
      <c r="B7169" s="31">
        <v>7160</v>
      </c>
      <c r="J7169">
        <f t="shared" si="117"/>
        <v>105000</v>
      </c>
      <c r="K7169" t="e">
        <f>VLOOKUP(B7169,'REGISTRO ABONOS'!$B$8:$BC$10041,54,0)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hidden="1" x14ac:dyDescent="0.2">
      <c r="B7170" s="31">
        <v>7161</v>
      </c>
      <c r="J7170">
        <f t="shared" si="117"/>
        <v>105000</v>
      </c>
      <c r="K7170" t="e">
        <f>VLOOKUP(B7170,'REGISTRO ABONOS'!$B$8:$BC$10041,54,0)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hidden="1" x14ac:dyDescent="0.2">
      <c r="B7171" s="31">
        <v>7162</v>
      </c>
      <c r="J7171">
        <f t="shared" si="117"/>
        <v>105000</v>
      </c>
      <c r="K7171" t="e">
        <f>VLOOKUP(B7171,'REGISTRO ABONOS'!$B$8:$BC$10041,54,0)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hidden="1" x14ac:dyDescent="0.2">
      <c r="B7172" s="31">
        <v>7163</v>
      </c>
      <c r="J7172">
        <f t="shared" si="117"/>
        <v>105000</v>
      </c>
      <c r="K7172" t="e">
        <f>VLOOKUP(B7172,'REGISTRO ABONOS'!$B$8:$BC$10041,54,0)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hidden="1" x14ac:dyDescent="0.2">
      <c r="B7173" s="31">
        <v>7164</v>
      </c>
      <c r="J7173">
        <f t="shared" si="117"/>
        <v>105000</v>
      </c>
      <c r="K7173" t="e">
        <f>VLOOKUP(B7173,'REGISTRO ABONOS'!$B$8:$BC$10041,54,0)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hidden="1" x14ac:dyDescent="0.2">
      <c r="B7174" s="31">
        <v>7165</v>
      </c>
      <c r="J7174">
        <f t="shared" si="117"/>
        <v>105000</v>
      </c>
      <c r="K7174" t="e">
        <f>VLOOKUP(B7174,'REGISTRO ABONOS'!$B$8:$BC$10041,54,0)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hidden="1" x14ac:dyDescent="0.2">
      <c r="B7175" s="31">
        <v>7166</v>
      </c>
      <c r="J7175">
        <f t="shared" si="117"/>
        <v>105000</v>
      </c>
      <c r="K7175" t="e">
        <f>VLOOKUP(B7175,'REGISTRO ABONOS'!$B$8:$BC$10041,54,0)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hidden="1" x14ac:dyDescent="0.2">
      <c r="B7176" s="31">
        <v>7167</v>
      </c>
      <c r="J7176">
        <f t="shared" si="117"/>
        <v>105000</v>
      </c>
      <c r="K7176" t="e">
        <f>VLOOKUP(B7176,'REGISTRO ABONOS'!$B$8:$BC$10041,54,0)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hidden="1" x14ac:dyDescent="0.2">
      <c r="B7177" s="31">
        <v>7168</v>
      </c>
      <c r="J7177">
        <f t="shared" si="117"/>
        <v>105000</v>
      </c>
      <c r="K7177" t="e">
        <f>VLOOKUP(B7177,'REGISTRO ABONOS'!$B$8:$BC$10041,54,0)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hidden="1" x14ac:dyDescent="0.2">
      <c r="B7178" s="31">
        <v>7169</v>
      </c>
      <c r="J7178">
        <f t="shared" si="117"/>
        <v>105000</v>
      </c>
      <c r="K7178" t="e">
        <f>VLOOKUP(B7178,'REGISTRO ABONOS'!$B$8:$BC$10041,54,0)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hidden="1" x14ac:dyDescent="0.2">
      <c r="B7179" s="31">
        <v>7170</v>
      </c>
      <c r="J7179">
        <f t="shared" si="117"/>
        <v>105000</v>
      </c>
      <c r="K7179" t="e">
        <f>VLOOKUP(B7179,'REGISTRO ABONOS'!$B$8:$BC$10041,54,0)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hidden="1" x14ac:dyDescent="0.2">
      <c r="B7180" s="31">
        <v>7171</v>
      </c>
      <c r="J7180">
        <f t="shared" si="117"/>
        <v>105000</v>
      </c>
      <c r="K7180" t="e">
        <f>VLOOKUP(B7180,'REGISTRO ABONOS'!$B$8:$BC$10041,54,0)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hidden="1" x14ac:dyDescent="0.2">
      <c r="B7181" s="31">
        <v>7172</v>
      </c>
      <c r="J7181">
        <f t="shared" si="117"/>
        <v>105000</v>
      </c>
      <c r="K7181" t="e">
        <f>VLOOKUP(B7181,'REGISTRO ABONOS'!$B$8:$BC$10041,54,0)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hidden="1" x14ac:dyDescent="0.2">
      <c r="B7182" s="31">
        <v>7173</v>
      </c>
      <c r="J7182">
        <f t="shared" si="117"/>
        <v>105000</v>
      </c>
      <c r="K7182" t="e">
        <f>VLOOKUP(B7182,'REGISTRO ABONOS'!$B$8:$BC$10041,54,0)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hidden="1" x14ac:dyDescent="0.2">
      <c r="B7183" s="31">
        <v>7174</v>
      </c>
      <c r="J7183">
        <f t="shared" si="117"/>
        <v>105000</v>
      </c>
      <c r="K7183" t="e">
        <f>VLOOKUP(B7183,'REGISTRO ABONOS'!$B$8:$BC$10041,54,0)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hidden="1" x14ac:dyDescent="0.2">
      <c r="B7184" s="31">
        <v>7175</v>
      </c>
      <c r="J7184">
        <f t="shared" si="117"/>
        <v>105000</v>
      </c>
      <c r="K7184" t="e">
        <f>VLOOKUP(B7184,'REGISTRO ABONOS'!$B$8:$BC$10041,54,0)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hidden="1" x14ac:dyDescent="0.2">
      <c r="B7185" s="31">
        <v>7176</v>
      </c>
      <c r="J7185">
        <f t="shared" si="117"/>
        <v>105000</v>
      </c>
      <c r="K7185" t="e">
        <f>VLOOKUP(B7185,'REGISTRO ABONOS'!$B$8:$BC$10041,54,0)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hidden="1" x14ac:dyDescent="0.2">
      <c r="B7186" s="31">
        <v>7177</v>
      </c>
      <c r="J7186">
        <f t="shared" si="117"/>
        <v>105000</v>
      </c>
      <c r="K7186" t="e">
        <f>VLOOKUP(B7186,'REGISTRO ABONOS'!$B$8:$BC$10041,54,0)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hidden="1" x14ac:dyDescent="0.2">
      <c r="B7187" s="31">
        <v>7178</v>
      </c>
      <c r="J7187">
        <f t="shared" si="117"/>
        <v>105000</v>
      </c>
      <c r="K7187" t="e">
        <f>VLOOKUP(B7187,'REGISTRO ABONOS'!$B$8:$BC$10041,54,0)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hidden="1" x14ac:dyDescent="0.2">
      <c r="B7188" s="31">
        <v>7179</v>
      </c>
      <c r="J7188">
        <f t="shared" si="117"/>
        <v>105000</v>
      </c>
      <c r="K7188" t="e">
        <f>VLOOKUP(B7188,'REGISTRO ABONOS'!$B$8:$BC$10041,54,0)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hidden="1" x14ac:dyDescent="0.2">
      <c r="B7189" s="31">
        <v>7180</v>
      </c>
      <c r="J7189">
        <f t="shared" si="117"/>
        <v>105000</v>
      </c>
      <c r="K7189" t="e">
        <f>VLOOKUP(B7189,'REGISTRO ABONOS'!$B$8:$BC$10041,54,0)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hidden="1" x14ac:dyDescent="0.2">
      <c r="B7190" s="31">
        <v>7181</v>
      </c>
      <c r="J7190">
        <f t="shared" si="117"/>
        <v>105000</v>
      </c>
      <c r="K7190" t="e">
        <f>VLOOKUP(B7190,'REGISTRO ABONOS'!$B$8:$BC$10041,54,0)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hidden="1" x14ac:dyDescent="0.2">
      <c r="B7191" s="31">
        <v>7182</v>
      </c>
      <c r="J7191">
        <f t="shared" si="117"/>
        <v>105000</v>
      </c>
      <c r="K7191" t="e">
        <f>VLOOKUP(B7191,'REGISTRO ABONOS'!$B$8:$BC$10041,54,0)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hidden="1" x14ac:dyDescent="0.2">
      <c r="B7192" s="31">
        <v>7183</v>
      </c>
      <c r="J7192">
        <f t="shared" si="117"/>
        <v>105000</v>
      </c>
      <c r="K7192" t="e">
        <f>VLOOKUP(B7192,'REGISTRO ABONOS'!$B$8:$BC$10041,54,0)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hidden="1" x14ac:dyDescent="0.2">
      <c r="B7193" s="31">
        <v>7184</v>
      </c>
      <c r="J7193">
        <f t="shared" si="117"/>
        <v>105000</v>
      </c>
      <c r="K7193" t="e">
        <f>VLOOKUP(B7193,'REGISTRO ABONOS'!$B$8:$BC$10041,54,0)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hidden="1" x14ac:dyDescent="0.2">
      <c r="B7194" s="31">
        <v>7185</v>
      </c>
      <c r="J7194">
        <f t="shared" si="117"/>
        <v>105000</v>
      </c>
      <c r="K7194" t="e">
        <f>VLOOKUP(B7194,'REGISTRO ABONOS'!$B$8:$BC$10041,54,0)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hidden="1" x14ac:dyDescent="0.2">
      <c r="B7195" s="31">
        <v>7186</v>
      </c>
      <c r="J7195">
        <f t="shared" si="117"/>
        <v>105000</v>
      </c>
      <c r="K7195" t="e">
        <f>VLOOKUP(B7195,'REGISTRO ABONOS'!$B$8:$BC$10041,54,0)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hidden="1" x14ac:dyDescent="0.2">
      <c r="B7196" s="31">
        <v>7187</v>
      </c>
      <c r="J7196">
        <f t="shared" si="117"/>
        <v>105000</v>
      </c>
      <c r="K7196" t="e">
        <f>VLOOKUP(B7196,'REGISTRO ABONOS'!$B$8:$BC$10041,54,0)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hidden="1" x14ac:dyDescent="0.2">
      <c r="B7197" s="31">
        <v>7188</v>
      </c>
      <c r="J7197">
        <f t="shared" si="117"/>
        <v>105000</v>
      </c>
      <c r="K7197" t="e">
        <f>VLOOKUP(B7197,'REGISTRO ABONOS'!$B$8:$BC$10041,54,0)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hidden="1" x14ac:dyDescent="0.2">
      <c r="B7198" s="31">
        <v>7189</v>
      </c>
      <c r="J7198">
        <f t="shared" si="117"/>
        <v>105000</v>
      </c>
      <c r="K7198" t="e">
        <f>VLOOKUP(B7198,'REGISTRO ABONOS'!$B$8:$BC$10041,54,0)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hidden="1" x14ac:dyDescent="0.2">
      <c r="B7199" s="31">
        <v>7190</v>
      </c>
      <c r="J7199">
        <f t="shared" si="117"/>
        <v>105000</v>
      </c>
      <c r="K7199" t="e">
        <f>VLOOKUP(B7199,'REGISTRO ABONOS'!$B$8:$BC$10041,54,0)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hidden="1" x14ac:dyDescent="0.2">
      <c r="B7200" s="31">
        <v>7191</v>
      </c>
      <c r="J7200">
        <f t="shared" si="117"/>
        <v>105000</v>
      </c>
      <c r="K7200" t="e">
        <f>VLOOKUP(B7200,'REGISTRO ABONOS'!$B$8:$BC$10041,54,0)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hidden="1" x14ac:dyDescent="0.2">
      <c r="B7201" s="31">
        <v>7192</v>
      </c>
      <c r="J7201">
        <f t="shared" si="117"/>
        <v>105000</v>
      </c>
      <c r="K7201" t="e">
        <f>VLOOKUP(B7201,'REGISTRO ABONOS'!$B$8:$BC$10041,54,0)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hidden="1" x14ac:dyDescent="0.2">
      <c r="B7202" s="31">
        <v>7193</v>
      </c>
      <c r="J7202">
        <f t="shared" si="117"/>
        <v>105000</v>
      </c>
      <c r="K7202" t="e">
        <f>VLOOKUP(B7202,'REGISTRO ABONOS'!$B$8:$BC$10041,54,0)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hidden="1" x14ac:dyDescent="0.2">
      <c r="B7203" s="31">
        <v>7194</v>
      </c>
      <c r="J7203">
        <f t="shared" si="117"/>
        <v>105000</v>
      </c>
      <c r="K7203" t="e">
        <f>VLOOKUP(B7203,'REGISTRO ABONOS'!$B$8:$BC$10041,54,0)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hidden="1" x14ac:dyDescent="0.2">
      <c r="B7204" s="31">
        <v>7195</v>
      </c>
      <c r="J7204">
        <f t="shared" si="117"/>
        <v>105000</v>
      </c>
      <c r="K7204" t="e">
        <f>VLOOKUP(B7204,'REGISTRO ABONOS'!$B$8:$BC$10041,54,0)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hidden="1" x14ac:dyDescent="0.2">
      <c r="B7205" s="31">
        <v>7196</v>
      </c>
      <c r="J7205">
        <f t="shared" si="117"/>
        <v>105000</v>
      </c>
      <c r="K7205" t="e">
        <f>VLOOKUP(B7205,'REGISTRO ABONOS'!$B$8:$BC$10041,54,0)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hidden="1" x14ac:dyDescent="0.2">
      <c r="B7206" s="31">
        <v>7197</v>
      </c>
      <c r="J7206">
        <f t="shared" si="117"/>
        <v>105000</v>
      </c>
      <c r="K7206" t="e">
        <f>VLOOKUP(B7206,'REGISTRO ABONOS'!$B$8:$BC$10041,54,0)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hidden="1" x14ac:dyDescent="0.2">
      <c r="B7207" s="31">
        <v>7198</v>
      </c>
      <c r="J7207">
        <f t="shared" si="117"/>
        <v>105000</v>
      </c>
      <c r="K7207" t="e">
        <f>VLOOKUP(B7207,'REGISTRO ABONOS'!$B$8:$BC$10041,54,0)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hidden="1" x14ac:dyDescent="0.2">
      <c r="B7208" s="31">
        <v>7199</v>
      </c>
      <c r="J7208">
        <f t="shared" si="117"/>
        <v>105000</v>
      </c>
      <c r="K7208" t="e">
        <f>VLOOKUP(B7208,'REGISTRO ABONOS'!$B$8:$BC$10041,54,0)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hidden="1" x14ac:dyDescent="0.2">
      <c r="B7209" s="31">
        <v>7200</v>
      </c>
      <c r="J7209">
        <f t="shared" si="117"/>
        <v>105000</v>
      </c>
      <c r="K7209" t="e">
        <f>VLOOKUP(B7209,'REGISTRO ABONOS'!$B$8:$BC$10041,54,0)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hidden="1" x14ac:dyDescent="0.2">
      <c r="B7210" s="31">
        <v>7201</v>
      </c>
      <c r="J7210">
        <f t="shared" si="117"/>
        <v>105000</v>
      </c>
      <c r="K7210" t="e">
        <f>VLOOKUP(B7210,'REGISTRO ABONOS'!$B$8:$BC$10041,54,0)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hidden="1" x14ac:dyDescent="0.2">
      <c r="B7211" s="31">
        <v>7202</v>
      </c>
      <c r="J7211">
        <f t="shared" si="117"/>
        <v>105000</v>
      </c>
      <c r="K7211" t="e">
        <f>VLOOKUP(B7211,'REGISTRO ABONOS'!$B$8:$BC$10041,54,0)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hidden="1" x14ac:dyDescent="0.2">
      <c r="B7212" s="31">
        <v>7203</v>
      </c>
      <c r="J7212">
        <f t="shared" si="117"/>
        <v>105000</v>
      </c>
      <c r="K7212" t="e">
        <f>VLOOKUP(B7212,'REGISTRO ABONOS'!$B$8:$BC$10041,54,0)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hidden="1" x14ac:dyDescent="0.2">
      <c r="B7213" s="31">
        <v>7204</v>
      </c>
      <c r="J7213">
        <f t="shared" si="117"/>
        <v>105000</v>
      </c>
      <c r="K7213" t="e">
        <f>VLOOKUP(B7213,'REGISTRO ABONOS'!$B$8:$BC$10041,54,0)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hidden="1" x14ac:dyDescent="0.2">
      <c r="B7214" s="31">
        <v>7205</v>
      </c>
      <c r="J7214">
        <f t="shared" si="117"/>
        <v>105000</v>
      </c>
      <c r="K7214" t="e">
        <f>VLOOKUP(B7214,'REGISTRO ABONOS'!$B$8:$BC$10041,54,0)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hidden="1" x14ac:dyDescent="0.2">
      <c r="B7215" s="31">
        <v>7206</v>
      </c>
      <c r="J7215">
        <f t="shared" si="117"/>
        <v>105000</v>
      </c>
      <c r="K7215" t="e">
        <f>VLOOKUP(B7215,'REGISTRO ABONOS'!$B$8:$BC$10041,54,0)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hidden="1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ABONOS'!$B$8:$BC$10041,54,0)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hidden="1" x14ac:dyDescent="0.2">
      <c r="B7217" s="31">
        <v>7208</v>
      </c>
      <c r="J7217">
        <f t="shared" si="118"/>
        <v>105000</v>
      </c>
      <c r="K7217" t="e">
        <f>VLOOKUP(B7217,'REGISTRO ABONOS'!$B$8:$BC$10041,54,0)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hidden="1" x14ac:dyDescent="0.2">
      <c r="B7218" s="31">
        <v>7209</v>
      </c>
      <c r="J7218">
        <f t="shared" si="118"/>
        <v>105000</v>
      </c>
      <c r="K7218" t="e">
        <f>VLOOKUP(B7218,'REGISTRO ABONOS'!$B$8:$BC$10041,54,0)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hidden="1" x14ac:dyDescent="0.2">
      <c r="B7219" s="31">
        <v>7210</v>
      </c>
      <c r="J7219">
        <f t="shared" si="118"/>
        <v>105000</v>
      </c>
      <c r="K7219" t="e">
        <f>VLOOKUP(B7219,'REGISTRO ABONOS'!$B$8:$BC$10041,54,0)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hidden="1" x14ac:dyDescent="0.2">
      <c r="B7220" s="31">
        <v>7211</v>
      </c>
      <c r="J7220">
        <f t="shared" si="118"/>
        <v>105000</v>
      </c>
      <c r="K7220" t="e">
        <f>VLOOKUP(B7220,'REGISTRO ABONOS'!$B$8:$BC$10041,54,0)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hidden="1" x14ac:dyDescent="0.2">
      <c r="B7221" s="31">
        <v>7212</v>
      </c>
      <c r="J7221">
        <f t="shared" si="118"/>
        <v>105000</v>
      </c>
      <c r="K7221" t="e">
        <f>VLOOKUP(B7221,'REGISTRO ABONOS'!$B$8:$BC$10041,54,0)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hidden="1" x14ac:dyDescent="0.2">
      <c r="B7222" s="31">
        <v>7213</v>
      </c>
      <c r="J7222">
        <f t="shared" si="118"/>
        <v>105000</v>
      </c>
      <c r="K7222" t="e">
        <f>VLOOKUP(B7222,'REGISTRO ABONOS'!$B$8:$BC$10041,54,0)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hidden="1" x14ac:dyDescent="0.2">
      <c r="B7223" s="31">
        <v>7214</v>
      </c>
      <c r="C7223" s="10">
        <v>43571</v>
      </c>
      <c r="D7223" t="s">
        <v>478</v>
      </c>
      <c r="H7223" t="s">
        <v>478</v>
      </c>
      <c r="I7223" t="s">
        <v>322</v>
      </c>
      <c r="J7223">
        <f t="shared" si="118"/>
        <v>105000</v>
      </c>
      <c r="K7223" t="e">
        <f>VLOOKUP(B7223,'REGISTRO ABONOS'!$B$8:$BC$10041,54,0)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hidden="1" x14ac:dyDescent="0.2">
      <c r="B7224" s="31">
        <v>7215</v>
      </c>
      <c r="J7224">
        <f t="shared" si="118"/>
        <v>105000</v>
      </c>
      <c r="K7224" t="e">
        <f>VLOOKUP(B7224,'REGISTRO ABONOS'!$B$8:$BC$10041,54,0)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hidden="1" x14ac:dyDescent="0.2">
      <c r="B7225" s="31">
        <v>7216</v>
      </c>
      <c r="J7225">
        <f t="shared" si="118"/>
        <v>105000</v>
      </c>
      <c r="K7225" t="e">
        <f>VLOOKUP(B7225,'REGISTRO ABONOS'!$B$8:$BC$10041,54,0)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hidden="1" x14ac:dyDescent="0.2">
      <c r="B7226" s="31">
        <v>7217</v>
      </c>
      <c r="J7226">
        <f t="shared" si="118"/>
        <v>105000</v>
      </c>
      <c r="K7226" t="e">
        <f>VLOOKUP(B7226,'REGISTRO ABONOS'!$B$8:$BC$10041,54,0)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hidden="1" x14ac:dyDescent="0.2">
      <c r="B7227" s="31">
        <v>7218</v>
      </c>
      <c r="J7227">
        <f t="shared" si="118"/>
        <v>105000</v>
      </c>
      <c r="K7227" t="e">
        <f>VLOOKUP(B7227,'REGISTRO ABONOS'!$B$8:$BC$10041,54,0)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hidden="1" x14ac:dyDescent="0.2">
      <c r="B7228" s="31">
        <v>7219</v>
      </c>
      <c r="J7228">
        <f t="shared" si="118"/>
        <v>105000</v>
      </c>
      <c r="K7228" t="e">
        <f>VLOOKUP(B7228,'REGISTRO ABONOS'!$B$8:$BC$10041,54,0)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hidden="1" x14ac:dyDescent="0.2">
      <c r="B7229" s="31">
        <v>7220</v>
      </c>
      <c r="J7229">
        <f t="shared" si="118"/>
        <v>105000</v>
      </c>
      <c r="K7229" t="e">
        <f>VLOOKUP(B7229,'REGISTRO ABONOS'!$B$8:$BC$10041,54,0)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hidden="1" x14ac:dyDescent="0.2">
      <c r="B7230" s="31">
        <v>7221</v>
      </c>
      <c r="J7230">
        <f t="shared" si="118"/>
        <v>105000</v>
      </c>
      <c r="K7230" t="e">
        <f>VLOOKUP(B7230,'REGISTRO ABONOS'!$B$8:$BC$10041,54,0)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hidden="1" x14ac:dyDescent="0.2">
      <c r="B7231" s="31">
        <v>7222</v>
      </c>
      <c r="J7231">
        <f t="shared" si="118"/>
        <v>105000</v>
      </c>
      <c r="K7231" t="e">
        <f>VLOOKUP(B7231,'REGISTRO ABONOS'!$B$8:$BC$10041,54,0)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hidden="1" x14ac:dyDescent="0.2">
      <c r="B7232" s="31">
        <v>7223</v>
      </c>
      <c r="J7232">
        <f t="shared" si="118"/>
        <v>105000</v>
      </c>
      <c r="K7232" t="e">
        <f>VLOOKUP(B7232,'REGISTRO ABONOS'!$B$8:$BC$10041,54,0)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hidden="1" x14ac:dyDescent="0.2">
      <c r="B7233" s="31">
        <v>7224</v>
      </c>
      <c r="J7233">
        <f t="shared" si="118"/>
        <v>105000</v>
      </c>
      <c r="K7233" t="e">
        <f>VLOOKUP(B7233,'REGISTRO ABONOS'!$B$8:$BC$10041,54,0)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hidden="1" x14ac:dyDescent="0.2">
      <c r="B7234" s="31">
        <v>7225</v>
      </c>
      <c r="J7234">
        <f t="shared" si="118"/>
        <v>105000</v>
      </c>
      <c r="K7234" t="e">
        <f>VLOOKUP(B7234,'REGISTRO ABONOS'!$B$8:$BC$10041,54,0)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hidden="1" x14ac:dyDescent="0.2">
      <c r="B7235" s="31">
        <v>7226</v>
      </c>
      <c r="J7235">
        <f t="shared" si="118"/>
        <v>105000</v>
      </c>
      <c r="K7235" t="e">
        <f>VLOOKUP(B7235,'REGISTRO ABONOS'!$B$8:$BC$10041,54,0)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hidden="1" x14ac:dyDescent="0.2">
      <c r="B7236" s="31">
        <v>7227</v>
      </c>
      <c r="J7236">
        <f t="shared" si="118"/>
        <v>105000</v>
      </c>
      <c r="K7236" t="e">
        <f>VLOOKUP(B7236,'REGISTRO ABONOS'!$B$8:$BC$10041,54,0)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hidden="1" x14ac:dyDescent="0.2">
      <c r="B7237" s="31">
        <v>7228</v>
      </c>
      <c r="J7237">
        <f t="shared" si="118"/>
        <v>105000</v>
      </c>
      <c r="K7237" t="e">
        <f>VLOOKUP(B7237,'REGISTRO ABONOS'!$B$8:$BC$10041,54,0)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hidden="1" x14ac:dyDescent="0.2">
      <c r="B7238" s="31">
        <v>7229</v>
      </c>
      <c r="J7238">
        <f t="shared" si="118"/>
        <v>105000</v>
      </c>
      <c r="K7238" t="e">
        <f>VLOOKUP(B7238,'REGISTRO ABONOS'!$B$8:$BC$10041,54,0)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hidden="1" x14ac:dyDescent="0.2">
      <c r="B7239" s="31">
        <v>7230</v>
      </c>
      <c r="J7239">
        <f t="shared" si="118"/>
        <v>105000</v>
      </c>
      <c r="K7239" t="e">
        <f>VLOOKUP(B7239,'REGISTRO ABONOS'!$B$8:$BC$10041,54,0)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hidden="1" x14ac:dyDescent="0.2">
      <c r="B7240" s="31">
        <v>7231</v>
      </c>
      <c r="J7240">
        <f t="shared" si="118"/>
        <v>105000</v>
      </c>
      <c r="K7240" t="e">
        <f>VLOOKUP(B7240,'REGISTRO ABONOS'!$B$8:$BC$10041,54,0)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hidden="1" x14ac:dyDescent="0.2">
      <c r="B7241" s="31">
        <v>7232</v>
      </c>
      <c r="J7241">
        <f t="shared" si="118"/>
        <v>105000</v>
      </c>
      <c r="K7241" t="e">
        <f>VLOOKUP(B7241,'REGISTRO ABONOS'!$B$8:$BC$10041,54,0)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hidden="1" x14ac:dyDescent="0.2">
      <c r="B7242" s="31">
        <v>7233</v>
      </c>
      <c r="J7242">
        <f t="shared" si="118"/>
        <v>105000</v>
      </c>
      <c r="K7242" t="e">
        <f>VLOOKUP(B7242,'REGISTRO ABONOS'!$B$8:$BC$10041,54,0)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hidden="1" x14ac:dyDescent="0.2">
      <c r="B7243" s="31">
        <v>7234</v>
      </c>
      <c r="J7243">
        <f t="shared" si="118"/>
        <v>105000</v>
      </c>
      <c r="K7243" t="e">
        <f>VLOOKUP(B7243,'REGISTRO ABONOS'!$B$8:$BC$10041,54,0)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hidden="1" x14ac:dyDescent="0.2">
      <c r="B7244" s="31">
        <v>7235</v>
      </c>
      <c r="J7244">
        <f t="shared" si="118"/>
        <v>105000</v>
      </c>
      <c r="K7244" t="e">
        <f>VLOOKUP(B7244,'REGISTRO ABONOS'!$B$8:$BC$10041,54,0)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hidden="1" x14ac:dyDescent="0.2">
      <c r="B7245" s="31">
        <v>7236</v>
      </c>
      <c r="J7245">
        <f t="shared" si="118"/>
        <v>105000</v>
      </c>
      <c r="K7245" t="e">
        <f>VLOOKUP(B7245,'REGISTRO ABONOS'!$B$8:$BC$10041,54,0)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hidden="1" x14ac:dyDescent="0.2">
      <c r="B7246" s="31">
        <v>7237</v>
      </c>
      <c r="J7246">
        <f t="shared" si="118"/>
        <v>105000</v>
      </c>
      <c r="K7246" t="e">
        <f>VLOOKUP(B7246,'REGISTRO ABONOS'!$B$8:$BC$10041,54,0)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hidden="1" x14ac:dyDescent="0.2">
      <c r="B7247" s="31">
        <v>7238</v>
      </c>
      <c r="J7247">
        <f t="shared" si="118"/>
        <v>105000</v>
      </c>
      <c r="K7247" t="e">
        <f>VLOOKUP(B7247,'REGISTRO ABONOS'!$B$8:$BC$10041,54,0)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hidden="1" x14ac:dyDescent="0.2">
      <c r="B7248" s="31">
        <v>7239</v>
      </c>
      <c r="J7248">
        <f t="shared" si="118"/>
        <v>105000</v>
      </c>
      <c r="K7248" t="e">
        <f>VLOOKUP(B7248,'REGISTRO ABONOS'!$B$8:$BC$10041,54,0)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hidden="1" x14ac:dyDescent="0.2">
      <c r="B7249" s="31">
        <v>7240</v>
      </c>
      <c r="J7249">
        <f t="shared" si="118"/>
        <v>105000</v>
      </c>
      <c r="K7249" t="e">
        <f>VLOOKUP(B7249,'REGISTRO ABONOS'!$B$8:$BC$10041,54,0)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hidden="1" x14ac:dyDescent="0.2">
      <c r="B7250" s="31">
        <v>7241</v>
      </c>
      <c r="J7250">
        <f t="shared" si="118"/>
        <v>105000</v>
      </c>
      <c r="K7250" t="e">
        <f>VLOOKUP(B7250,'REGISTRO ABONOS'!$B$8:$BC$10041,54,0)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hidden="1" x14ac:dyDescent="0.2">
      <c r="B7251" s="31">
        <v>7242</v>
      </c>
      <c r="J7251">
        <f t="shared" si="118"/>
        <v>105000</v>
      </c>
      <c r="K7251" t="e">
        <f>VLOOKUP(B7251,'REGISTRO ABONOS'!$B$8:$BC$10041,54,0)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hidden="1" x14ac:dyDescent="0.2">
      <c r="B7252" s="31">
        <v>7243</v>
      </c>
      <c r="J7252">
        <f t="shared" si="118"/>
        <v>105000</v>
      </c>
      <c r="K7252" t="e">
        <f>VLOOKUP(B7252,'REGISTRO ABONOS'!$B$8:$BC$10041,54,0)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hidden="1" x14ac:dyDescent="0.2">
      <c r="B7253" s="31">
        <v>7244</v>
      </c>
      <c r="J7253">
        <f t="shared" si="118"/>
        <v>105000</v>
      </c>
      <c r="K7253" t="e">
        <f>VLOOKUP(B7253,'REGISTRO ABONOS'!$B$8:$BC$10041,54,0)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hidden="1" x14ac:dyDescent="0.2">
      <c r="B7254" s="31">
        <v>7245</v>
      </c>
      <c r="J7254">
        <f t="shared" si="118"/>
        <v>105000</v>
      </c>
      <c r="K7254" t="e">
        <f>VLOOKUP(B7254,'REGISTRO ABONOS'!$B$8:$BC$10041,54,0)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hidden="1" x14ac:dyDescent="0.2">
      <c r="B7255" s="31">
        <v>7246</v>
      </c>
      <c r="J7255">
        <f t="shared" si="118"/>
        <v>105000</v>
      </c>
      <c r="K7255" t="e">
        <f>VLOOKUP(B7255,'REGISTRO ABONOS'!$B$8:$BC$10041,54,0)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hidden="1" x14ac:dyDescent="0.2">
      <c r="B7256" s="31">
        <v>7247</v>
      </c>
      <c r="J7256">
        <f t="shared" si="118"/>
        <v>105000</v>
      </c>
      <c r="K7256" t="e">
        <f>VLOOKUP(B7256,'REGISTRO ABONOS'!$B$8:$BC$10041,54,0)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hidden="1" x14ac:dyDescent="0.2">
      <c r="B7257" s="31">
        <v>7248</v>
      </c>
      <c r="J7257">
        <f t="shared" si="118"/>
        <v>105000</v>
      </c>
      <c r="K7257" t="e">
        <f>VLOOKUP(B7257,'REGISTRO ABONOS'!$B$8:$BC$10041,54,0)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hidden="1" x14ac:dyDescent="0.2">
      <c r="B7258" s="31">
        <v>7249</v>
      </c>
      <c r="J7258">
        <f t="shared" si="118"/>
        <v>105000</v>
      </c>
      <c r="K7258" t="e">
        <f>VLOOKUP(B7258,'REGISTRO ABONOS'!$B$8:$BC$10041,54,0)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hidden="1" x14ac:dyDescent="0.2">
      <c r="B7259" s="31">
        <v>7250</v>
      </c>
      <c r="J7259">
        <f t="shared" si="118"/>
        <v>105000</v>
      </c>
      <c r="K7259" t="e">
        <f>VLOOKUP(B7259,'REGISTRO ABONOS'!$B$8:$BC$10041,54,0)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hidden="1" x14ac:dyDescent="0.2">
      <c r="B7260" s="31">
        <v>7251</v>
      </c>
      <c r="J7260">
        <f t="shared" si="118"/>
        <v>105000</v>
      </c>
      <c r="K7260" t="e">
        <f>VLOOKUP(B7260,'REGISTRO ABONOS'!$B$8:$BC$10041,54,0)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hidden="1" x14ac:dyDescent="0.2">
      <c r="B7261" s="31">
        <v>7252</v>
      </c>
      <c r="J7261">
        <f t="shared" si="118"/>
        <v>105000</v>
      </c>
      <c r="K7261" t="e">
        <f>VLOOKUP(B7261,'REGISTRO ABONOS'!$B$8:$BC$10041,54,0)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hidden="1" x14ac:dyDescent="0.2">
      <c r="B7262" s="31">
        <v>7253</v>
      </c>
      <c r="J7262">
        <f t="shared" si="118"/>
        <v>105000</v>
      </c>
      <c r="K7262" t="e">
        <f>VLOOKUP(B7262,'REGISTRO ABONOS'!$B$8:$BC$10041,54,0)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hidden="1" x14ac:dyDescent="0.2">
      <c r="B7263" s="31">
        <v>7254</v>
      </c>
      <c r="J7263">
        <f t="shared" si="118"/>
        <v>105000</v>
      </c>
      <c r="K7263" t="e">
        <f>VLOOKUP(B7263,'REGISTRO ABONOS'!$B$8:$BC$10041,54,0)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hidden="1" x14ac:dyDescent="0.2">
      <c r="B7264" s="31">
        <v>7255</v>
      </c>
      <c r="J7264">
        <f t="shared" si="118"/>
        <v>105000</v>
      </c>
      <c r="K7264" t="e">
        <f>VLOOKUP(B7264,'REGISTRO ABONOS'!$B$8:$BC$10041,54,0)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hidden="1" x14ac:dyDescent="0.2">
      <c r="B7265" s="31">
        <v>7256</v>
      </c>
      <c r="J7265">
        <f t="shared" si="118"/>
        <v>105000</v>
      </c>
      <c r="K7265" t="e">
        <f>VLOOKUP(B7265,'REGISTRO ABONOS'!$B$8:$BC$10041,54,0)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8"/>
        <v>105000</v>
      </c>
      <c r="K7266" t="e">
        <f>VLOOKUP(B7266,'REGISTRO ABONOS'!$B$8:$BC$10041,54,0)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hidden="1" x14ac:dyDescent="0.2">
      <c r="B7267" s="31">
        <v>7258</v>
      </c>
      <c r="J7267">
        <f t="shared" si="118"/>
        <v>105000</v>
      </c>
      <c r="K7267" t="e">
        <f>VLOOKUP(B7267,'REGISTRO ABONOS'!$B$8:$BC$10041,54,0)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hidden="1" x14ac:dyDescent="0.2">
      <c r="B7268" s="31">
        <v>7259</v>
      </c>
      <c r="J7268">
        <f t="shared" si="118"/>
        <v>105000</v>
      </c>
      <c r="K7268" t="e">
        <f>VLOOKUP(B7268,'REGISTRO ABONOS'!$B$8:$BC$10041,54,0)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hidden="1" x14ac:dyDescent="0.2">
      <c r="B7269" s="31">
        <v>7260</v>
      </c>
      <c r="J7269">
        <f t="shared" si="118"/>
        <v>105000</v>
      </c>
      <c r="K7269" t="e">
        <f>VLOOKUP(B7269,'REGISTRO ABONOS'!$B$8:$BC$10041,54,0)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hidden="1" x14ac:dyDescent="0.2">
      <c r="B7270" s="31">
        <v>7261</v>
      </c>
      <c r="J7270">
        <f t="shared" si="118"/>
        <v>105000</v>
      </c>
      <c r="K7270" t="e">
        <f>VLOOKUP(B7270,'REGISTRO ABONOS'!$B$8:$BC$10041,54,0)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hidden="1" x14ac:dyDescent="0.2">
      <c r="B7271" s="31">
        <v>7262</v>
      </c>
      <c r="J7271">
        <f t="shared" si="118"/>
        <v>105000</v>
      </c>
      <c r="K7271" t="e">
        <f>VLOOKUP(B7271,'REGISTRO ABONOS'!$B$8:$BC$10041,54,0)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hidden="1" x14ac:dyDescent="0.2">
      <c r="B7272" s="31">
        <v>7263</v>
      </c>
      <c r="J7272">
        <f t="shared" si="118"/>
        <v>105000</v>
      </c>
      <c r="K7272" t="e">
        <f>VLOOKUP(B7272,'REGISTRO ABONOS'!$B$8:$BC$10041,54,0)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hidden="1" x14ac:dyDescent="0.2">
      <c r="B7273" s="31">
        <v>7264</v>
      </c>
      <c r="J7273">
        <f t="shared" si="118"/>
        <v>105000</v>
      </c>
      <c r="K7273" t="e">
        <f>VLOOKUP(B7273,'REGISTRO ABONOS'!$B$8:$BC$10041,54,0)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hidden="1" x14ac:dyDescent="0.2">
      <c r="B7274" s="31">
        <v>7265</v>
      </c>
      <c r="J7274">
        <f t="shared" si="118"/>
        <v>105000</v>
      </c>
      <c r="K7274" t="e">
        <f>VLOOKUP(B7274,'REGISTRO ABONOS'!$B$8:$BC$10041,54,0)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hidden="1" x14ac:dyDescent="0.2">
      <c r="B7275" s="31">
        <v>7266</v>
      </c>
      <c r="J7275">
        <f t="shared" si="118"/>
        <v>105000</v>
      </c>
      <c r="K7275" t="e">
        <f>VLOOKUP(B7275,'REGISTRO ABONOS'!$B$8:$BC$10041,54,0)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hidden="1" x14ac:dyDescent="0.2">
      <c r="B7276" s="31">
        <v>7267</v>
      </c>
      <c r="J7276">
        <f t="shared" si="118"/>
        <v>105000</v>
      </c>
      <c r="K7276" t="e">
        <f>VLOOKUP(B7276,'REGISTRO ABONOS'!$B$8:$BC$10041,54,0)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hidden="1" x14ac:dyDescent="0.2">
      <c r="B7277" s="31">
        <v>7268</v>
      </c>
      <c r="J7277">
        <f t="shared" si="118"/>
        <v>105000</v>
      </c>
      <c r="K7277" t="e">
        <f>VLOOKUP(B7277,'REGISTRO ABONOS'!$B$8:$BC$10041,54,0)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hidden="1" x14ac:dyDescent="0.2">
      <c r="B7278" s="31">
        <v>7269</v>
      </c>
      <c r="J7278">
        <f t="shared" si="118"/>
        <v>105000</v>
      </c>
      <c r="K7278" t="e">
        <f>VLOOKUP(B7278,'REGISTRO ABONOS'!$B$8:$BC$10041,54,0)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hidden="1" x14ac:dyDescent="0.2">
      <c r="B7279" s="31">
        <v>7270</v>
      </c>
      <c r="J7279">
        <f t="shared" si="118"/>
        <v>105000</v>
      </c>
      <c r="K7279" t="e">
        <f>VLOOKUP(B7279,'REGISTRO ABONOS'!$B$8:$BC$10041,54,0)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hidden="1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ABONOS'!$B$8:$BC$10041,54,0)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hidden="1" x14ac:dyDescent="0.2">
      <c r="B7281" s="31">
        <v>7272</v>
      </c>
      <c r="J7281">
        <f t="shared" si="119"/>
        <v>105000</v>
      </c>
      <c r="K7281" t="e">
        <f>VLOOKUP(B7281,'REGISTRO ABONOS'!$B$8:$BC$10041,54,0)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hidden="1" x14ac:dyDescent="0.2">
      <c r="B7282" s="31">
        <v>7273</v>
      </c>
      <c r="J7282">
        <f t="shared" si="119"/>
        <v>105000</v>
      </c>
      <c r="K7282" t="e">
        <f>VLOOKUP(B7282,'REGISTRO ABONOS'!$B$8:$BC$10041,54,0)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hidden="1" x14ac:dyDescent="0.2">
      <c r="B7283" s="31">
        <v>7274</v>
      </c>
      <c r="J7283">
        <f t="shared" si="119"/>
        <v>105000</v>
      </c>
      <c r="K7283" t="e">
        <f>VLOOKUP(B7283,'REGISTRO ABONOS'!$B$8:$BC$10041,54,0)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hidden="1" x14ac:dyDescent="0.2">
      <c r="B7284" s="31">
        <v>7275</v>
      </c>
      <c r="J7284">
        <f t="shared" si="119"/>
        <v>105000</v>
      </c>
      <c r="K7284" t="e">
        <f>VLOOKUP(B7284,'REGISTRO ABONOS'!$B$8:$BC$10041,54,0)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hidden="1" x14ac:dyDescent="0.2">
      <c r="B7285" s="31">
        <v>7276</v>
      </c>
      <c r="J7285">
        <f t="shared" si="119"/>
        <v>105000</v>
      </c>
      <c r="K7285" t="e">
        <f>VLOOKUP(B7285,'REGISTRO ABONOS'!$B$8:$BC$10041,54,0)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hidden="1" x14ac:dyDescent="0.2">
      <c r="B7286" s="31">
        <v>7277</v>
      </c>
      <c r="J7286">
        <f t="shared" si="119"/>
        <v>105000</v>
      </c>
      <c r="K7286" t="e">
        <f>VLOOKUP(B7286,'REGISTRO ABONOS'!$B$8:$BC$10041,54,0)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hidden="1" x14ac:dyDescent="0.2">
      <c r="B7287" s="31">
        <v>7278</v>
      </c>
      <c r="J7287">
        <f t="shared" si="119"/>
        <v>105000</v>
      </c>
      <c r="K7287" t="e">
        <f>VLOOKUP(B7287,'REGISTRO ABONOS'!$B$8:$BC$10041,54,0)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hidden="1" x14ac:dyDescent="0.2">
      <c r="B7288" s="31">
        <v>7279</v>
      </c>
      <c r="J7288">
        <f t="shared" si="119"/>
        <v>105000</v>
      </c>
      <c r="K7288" t="e">
        <f>VLOOKUP(B7288,'REGISTRO ABONOS'!$B$8:$BC$10041,54,0)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hidden="1" x14ac:dyDescent="0.2">
      <c r="B7289" s="31">
        <v>7280</v>
      </c>
      <c r="J7289">
        <f t="shared" si="119"/>
        <v>105000</v>
      </c>
      <c r="K7289" t="e">
        <f>VLOOKUP(B7289,'REGISTRO ABONOS'!$B$8:$BC$10041,54,0)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hidden="1" x14ac:dyDescent="0.2">
      <c r="B7290" s="31">
        <v>7281</v>
      </c>
      <c r="J7290">
        <f t="shared" si="119"/>
        <v>105000</v>
      </c>
      <c r="K7290" t="e">
        <f>VLOOKUP(B7290,'REGISTRO ABONOS'!$B$8:$BC$10041,54,0)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hidden="1" x14ac:dyDescent="0.2">
      <c r="B7291" s="31">
        <v>7282</v>
      </c>
      <c r="J7291">
        <f t="shared" si="119"/>
        <v>105000</v>
      </c>
      <c r="K7291" t="e">
        <f>VLOOKUP(B7291,'REGISTRO ABONOS'!$B$8:$BC$10041,54,0)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hidden="1" x14ac:dyDescent="0.2">
      <c r="B7292" s="31">
        <v>7283</v>
      </c>
      <c r="J7292">
        <f t="shared" si="119"/>
        <v>105000</v>
      </c>
      <c r="K7292" t="e">
        <f>VLOOKUP(B7292,'REGISTRO ABONOS'!$B$8:$BC$10041,54,0)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hidden="1" x14ac:dyDescent="0.2">
      <c r="B7293" s="31">
        <v>7284</v>
      </c>
      <c r="J7293">
        <f t="shared" si="119"/>
        <v>105000</v>
      </c>
      <c r="K7293" t="e">
        <f>VLOOKUP(B7293,'REGISTRO ABONOS'!$B$8:$BC$10041,54,0)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hidden="1" x14ac:dyDescent="0.2">
      <c r="B7294" s="31">
        <v>7285</v>
      </c>
      <c r="J7294">
        <f t="shared" si="119"/>
        <v>105000</v>
      </c>
      <c r="K7294" t="e">
        <f>VLOOKUP(B7294,'REGISTRO ABONOS'!$B$8:$BC$10041,54,0)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hidden="1" x14ac:dyDescent="0.2">
      <c r="B7295" s="31">
        <v>7286</v>
      </c>
      <c r="J7295">
        <f t="shared" si="119"/>
        <v>105000</v>
      </c>
      <c r="K7295" t="e">
        <f>VLOOKUP(B7295,'REGISTRO ABONOS'!$B$8:$BC$10041,54,0)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hidden="1" x14ac:dyDescent="0.2">
      <c r="B7296" s="31">
        <v>7287</v>
      </c>
      <c r="J7296">
        <f t="shared" si="119"/>
        <v>105000</v>
      </c>
      <c r="K7296" t="e">
        <f>VLOOKUP(B7296,'REGISTRO ABONOS'!$B$8:$BC$10041,54,0)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hidden="1" x14ac:dyDescent="0.2">
      <c r="B7297" s="31">
        <v>7288</v>
      </c>
      <c r="J7297">
        <f t="shared" si="119"/>
        <v>105000</v>
      </c>
      <c r="K7297" t="e">
        <f>VLOOKUP(B7297,'REGISTRO ABONOS'!$B$8:$BC$10041,54,0)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hidden="1" x14ac:dyDescent="0.2">
      <c r="B7298" s="31">
        <v>7289</v>
      </c>
      <c r="J7298">
        <f t="shared" si="119"/>
        <v>105000</v>
      </c>
      <c r="K7298" t="e">
        <f>VLOOKUP(B7298,'REGISTRO ABONOS'!$B$8:$BC$10041,54,0)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hidden="1" x14ac:dyDescent="0.2">
      <c r="B7299" s="31">
        <v>7290</v>
      </c>
      <c r="J7299">
        <f t="shared" si="119"/>
        <v>105000</v>
      </c>
      <c r="K7299" t="e">
        <f>VLOOKUP(B7299,'REGISTRO ABONOS'!$B$8:$BC$10041,54,0)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hidden="1" x14ac:dyDescent="0.2">
      <c r="B7300" s="31">
        <v>7291</v>
      </c>
      <c r="J7300">
        <f t="shared" si="119"/>
        <v>105000</v>
      </c>
      <c r="K7300" t="e">
        <f>VLOOKUP(B7300,'REGISTRO ABONOS'!$B$8:$BC$10041,54,0)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hidden="1" x14ac:dyDescent="0.2">
      <c r="B7301" s="31">
        <v>7292</v>
      </c>
      <c r="J7301">
        <f t="shared" si="119"/>
        <v>105000</v>
      </c>
      <c r="K7301" t="e">
        <f>VLOOKUP(B7301,'REGISTRO ABONOS'!$B$8:$BC$10041,54,0)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hidden="1" x14ac:dyDescent="0.2">
      <c r="B7302" s="31">
        <v>7293</v>
      </c>
      <c r="J7302">
        <f t="shared" si="119"/>
        <v>105000</v>
      </c>
      <c r="K7302" t="e">
        <f>VLOOKUP(B7302,'REGISTRO ABONOS'!$B$8:$BC$10041,54,0)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hidden="1" x14ac:dyDescent="0.2">
      <c r="B7303" s="31">
        <v>7294</v>
      </c>
      <c r="J7303">
        <f t="shared" si="119"/>
        <v>105000</v>
      </c>
      <c r="K7303" t="e">
        <f>VLOOKUP(B7303,'REGISTRO ABONOS'!$B$8:$BC$10041,54,0)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hidden="1" x14ac:dyDescent="0.2">
      <c r="B7304" s="31">
        <v>7295</v>
      </c>
      <c r="J7304">
        <f t="shared" si="119"/>
        <v>105000</v>
      </c>
      <c r="K7304" t="e">
        <f>VLOOKUP(B7304,'REGISTRO ABONOS'!$B$8:$BC$10041,54,0)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hidden="1" x14ac:dyDescent="0.2">
      <c r="B7305" s="31">
        <v>7296</v>
      </c>
      <c r="J7305">
        <f t="shared" si="119"/>
        <v>105000</v>
      </c>
      <c r="K7305" t="e">
        <f>VLOOKUP(B7305,'REGISTRO ABONOS'!$B$8:$BC$10041,54,0)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hidden="1" x14ac:dyDescent="0.2">
      <c r="B7306" s="31">
        <v>7297</v>
      </c>
      <c r="J7306">
        <f t="shared" si="119"/>
        <v>105000</v>
      </c>
      <c r="K7306" t="e">
        <f>VLOOKUP(B7306,'REGISTRO ABONOS'!$B$8:$BC$10041,54,0)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hidden="1" x14ac:dyDescent="0.2">
      <c r="B7307" s="31">
        <v>7298</v>
      </c>
      <c r="J7307">
        <f t="shared" si="119"/>
        <v>105000</v>
      </c>
      <c r="K7307" t="e">
        <f>VLOOKUP(B7307,'REGISTRO ABONOS'!$B$8:$BC$10041,54,0)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hidden="1" x14ac:dyDescent="0.2">
      <c r="B7308" s="31">
        <v>7299</v>
      </c>
      <c r="J7308">
        <f t="shared" si="119"/>
        <v>105000</v>
      </c>
      <c r="K7308" t="e">
        <f>VLOOKUP(B7308,'REGISTRO ABONOS'!$B$8:$BC$10041,54,0)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hidden="1" x14ac:dyDescent="0.2">
      <c r="B7309" s="31">
        <v>7300</v>
      </c>
      <c r="J7309">
        <f t="shared" si="119"/>
        <v>105000</v>
      </c>
      <c r="K7309" t="e">
        <f>VLOOKUP(B7309,'REGISTRO ABONOS'!$B$8:$BC$10041,54,0)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hidden="1" x14ac:dyDescent="0.2">
      <c r="B7310" s="31">
        <v>7301</v>
      </c>
      <c r="J7310">
        <f t="shared" si="119"/>
        <v>105000</v>
      </c>
      <c r="K7310" t="e">
        <f>VLOOKUP(B7310,'REGISTRO ABONOS'!$B$8:$BC$10041,54,0)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hidden="1" x14ac:dyDescent="0.2">
      <c r="B7311" s="31">
        <v>7302</v>
      </c>
      <c r="J7311">
        <f t="shared" si="119"/>
        <v>105000</v>
      </c>
      <c r="K7311" t="e">
        <f>VLOOKUP(B7311,'REGISTRO ABONOS'!$B$8:$BC$10041,54,0)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hidden="1" x14ac:dyDescent="0.2">
      <c r="B7312" s="31">
        <v>7303</v>
      </c>
      <c r="J7312">
        <f t="shared" si="119"/>
        <v>105000</v>
      </c>
      <c r="K7312" t="e">
        <f>VLOOKUP(B7312,'REGISTRO ABONOS'!$B$8:$BC$10041,54,0)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hidden="1" x14ac:dyDescent="0.2">
      <c r="B7313" s="31">
        <v>7304</v>
      </c>
      <c r="J7313">
        <f t="shared" si="119"/>
        <v>105000</v>
      </c>
      <c r="K7313" t="e">
        <f>VLOOKUP(B7313,'REGISTRO ABONOS'!$B$8:$BC$10041,54,0)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hidden="1" x14ac:dyDescent="0.2">
      <c r="B7314" s="31">
        <v>7305</v>
      </c>
      <c r="J7314">
        <f t="shared" si="119"/>
        <v>105000</v>
      </c>
      <c r="K7314" t="e">
        <f>VLOOKUP(B7314,'REGISTRO ABONOS'!$B$8:$BC$10041,54,0)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hidden="1" x14ac:dyDescent="0.2">
      <c r="B7315" s="31">
        <v>7306</v>
      </c>
      <c r="J7315">
        <f t="shared" si="119"/>
        <v>105000</v>
      </c>
      <c r="K7315" t="e">
        <f>VLOOKUP(B7315,'REGISTRO ABONOS'!$B$8:$BC$10041,54,0)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hidden="1" x14ac:dyDescent="0.2">
      <c r="B7316" s="31">
        <v>7307</v>
      </c>
      <c r="J7316">
        <f t="shared" si="119"/>
        <v>105000</v>
      </c>
      <c r="K7316" t="e">
        <f>VLOOKUP(B7316,'REGISTRO ABONOS'!$B$8:$BC$10041,54,0)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hidden="1" x14ac:dyDescent="0.2">
      <c r="B7317" s="31">
        <v>7308</v>
      </c>
      <c r="J7317">
        <f t="shared" si="119"/>
        <v>105000</v>
      </c>
      <c r="K7317" t="e">
        <f>VLOOKUP(B7317,'REGISTRO ABONOS'!$B$8:$BC$10041,54,0)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hidden="1" x14ac:dyDescent="0.2">
      <c r="B7318" s="31">
        <v>7309</v>
      </c>
      <c r="J7318">
        <f t="shared" si="119"/>
        <v>105000</v>
      </c>
      <c r="K7318" t="e">
        <f>VLOOKUP(B7318,'REGISTRO ABONOS'!$B$8:$BC$10041,54,0)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hidden="1" x14ac:dyDescent="0.2">
      <c r="B7319" s="31">
        <v>7310</v>
      </c>
      <c r="J7319">
        <f t="shared" si="119"/>
        <v>105000</v>
      </c>
      <c r="K7319" t="e">
        <f>VLOOKUP(B7319,'REGISTRO ABONOS'!$B$8:$BC$10041,54,0)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hidden="1" x14ac:dyDescent="0.2">
      <c r="B7320" s="31">
        <v>7311</v>
      </c>
      <c r="J7320">
        <f t="shared" si="119"/>
        <v>105000</v>
      </c>
      <c r="K7320" t="e">
        <f>VLOOKUP(B7320,'REGISTRO ABONOS'!$B$8:$BC$10041,54,0)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hidden="1" x14ac:dyDescent="0.2">
      <c r="B7321" s="31">
        <v>7312</v>
      </c>
      <c r="J7321">
        <f t="shared" si="119"/>
        <v>105000</v>
      </c>
      <c r="K7321" t="e">
        <f>VLOOKUP(B7321,'REGISTRO ABONOS'!$B$8:$BC$10041,54,0)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hidden="1" x14ac:dyDescent="0.2">
      <c r="B7322" s="31">
        <v>7313</v>
      </c>
      <c r="J7322">
        <f t="shared" si="119"/>
        <v>105000</v>
      </c>
      <c r="K7322" t="e">
        <f>VLOOKUP(B7322,'REGISTRO ABONOS'!$B$8:$BC$10041,54,0)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hidden="1" x14ac:dyDescent="0.2">
      <c r="B7323" s="31">
        <v>7314</v>
      </c>
      <c r="J7323">
        <f t="shared" si="119"/>
        <v>105000</v>
      </c>
      <c r="K7323" t="e">
        <f>VLOOKUP(B7323,'REGISTRO ABONOS'!$B$8:$BC$10041,54,0)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9"/>
        <v>105000</v>
      </c>
      <c r="K7324" t="e">
        <f>VLOOKUP(B7324,'REGISTRO ABONOS'!$B$8:$BC$10041,54,0)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hidden="1" x14ac:dyDescent="0.2">
      <c r="B7325" s="31">
        <v>7316</v>
      </c>
      <c r="J7325">
        <f t="shared" si="119"/>
        <v>105000</v>
      </c>
      <c r="K7325" t="e">
        <f>VLOOKUP(B7325,'REGISTRO ABONOS'!$B$8:$BC$10041,54,0)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hidden="1" x14ac:dyDescent="0.2">
      <c r="B7326" s="31">
        <v>7317</v>
      </c>
      <c r="J7326">
        <f t="shared" si="119"/>
        <v>105000</v>
      </c>
      <c r="K7326" t="e">
        <f>VLOOKUP(B7326,'REGISTRO ABONOS'!$B$8:$BC$10041,54,0)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hidden="1" x14ac:dyDescent="0.2">
      <c r="B7327" s="31">
        <v>7318</v>
      </c>
      <c r="J7327">
        <f t="shared" si="119"/>
        <v>105000</v>
      </c>
      <c r="K7327" t="e">
        <f>VLOOKUP(B7327,'REGISTRO ABONOS'!$B$8:$BC$10041,54,0)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hidden="1" x14ac:dyDescent="0.2">
      <c r="B7328" s="31">
        <v>7319</v>
      </c>
      <c r="J7328">
        <f t="shared" si="119"/>
        <v>105000</v>
      </c>
      <c r="K7328" t="e">
        <f>VLOOKUP(B7328,'REGISTRO ABONOS'!$B$8:$BC$10041,54,0)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hidden="1" x14ac:dyDescent="0.2">
      <c r="B7329" s="31">
        <v>7320</v>
      </c>
      <c r="J7329">
        <f t="shared" si="119"/>
        <v>105000</v>
      </c>
      <c r="K7329" t="e">
        <f>VLOOKUP(B7329,'REGISTRO ABONOS'!$B$8:$BC$10041,54,0)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hidden="1" x14ac:dyDescent="0.2">
      <c r="B7330" s="31">
        <v>7321</v>
      </c>
      <c r="J7330">
        <f t="shared" si="119"/>
        <v>105000</v>
      </c>
      <c r="K7330" t="e">
        <f>VLOOKUP(B7330,'REGISTRO ABONOS'!$B$8:$BC$10041,54,0)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hidden="1" x14ac:dyDescent="0.2">
      <c r="B7331" s="31">
        <v>7322</v>
      </c>
      <c r="J7331">
        <f t="shared" si="119"/>
        <v>105000</v>
      </c>
      <c r="K7331" t="e">
        <f>VLOOKUP(B7331,'REGISTRO ABONOS'!$B$8:$BC$10041,54,0)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hidden="1" x14ac:dyDescent="0.2">
      <c r="B7332" s="31">
        <v>7323</v>
      </c>
      <c r="J7332">
        <f t="shared" si="119"/>
        <v>105000</v>
      </c>
      <c r="K7332" t="e">
        <f>VLOOKUP(B7332,'REGISTRO ABONOS'!$B$8:$BC$10041,54,0)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hidden="1" x14ac:dyDescent="0.2">
      <c r="B7333" s="31">
        <v>7324</v>
      </c>
      <c r="J7333">
        <f t="shared" si="119"/>
        <v>105000</v>
      </c>
      <c r="K7333" t="e">
        <f>VLOOKUP(B7333,'REGISTRO ABONOS'!$B$8:$BC$10041,54,0)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hidden="1" x14ac:dyDescent="0.2">
      <c r="B7334" s="31">
        <v>7325</v>
      </c>
      <c r="J7334">
        <f t="shared" si="119"/>
        <v>105000</v>
      </c>
      <c r="K7334" t="e">
        <f>VLOOKUP(B7334,'REGISTRO ABONOS'!$B$8:$BC$10041,54,0)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hidden="1" x14ac:dyDescent="0.2">
      <c r="B7335" s="31">
        <v>7326</v>
      </c>
      <c r="J7335">
        <f t="shared" si="119"/>
        <v>105000</v>
      </c>
      <c r="K7335" t="e">
        <f>VLOOKUP(B7335,'REGISTRO ABONOS'!$B$8:$BC$10041,54,0)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hidden="1" x14ac:dyDescent="0.2">
      <c r="B7336" s="31">
        <v>7327</v>
      </c>
      <c r="J7336">
        <f t="shared" si="119"/>
        <v>105000</v>
      </c>
      <c r="K7336" t="e">
        <f>VLOOKUP(B7336,'REGISTRO ABONOS'!$B$8:$BC$10041,54,0)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hidden="1" x14ac:dyDescent="0.2">
      <c r="B7337" s="31">
        <v>7328</v>
      </c>
      <c r="J7337">
        <f t="shared" si="119"/>
        <v>105000</v>
      </c>
      <c r="K7337" t="e">
        <f>VLOOKUP(B7337,'REGISTRO ABONOS'!$B$8:$BC$10041,54,0)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hidden="1" x14ac:dyDescent="0.2">
      <c r="B7338" s="31">
        <v>7329</v>
      </c>
      <c r="J7338">
        <f t="shared" si="119"/>
        <v>105000</v>
      </c>
      <c r="K7338" t="e">
        <f>VLOOKUP(B7338,'REGISTRO ABONOS'!$B$8:$BC$10041,54,0)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hidden="1" x14ac:dyDescent="0.2">
      <c r="B7339" s="31">
        <v>7330</v>
      </c>
      <c r="J7339">
        <f t="shared" si="119"/>
        <v>105000</v>
      </c>
      <c r="K7339" t="e">
        <f>VLOOKUP(B7339,'REGISTRO ABONOS'!$B$8:$BC$10041,54,0)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hidden="1" x14ac:dyDescent="0.2">
      <c r="B7340" s="31">
        <v>7331</v>
      </c>
      <c r="J7340">
        <f t="shared" si="119"/>
        <v>105000</v>
      </c>
      <c r="K7340" t="e">
        <f>VLOOKUP(B7340,'REGISTRO ABONOS'!$B$8:$BC$10041,54,0)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hidden="1" x14ac:dyDescent="0.2">
      <c r="B7341" s="31">
        <v>7332</v>
      </c>
      <c r="J7341">
        <f t="shared" si="119"/>
        <v>105000</v>
      </c>
      <c r="K7341" t="e">
        <f>VLOOKUP(B7341,'REGISTRO ABONOS'!$B$8:$BC$10041,54,0)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hidden="1" x14ac:dyDescent="0.2">
      <c r="B7342" s="31">
        <v>7333</v>
      </c>
      <c r="J7342">
        <f t="shared" si="119"/>
        <v>105000</v>
      </c>
      <c r="K7342" t="e">
        <f>VLOOKUP(B7342,'REGISTRO ABONOS'!$B$8:$BC$10041,54,0)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hidden="1" x14ac:dyDescent="0.2">
      <c r="B7343" s="31">
        <v>7334</v>
      </c>
      <c r="J7343">
        <f t="shared" si="119"/>
        <v>105000</v>
      </c>
      <c r="K7343" t="e">
        <f>VLOOKUP(B7343,'REGISTRO ABONOS'!$B$8:$BC$10041,54,0)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hidden="1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ABONOS'!$B$8:$BC$10041,54,0)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hidden="1" x14ac:dyDescent="0.2">
      <c r="B7345" s="31">
        <v>7336</v>
      </c>
      <c r="J7345">
        <f t="shared" si="120"/>
        <v>105000</v>
      </c>
      <c r="K7345" t="e">
        <f>VLOOKUP(B7345,'REGISTRO ABONOS'!$B$8:$BC$10041,54,0)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hidden="1" x14ac:dyDescent="0.2">
      <c r="B7346" s="31">
        <v>7337</v>
      </c>
      <c r="J7346">
        <f t="shared" si="120"/>
        <v>105000</v>
      </c>
      <c r="K7346" t="e">
        <f>VLOOKUP(B7346,'REGISTRO ABONOS'!$B$8:$BC$10041,54,0)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hidden="1" x14ac:dyDescent="0.2">
      <c r="B7347" s="31">
        <v>7338</v>
      </c>
      <c r="J7347">
        <f t="shared" si="120"/>
        <v>105000</v>
      </c>
      <c r="K7347" t="e">
        <f>VLOOKUP(B7347,'REGISTRO ABONOS'!$B$8:$BC$10041,54,0)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hidden="1" x14ac:dyDescent="0.2">
      <c r="B7348" s="31">
        <v>7339</v>
      </c>
      <c r="J7348">
        <f t="shared" si="120"/>
        <v>105000</v>
      </c>
      <c r="K7348" t="e">
        <f>VLOOKUP(B7348,'REGISTRO ABONOS'!$B$8:$BC$10041,54,0)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hidden="1" x14ac:dyDescent="0.2">
      <c r="B7349" s="31">
        <v>7340</v>
      </c>
      <c r="J7349">
        <f t="shared" si="120"/>
        <v>105000</v>
      </c>
      <c r="K7349" t="e">
        <f>VLOOKUP(B7349,'REGISTRO ABONOS'!$B$8:$BC$10041,54,0)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hidden="1" x14ac:dyDescent="0.2">
      <c r="B7350" s="31">
        <v>7341</v>
      </c>
      <c r="J7350">
        <f t="shared" si="120"/>
        <v>105000</v>
      </c>
      <c r="K7350" t="e">
        <f>VLOOKUP(B7350,'REGISTRO ABONOS'!$B$8:$BC$10041,54,0)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hidden="1" x14ac:dyDescent="0.2">
      <c r="B7351" s="31">
        <v>7342</v>
      </c>
      <c r="J7351">
        <f t="shared" si="120"/>
        <v>105000</v>
      </c>
      <c r="K7351" t="e">
        <f>VLOOKUP(B7351,'REGISTRO ABONOS'!$B$8:$BC$10041,54,0)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hidden="1" x14ac:dyDescent="0.2">
      <c r="B7352" s="31">
        <v>7343</v>
      </c>
      <c r="J7352">
        <f t="shared" si="120"/>
        <v>105000</v>
      </c>
      <c r="K7352" t="e">
        <f>VLOOKUP(B7352,'REGISTRO ABONOS'!$B$8:$BC$10041,54,0)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hidden="1" x14ac:dyDescent="0.2">
      <c r="B7353" s="31">
        <v>7344</v>
      </c>
      <c r="J7353">
        <f t="shared" si="120"/>
        <v>105000</v>
      </c>
      <c r="K7353" t="e">
        <f>VLOOKUP(B7353,'REGISTRO ABONOS'!$B$8:$BC$10041,54,0)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hidden="1" x14ac:dyDescent="0.2">
      <c r="B7354" s="31">
        <v>7345</v>
      </c>
      <c r="J7354">
        <f t="shared" si="120"/>
        <v>105000</v>
      </c>
      <c r="K7354" t="e">
        <f>VLOOKUP(B7354,'REGISTRO ABONOS'!$B$8:$BC$10041,54,0)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hidden="1" x14ac:dyDescent="0.2">
      <c r="B7355" s="31">
        <v>7346</v>
      </c>
      <c r="J7355">
        <f t="shared" si="120"/>
        <v>105000</v>
      </c>
      <c r="K7355" t="e">
        <f>VLOOKUP(B7355,'REGISTRO ABONOS'!$B$8:$BC$10041,54,0)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hidden="1" x14ac:dyDescent="0.2">
      <c r="B7356" s="31">
        <v>7347</v>
      </c>
      <c r="J7356">
        <f t="shared" si="120"/>
        <v>105000</v>
      </c>
      <c r="K7356" t="e">
        <f>VLOOKUP(B7356,'REGISTRO ABONOS'!$B$8:$BC$10041,54,0)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hidden="1" x14ac:dyDescent="0.2">
      <c r="B7357" s="31">
        <v>7348</v>
      </c>
      <c r="J7357">
        <f t="shared" si="120"/>
        <v>105000</v>
      </c>
      <c r="K7357" t="e">
        <f>VLOOKUP(B7357,'REGISTRO ABONOS'!$B$8:$BC$10041,54,0)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hidden="1" x14ac:dyDescent="0.2">
      <c r="B7358" s="31">
        <v>7349</v>
      </c>
      <c r="J7358">
        <f t="shared" si="120"/>
        <v>105000</v>
      </c>
      <c r="K7358" t="e">
        <f>VLOOKUP(B7358,'REGISTRO ABONOS'!$B$8:$BC$10041,54,0)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hidden="1" x14ac:dyDescent="0.2">
      <c r="B7359" s="31">
        <v>7350</v>
      </c>
      <c r="J7359">
        <f t="shared" si="120"/>
        <v>105000</v>
      </c>
      <c r="K7359" t="e">
        <f>VLOOKUP(B7359,'REGISTRO ABONOS'!$B$8:$BC$10041,54,0)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hidden="1" x14ac:dyDescent="0.2">
      <c r="B7360" s="31">
        <v>7351</v>
      </c>
      <c r="J7360">
        <f t="shared" si="120"/>
        <v>105000</v>
      </c>
      <c r="K7360" t="e">
        <f>VLOOKUP(B7360,'REGISTRO ABONOS'!$B$8:$BC$10041,54,0)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hidden="1" x14ac:dyDescent="0.2">
      <c r="B7361" s="31">
        <v>7352</v>
      </c>
      <c r="J7361">
        <f t="shared" si="120"/>
        <v>105000</v>
      </c>
      <c r="K7361" t="e">
        <f>VLOOKUP(B7361,'REGISTRO ABONOS'!$B$8:$BC$10041,54,0)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hidden="1" x14ac:dyDescent="0.2">
      <c r="B7362" s="31">
        <v>7353</v>
      </c>
      <c r="J7362">
        <f t="shared" si="120"/>
        <v>105000</v>
      </c>
      <c r="K7362" t="e">
        <f>VLOOKUP(B7362,'REGISTRO ABONOS'!$B$8:$BC$10041,54,0)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hidden="1" x14ac:dyDescent="0.2">
      <c r="B7363" s="31">
        <v>7354</v>
      </c>
      <c r="J7363">
        <f t="shared" si="120"/>
        <v>105000</v>
      </c>
      <c r="K7363" t="e">
        <f>VLOOKUP(B7363,'REGISTRO ABONOS'!$B$8:$BC$10041,54,0)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hidden="1" x14ac:dyDescent="0.2">
      <c r="B7364" s="31">
        <v>7355</v>
      </c>
      <c r="J7364">
        <f t="shared" si="120"/>
        <v>105000</v>
      </c>
      <c r="K7364" t="e">
        <f>VLOOKUP(B7364,'REGISTRO ABONOS'!$B$8:$BC$10041,54,0)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hidden="1" x14ac:dyDescent="0.2">
      <c r="B7365" s="31">
        <v>7356</v>
      </c>
      <c r="J7365">
        <f t="shared" si="120"/>
        <v>105000</v>
      </c>
      <c r="K7365" t="e">
        <f>VLOOKUP(B7365,'REGISTRO ABONOS'!$B$8:$BC$10041,54,0)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hidden="1" x14ac:dyDescent="0.2">
      <c r="B7366" s="31">
        <v>7357</v>
      </c>
      <c r="J7366">
        <f t="shared" si="120"/>
        <v>105000</v>
      </c>
      <c r="K7366" t="e">
        <f>VLOOKUP(B7366,'REGISTRO ABONOS'!$B$8:$BC$10041,54,0)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hidden="1" x14ac:dyDescent="0.2">
      <c r="B7367" s="31">
        <v>7358</v>
      </c>
      <c r="J7367">
        <f t="shared" si="120"/>
        <v>105000</v>
      </c>
      <c r="K7367" t="e">
        <f>VLOOKUP(B7367,'REGISTRO ABONOS'!$B$8:$BC$10041,54,0)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hidden="1" x14ac:dyDescent="0.2">
      <c r="B7368" s="31">
        <v>7359</v>
      </c>
      <c r="J7368">
        <f t="shared" si="120"/>
        <v>105000</v>
      </c>
      <c r="K7368" t="e">
        <f>VLOOKUP(B7368,'REGISTRO ABONOS'!$B$8:$BC$10041,54,0)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hidden="1" x14ac:dyDescent="0.2">
      <c r="B7369" s="31">
        <v>7360</v>
      </c>
      <c r="J7369">
        <f t="shared" si="120"/>
        <v>105000</v>
      </c>
      <c r="K7369" t="e">
        <f>VLOOKUP(B7369,'REGISTRO ABONOS'!$B$8:$BC$10041,54,0)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hidden="1" x14ac:dyDescent="0.2">
      <c r="B7370" s="31">
        <v>7361</v>
      </c>
      <c r="J7370">
        <f t="shared" si="120"/>
        <v>105000</v>
      </c>
      <c r="K7370" t="e">
        <f>VLOOKUP(B7370,'REGISTRO ABONOS'!$B$8:$BC$10041,54,0)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hidden="1" x14ac:dyDescent="0.2">
      <c r="B7371" s="31">
        <v>7362</v>
      </c>
      <c r="J7371">
        <f t="shared" si="120"/>
        <v>105000</v>
      </c>
      <c r="K7371" t="e">
        <f>VLOOKUP(B7371,'REGISTRO ABONOS'!$B$8:$BC$10041,54,0)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hidden="1" x14ac:dyDescent="0.2">
      <c r="B7372" s="31">
        <v>7363</v>
      </c>
      <c r="J7372">
        <f t="shared" si="120"/>
        <v>105000</v>
      </c>
      <c r="K7372" t="e">
        <f>VLOOKUP(B7372,'REGISTRO ABONOS'!$B$8:$BC$10041,54,0)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hidden="1" x14ac:dyDescent="0.2">
      <c r="B7373" s="31">
        <v>7364</v>
      </c>
      <c r="J7373">
        <f t="shared" si="120"/>
        <v>105000</v>
      </c>
      <c r="K7373" t="e">
        <f>VLOOKUP(B7373,'REGISTRO ABONOS'!$B$8:$BC$10041,54,0)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hidden="1" x14ac:dyDescent="0.2">
      <c r="B7374" s="31">
        <v>7365</v>
      </c>
      <c r="J7374">
        <f t="shared" si="120"/>
        <v>105000</v>
      </c>
      <c r="K7374" t="e">
        <f>VLOOKUP(B7374,'REGISTRO ABONOS'!$B$8:$BC$10041,54,0)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hidden="1" x14ac:dyDescent="0.2">
      <c r="B7375" s="31">
        <v>7366</v>
      </c>
      <c r="J7375">
        <f t="shared" si="120"/>
        <v>105000</v>
      </c>
      <c r="K7375" t="e">
        <f>VLOOKUP(B7375,'REGISTRO ABONOS'!$B$8:$BC$10041,54,0)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hidden="1" x14ac:dyDescent="0.2">
      <c r="B7376" s="31">
        <v>7367</v>
      </c>
      <c r="J7376">
        <f t="shared" si="120"/>
        <v>105000</v>
      </c>
      <c r="K7376" t="e">
        <f>VLOOKUP(B7376,'REGISTRO ABONOS'!$B$8:$BC$10041,54,0)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hidden="1" x14ac:dyDescent="0.2">
      <c r="B7377" s="31">
        <v>7368</v>
      </c>
      <c r="J7377">
        <f t="shared" si="120"/>
        <v>105000</v>
      </c>
      <c r="K7377" t="e">
        <f>VLOOKUP(B7377,'REGISTRO ABONOS'!$B$8:$BC$10041,54,0)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hidden="1" x14ac:dyDescent="0.2">
      <c r="B7378" s="31">
        <v>7369</v>
      </c>
      <c r="J7378">
        <f t="shared" si="120"/>
        <v>105000</v>
      </c>
      <c r="K7378" t="e">
        <f>VLOOKUP(B7378,'REGISTRO ABONOS'!$B$8:$BC$10041,54,0)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hidden="1" x14ac:dyDescent="0.2">
      <c r="B7379" s="31">
        <v>7370</v>
      </c>
      <c r="J7379">
        <f t="shared" si="120"/>
        <v>105000</v>
      </c>
      <c r="K7379" t="e">
        <f>VLOOKUP(B7379,'REGISTRO ABONOS'!$B$8:$BC$10041,54,0)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20"/>
        <v>105000</v>
      </c>
      <c r="K7380" t="e">
        <f>VLOOKUP(B7380,'REGISTRO ABONOS'!$B$8:$BC$10041,54,0)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hidden="1" x14ac:dyDescent="0.2">
      <c r="B7381" s="31">
        <v>7372</v>
      </c>
      <c r="J7381">
        <f t="shared" si="120"/>
        <v>105000</v>
      </c>
      <c r="K7381" t="e">
        <f>VLOOKUP(B7381,'REGISTRO ABONOS'!$B$8:$BC$10041,54,0)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hidden="1" x14ac:dyDescent="0.2">
      <c r="B7382" s="31">
        <v>7373</v>
      </c>
      <c r="J7382">
        <f t="shared" si="120"/>
        <v>105000</v>
      </c>
      <c r="K7382" t="e">
        <f>VLOOKUP(B7382,'REGISTRO ABONOS'!$B$8:$BC$10041,54,0)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hidden="1" x14ac:dyDescent="0.2">
      <c r="B7383" s="31">
        <v>7374</v>
      </c>
      <c r="J7383">
        <f t="shared" si="120"/>
        <v>105000</v>
      </c>
      <c r="K7383" t="e">
        <f>VLOOKUP(B7383,'REGISTRO ABONOS'!$B$8:$BC$10041,54,0)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hidden="1" x14ac:dyDescent="0.2">
      <c r="B7384" s="31">
        <v>7375</v>
      </c>
      <c r="J7384">
        <f t="shared" si="120"/>
        <v>105000</v>
      </c>
      <c r="K7384" t="e">
        <f>VLOOKUP(B7384,'REGISTRO ABONOS'!$B$8:$BC$10041,54,0)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hidden="1" x14ac:dyDescent="0.2">
      <c r="B7385" s="31">
        <v>7376</v>
      </c>
      <c r="J7385">
        <f t="shared" si="120"/>
        <v>105000</v>
      </c>
      <c r="K7385" t="e">
        <f>VLOOKUP(B7385,'REGISTRO ABONOS'!$B$8:$BC$10041,54,0)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hidden="1" x14ac:dyDescent="0.2">
      <c r="B7386" s="31">
        <v>7377</v>
      </c>
      <c r="J7386">
        <f t="shared" si="120"/>
        <v>105000</v>
      </c>
      <c r="K7386" t="e">
        <f>VLOOKUP(B7386,'REGISTRO ABONOS'!$B$8:$BC$10041,54,0)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hidden="1" x14ac:dyDescent="0.2">
      <c r="B7387" s="31">
        <v>7378</v>
      </c>
      <c r="J7387">
        <f t="shared" si="120"/>
        <v>105000</v>
      </c>
      <c r="K7387" t="e">
        <f>VLOOKUP(B7387,'REGISTRO ABONOS'!$B$8:$BC$10041,54,0)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hidden="1" x14ac:dyDescent="0.2">
      <c r="B7388" s="31">
        <v>7379</v>
      </c>
      <c r="J7388">
        <f t="shared" si="120"/>
        <v>105000</v>
      </c>
      <c r="K7388" t="e">
        <f>VLOOKUP(B7388,'REGISTRO ABONOS'!$B$8:$BC$10041,54,0)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hidden="1" x14ac:dyDescent="0.2">
      <c r="B7389" s="31">
        <v>7380</v>
      </c>
      <c r="J7389">
        <f t="shared" si="120"/>
        <v>105000</v>
      </c>
      <c r="K7389" t="e">
        <f>VLOOKUP(B7389,'REGISTRO ABONOS'!$B$8:$BC$10041,54,0)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hidden="1" x14ac:dyDescent="0.2">
      <c r="B7390" s="31">
        <v>7381</v>
      </c>
      <c r="J7390">
        <f t="shared" si="120"/>
        <v>105000</v>
      </c>
      <c r="K7390" t="e">
        <f>VLOOKUP(B7390,'REGISTRO ABONOS'!$B$8:$BC$10041,54,0)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hidden="1" x14ac:dyDescent="0.2">
      <c r="B7391" s="31">
        <v>7382</v>
      </c>
      <c r="J7391">
        <f t="shared" si="120"/>
        <v>105000</v>
      </c>
      <c r="K7391" t="e">
        <f>VLOOKUP(B7391,'REGISTRO ABONOS'!$B$8:$BC$10041,54,0)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hidden="1" x14ac:dyDescent="0.2">
      <c r="B7392" s="31">
        <v>7383</v>
      </c>
      <c r="J7392">
        <f t="shared" si="120"/>
        <v>105000</v>
      </c>
      <c r="K7392" t="e">
        <f>VLOOKUP(B7392,'REGISTRO ABONOS'!$B$8:$BC$10041,54,0)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hidden="1" x14ac:dyDescent="0.2">
      <c r="B7393" s="31">
        <v>7384</v>
      </c>
      <c r="J7393">
        <f t="shared" si="120"/>
        <v>105000</v>
      </c>
      <c r="K7393" t="e">
        <f>VLOOKUP(B7393,'REGISTRO ABONOS'!$B$8:$BC$10041,54,0)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hidden="1" x14ac:dyDescent="0.2">
      <c r="B7394" s="31">
        <v>7385</v>
      </c>
      <c r="J7394">
        <f t="shared" si="120"/>
        <v>105000</v>
      </c>
      <c r="K7394" t="e">
        <f>VLOOKUP(B7394,'REGISTRO ABONOS'!$B$8:$BC$10041,54,0)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hidden="1" x14ac:dyDescent="0.2">
      <c r="B7395" s="31">
        <v>7386</v>
      </c>
      <c r="J7395">
        <f t="shared" si="120"/>
        <v>105000</v>
      </c>
      <c r="K7395" t="e">
        <f>VLOOKUP(B7395,'REGISTRO ABONOS'!$B$8:$BC$10041,54,0)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hidden="1" x14ac:dyDescent="0.2">
      <c r="B7396" s="31">
        <v>7387</v>
      </c>
      <c r="J7396">
        <f t="shared" si="120"/>
        <v>105000</v>
      </c>
      <c r="K7396" t="e">
        <f>VLOOKUP(B7396,'REGISTRO ABONOS'!$B$8:$BC$10041,54,0)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20"/>
        <v>105000</v>
      </c>
      <c r="K7397" t="e">
        <f>VLOOKUP(B7397,'REGISTRO ABONOS'!$B$8:$BC$10041,54,0)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hidden="1" x14ac:dyDescent="0.2">
      <c r="B7398" s="31">
        <v>7389</v>
      </c>
      <c r="J7398">
        <f t="shared" si="120"/>
        <v>105000</v>
      </c>
      <c r="K7398" t="e">
        <f>VLOOKUP(B7398,'REGISTRO ABONOS'!$B$8:$BC$10041,54,0)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hidden="1" x14ac:dyDescent="0.2">
      <c r="B7399" s="31">
        <v>7390</v>
      </c>
      <c r="J7399">
        <f t="shared" si="120"/>
        <v>105000</v>
      </c>
      <c r="K7399" t="e">
        <f>VLOOKUP(B7399,'REGISTRO ABONOS'!$B$8:$BC$10041,54,0)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hidden="1" x14ac:dyDescent="0.2">
      <c r="B7400" s="31">
        <v>7391</v>
      </c>
      <c r="J7400">
        <f t="shared" si="120"/>
        <v>105000</v>
      </c>
      <c r="K7400" t="e">
        <f>VLOOKUP(B7400,'REGISTRO ABONOS'!$B$8:$BC$10041,54,0)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hidden="1" x14ac:dyDescent="0.2">
      <c r="B7401" s="31">
        <v>7392</v>
      </c>
      <c r="J7401">
        <f t="shared" si="120"/>
        <v>105000</v>
      </c>
      <c r="K7401" t="e">
        <f>VLOOKUP(B7401,'REGISTRO ABONOS'!$B$8:$BC$10041,54,0)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hidden="1" x14ac:dyDescent="0.2">
      <c r="B7402" s="31">
        <v>7393</v>
      </c>
      <c r="J7402">
        <f t="shared" si="120"/>
        <v>105000</v>
      </c>
      <c r="K7402" t="e">
        <f>VLOOKUP(B7402,'REGISTRO ABONOS'!$B$8:$BC$10041,54,0)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hidden="1" x14ac:dyDescent="0.2">
      <c r="B7403" s="31">
        <v>7394</v>
      </c>
      <c r="J7403">
        <f t="shared" si="120"/>
        <v>105000</v>
      </c>
      <c r="K7403" t="e">
        <f>VLOOKUP(B7403,'REGISTRO ABONOS'!$B$8:$BC$10041,54,0)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hidden="1" x14ac:dyDescent="0.2">
      <c r="B7404" s="31">
        <v>7395</v>
      </c>
      <c r="J7404">
        <f t="shared" si="120"/>
        <v>105000</v>
      </c>
      <c r="K7404" t="e">
        <f>VLOOKUP(B7404,'REGISTRO ABONOS'!$B$8:$BC$10041,54,0)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hidden="1" x14ac:dyDescent="0.2">
      <c r="B7405" s="31">
        <v>7396</v>
      </c>
      <c r="J7405">
        <f t="shared" si="120"/>
        <v>105000</v>
      </c>
      <c r="K7405" t="e">
        <f>VLOOKUP(B7405,'REGISTRO ABONOS'!$B$8:$BC$10041,54,0)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hidden="1" x14ac:dyDescent="0.2">
      <c r="B7406" s="31">
        <v>7397</v>
      </c>
      <c r="J7406">
        <f t="shared" si="120"/>
        <v>105000</v>
      </c>
      <c r="K7406" t="e">
        <f>VLOOKUP(B7406,'REGISTRO ABONOS'!$B$8:$BC$10041,54,0)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hidden="1" x14ac:dyDescent="0.2">
      <c r="B7407" s="31">
        <v>7398</v>
      </c>
      <c r="J7407">
        <f t="shared" si="120"/>
        <v>105000</v>
      </c>
      <c r="K7407" t="e">
        <f>VLOOKUP(B7407,'REGISTRO ABONOS'!$B$8:$BC$10041,54,0)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hidden="1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ABONOS'!$B$8:$BC$10041,54,0)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hidden="1" x14ac:dyDescent="0.2">
      <c r="B7409" s="31">
        <v>7400</v>
      </c>
      <c r="J7409">
        <f t="shared" si="121"/>
        <v>105000</v>
      </c>
      <c r="K7409" t="e">
        <f>VLOOKUP(B7409,'REGISTRO ABONOS'!$B$8:$BC$10041,54,0)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hidden="1" x14ac:dyDescent="0.2">
      <c r="B7410" s="31">
        <v>7401</v>
      </c>
      <c r="J7410">
        <f t="shared" si="121"/>
        <v>105000</v>
      </c>
      <c r="K7410" t="e">
        <f>VLOOKUP(B7410,'REGISTRO ABONOS'!$B$8:$BC$10041,54,0)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hidden="1" x14ac:dyDescent="0.2">
      <c r="B7411" s="31">
        <v>7402</v>
      </c>
      <c r="J7411">
        <f t="shared" si="121"/>
        <v>105000</v>
      </c>
      <c r="K7411" t="e">
        <f>VLOOKUP(B7411,'REGISTRO ABONOS'!$B$8:$BC$10041,54,0)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hidden="1" x14ac:dyDescent="0.2">
      <c r="B7412" s="31">
        <v>7403</v>
      </c>
      <c r="J7412">
        <f t="shared" si="121"/>
        <v>105000</v>
      </c>
      <c r="K7412" t="e">
        <f>VLOOKUP(B7412,'REGISTRO ABONOS'!$B$8:$BC$10041,54,0)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hidden="1" x14ac:dyDescent="0.2">
      <c r="B7413" s="31">
        <v>7404</v>
      </c>
      <c r="J7413">
        <f t="shared" si="121"/>
        <v>105000</v>
      </c>
      <c r="K7413" t="e">
        <f>VLOOKUP(B7413,'REGISTRO ABONOS'!$B$8:$BC$10041,54,0)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hidden="1" x14ac:dyDescent="0.2">
      <c r="B7414" s="31">
        <v>7405</v>
      </c>
      <c r="J7414">
        <f t="shared" si="121"/>
        <v>105000</v>
      </c>
      <c r="K7414" t="e">
        <f>VLOOKUP(B7414,'REGISTRO ABONOS'!$B$8:$BC$10041,54,0)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hidden="1" x14ac:dyDescent="0.2">
      <c r="B7415" s="31">
        <v>7406</v>
      </c>
      <c r="J7415">
        <f t="shared" si="121"/>
        <v>105000</v>
      </c>
      <c r="K7415" t="e">
        <f>VLOOKUP(B7415,'REGISTRO ABONOS'!$B$8:$BC$10041,54,0)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hidden="1" x14ac:dyDescent="0.2">
      <c r="B7416" s="31">
        <v>7407</v>
      </c>
      <c r="J7416">
        <f t="shared" si="121"/>
        <v>105000</v>
      </c>
      <c r="K7416" t="e">
        <f>VLOOKUP(B7416,'REGISTRO ABONOS'!$B$8:$BC$10041,54,0)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hidden="1" x14ac:dyDescent="0.2">
      <c r="B7417" s="31">
        <v>7408</v>
      </c>
      <c r="J7417">
        <f t="shared" si="121"/>
        <v>105000</v>
      </c>
      <c r="K7417" t="e">
        <f>VLOOKUP(B7417,'REGISTRO ABONOS'!$B$8:$BC$10041,54,0)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hidden="1" x14ac:dyDescent="0.2">
      <c r="B7418" s="31">
        <v>7409</v>
      </c>
      <c r="J7418">
        <f t="shared" si="121"/>
        <v>105000</v>
      </c>
      <c r="K7418" t="e">
        <f>VLOOKUP(B7418,'REGISTRO ABONOS'!$B$8:$BC$10041,54,0)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hidden="1" x14ac:dyDescent="0.2">
      <c r="B7419" s="31">
        <v>7410</v>
      </c>
      <c r="J7419">
        <f t="shared" si="121"/>
        <v>105000</v>
      </c>
      <c r="K7419" t="e">
        <f>VLOOKUP(B7419,'REGISTRO ABONOS'!$B$8:$BC$10041,54,0)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hidden="1" x14ac:dyDescent="0.2">
      <c r="B7420" s="31">
        <v>7411</v>
      </c>
      <c r="J7420">
        <f t="shared" si="121"/>
        <v>105000</v>
      </c>
      <c r="K7420" t="e">
        <f>VLOOKUP(B7420,'REGISTRO ABONOS'!$B$8:$BC$10041,54,0)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hidden="1" x14ac:dyDescent="0.2">
      <c r="B7421" s="31">
        <v>7412</v>
      </c>
      <c r="J7421">
        <f t="shared" si="121"/>
        <v>105000</v>
      </c>
      <c r="K7421" t="e">
        <f>VLOOKUP(B7421,'REGISTRO ABONOS'!$B$8:$BC$10041,54,0)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hidden="1" x14ac:dyDescent="0.2">
      <c r="B7422" s="31">
        <v>7413</v>
      </c>
      <c r="J7422">
        <f t="shared" si="121"/>
        <v>105000</v>
      </c>
      <c r="K7422" t="e">
        <f>VLOOKUP(B7422,'REGISTRO ABONOS'!$B$8:$BC$10041,54,0)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hidden="1" x14ac:dyDescent="0.2">
      <c r="B7423" s="31">
        <v>7414</v>
      </c>
      <c r="J7423">
        <f t="shared" si="121"/>
        <v>105000</v>
      </c>
      <c r="K7423" t="e">
        <f>VLOOKUP(B7423,'REGISTRO ABONOS'!$B$8:$BC$10041,54,0)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hidden="1" x14ac:dyDescent="0.2">
      <c r="B7424" s="31">
        <v>7415</v>
      </c>
      <c r="J7424">
        <f t="shared" si="121"/>
        <v>105000</v>
      </c>
      <c r="K7424" t="e">
        <f>VLOOKUP(B7424,'REGISTRO ABONOS'!$B$8:$BC$10041,54,0)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hidden="1" x14ac:dyDescent="0.2">
      <c r="B7425" s="31">
        <v>7416</v>
      </c>
      <c r="J7425">
        <f t="shared" si="121"/>
        <v>105000</v>
      </c>
      <c r="K7425" t="e">
        <f>VLOOKUP(B7425,'REGISTRO ABONOS'!$B$8:$BC$10041,54,0)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hidden="1" x14ac:dyDescent="0.2">
      <c r="B7426" s="31">
        <v>7417</v>
      </c>
      <c r="J7426">
        <f t="shared" si="121"/>
        <v>105000</v>
      </c>
      <c r="K7426" t="e">
        <f>VLOOKUP(B7426,'REGISTRO ABONOS'!$B$8:$BC$10041,54,0)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1"/>
        <v>105000</v>
      </c>
      <c r="K7427" t="e">
        <f>VLOOKUP(B7427,'REGISTRO ABONOS'!$B$8:$BC$10041,54,0)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hidden="1" x14ac:dyDescent="0.2">
      <c r="B7428" s="31">
        <v>7419</v>
      </c>
      <c r="J7428">
        <f t="shared" si="121"/>
        <v>105000</v>
      </c>
      <c r="K7428" t="e">
        <f>VLOOKUP(B7428,'REGISTRO ABONOS'!$B$8:$BC$10041,54,0)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hidden="1" x14ac:dyDescent="0.2">
      <c r="B7429" s="31">
        <v>7420</v>
      </c>
      <c r="J7429">
        <f t="shared" si="121"/>
        <v>105000</v>
      </c>
      <c r="K7429" t="e">
        <f>VLOOKUP(B7429,'REGISTRO ABONOS'!$B$8:$BC$10041,54,0)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hidden="1" x14ac:dyDescent="0.2">
      <c r="B7430" s="31">
        <v>7421</v>
      </c>
      <c r="J7430">
        <f t="shared" si="121"/>
        <v>105000</v>
      </c>
      <c r="K7430" t="e">
        <f>VLOOKUP(B7430,'REGISTRO ABONOS'!$B$8:$BC$10041,54,0)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hidden="1" x14ac:dyDescent="0.2">
      <c r="B7431" s="31">
        <v>7422</v>
      </c>
      <c r="J7431">
        <f t="shared" si="121"/>
        <v>105000</v>
      </c>
      <c r="K7431" t="e">
        <f>VLOOKUP(B7431,'REGISTRO ABONOS'!$B$8:$BC$10041,54,0)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hidden="1" x14ac:dyDescent="0.2">
      <c r="B7432" s="31">
        <v>7423</v>
      </c>
      <c r="J7432">
        <f t="shared" si="121"/>
        <v>105000</v>
      </c>
      <c r="K7432" t="e">
        <f>VLOOKUP(B7432,'REGISTRO ABONOS'!$B$8:$BC$10041,54,0)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hidden="1" x14ac:dyDescent="0.2">
      <c r="B7433" s="31">
        <v>7424</v>
      </c>
      <c r="J7433">
        <f t="shared" si="121"/>
        <v>105000</v>
      </c>
      <c r="K7433" t="e">
        <f>VLOOKUP(B7433,'REGISTRO ABONOS'!$B$8:$BC$10041,54,0)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hidden="1" x14ac:dyDescent="0.2">
      <c r="B7434" s="31">
        <v>7425</v>
      </c>
      <c r="J7434">
        <f t="shared" si="121"/>
        <v>105000</v>
      </c>
      <c r="K7434" t="e">
        <f>VLOOKUP(B7434,'REGISTRO ABONOS'!$B$8:$BC$10041,54,0)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hidden="1" x14ac:dyDescent="0.2">
      <c r="B7435" s="31">
        <v>7426</v>
      </c>
      <c r="J7435">
        <f t="shared" si="121"/>
        <v>105000</v>
      </c>
      <c r="K7435" t="e">
        <f>VLOOKUP(B7435,'REGISTRO ABONOS'!$B$8:$BC$10041,54,0)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hidden="1" x14ac:dyDescent="0.2">
      <c r="B7436" s="31">
        <v>7427</v>
      </c>
      <c r="J7436">
        <f t="shared" si="121"/>
        <v>105000</v>
      </c>
      <c r="K7436" t="e">
        <f>VLOOKUP(B7436,'REGISTRO ABONOS'!$B$8:$BC$10041,54,0)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hidden="1" x14ac:dyDescent="0.2">
      <c r="B7437" s="31">
        <v>7428</v>
      </c>
      <c r="J7437">
        <f t="shared" si="121"/>
        <v>105000</v>
      </c>
      <c r="K7437" t="e">
        <f>VLOOKUP(B7437,'REGISTRO ABONOS'!$B$8:$BC$10041,54,0)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hidden="1" x14ac:dyDescent="0.2">
      <c r="B7438" s="31">
        <v>7429</v>
      </c>
      <c r="J7438">
        <f t="shared" si="121"/>
        <v>105000</v>
      </c>
      <c r="K7438" t="e">
        <f>VLOOKUP(B7438,'REGISTRO ABONOS'!$B$8:$BC$10041,54,0)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hidden="1" x14ac:dyDescent="0.2">
      <c r="B7439" s="31">
        <v>7430</v>
      </c>
      <c r="J7439">
        <f t="shared" si="121"/>
        <v>105000</v>
      </c>
      <c r="K7439" t="e">
        <f>VLOOKUP(B7439,'REGISTRO ABONOS'!$B$8:$BC$10041,54,0)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hidden="1" x14ac:dyDescent="0.2">
      <c r="B7440" s="31">
        <v>7431</v>
      </c>
      <c r="J7440">
        <f t="shared" si="121"/>
        <v>105000</v>
      </c>
      <c r="K7440" t="e">
        <f>VLOOKUP(B7440,'REGISTRO ABONOS'!$B$8:$BC$10041,54,0)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hidden="1" x14ac:dyDescent="0.2">
      <c r="B7441" s="31">
        <v>7432</v>
      </c>
      <c r="J7441">
        <f t="shared" si="121"/>
        <v>105000</v>
      </c>
      <c r="K7441" t="e">
        <f>VLOOKUP(B7441,'REGISTRO ABONOS'!$B$8:$BC$10041,54,0)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hidden="1" x14ac:dyDescent="0.2">
      <c r="B7442" s="31">
        <v>7433</v>
      </c>
      <c r="J7442">
        <f t="shared" si="121"/>
        <v>105000</v>
      </c>
      <c r="K7442" t="e">
        <f>VLOOKUP(B7442,'REGISTRO ABONOS'!$B$8:$BC$10041,54,0)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hidden="1" x14ac:dyDescent="0.2">
      <c r="B7443" s="31">
        <v>7434</v>
      </c>
      <c r="J7443">
        <f t="shared" si="121"/>
        <v>105000</v>
      </c>
      <c r="K7443" t="e">
        <f>VLOOKUP(B7443,'REGISTRO ABONOS'!$B$8:$BC$10041,54,0)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hidden="1" x14ac:dyDescent="0.2">
      <c r="B7444" s="31">
        <v>7435</v>
      </c>
      <c r="J7444">
        <f t="shared" si="121"/>
        <v>105000</v>
      </c>
      <c r="K7444" t="e">
        <f>VLOOKUP(B7444,'REGISTRO ABONOS'!$B$8:$BC$10041,54,0)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hidden="1" x14ac:dyDescent="0.2">
      <c r="B7445" s="31">
        <v>7436</v>
      </c>
      <c r="J7445">
        <f t="shared" si="121"/>
        <v>105000</v>
      </c>
      <c r="K7445" t="e">
        <f>VLOOKUP(B7445,'REGISTRO ABONOS'!$B$8:$BC$10041,54,0)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hidden="1" x14ac:dyDescent="0.2">
      <c r="B7446" s="31">
        <v>7437</v>
      </c>
      <c r="J7446">
        <f t="shared" si="121"/>
        <v>105000</v>
      </c>
      <c r="K7446" t="e">
        <f>VLOOKUP(B7446,'REGISTRO ABONOS'!$B$8:$BC$10041,54,0)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hidden="1" x14ac:dyDescent="0.2">
      <c r="B7447" s="31">
        <v>7438</v>
      </c>
      <c r="J7447">
        <f t="shared" si="121"/>
        <v>105000</v>
      </c>
      <c r="K7447" t="e">
        <f>VLOOKUP(B7447,'REGISTRO ABONOS'!$B$8:$BC$10041,54,0)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hidden="1" x14ac:dyDescent="0.2">
      <c r="B7448" s="31">
        <v>7439</v>
      </c>
      <c r="J7448">
        <f t="shared" si="121"/>
        <v>105000</v>
      </c>
      <c r="K7448" t="e">
        <f>VLOOKUP(B7448,'REGISTRO ABONOS'!$B$8:$BC$10041,54,0)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hidden="1" x14ac:dyDescent="0.2">
      <c r="B7449" s="31">
        <v>7440</v>
      </c>
      <c r="J7449">
        <f t="shared" si="121"/>
        <v>105000</v>
      </c>
      <c r="K7449" t="e">
        <f>VLOOKUP(B7449,'REGISTRO ABONOS'!$B$8:$BC$10041,54,0)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hidden="1" x14ac:dyDescent="0.2">
      <c r="B7450" s="31">
        <v>7441</v>
      </c>
      <c r="J7450">
        <f t="shared" si="121"/>
        <v>105000</v>
      </c>
      <c r="K7450" t="e">
        <f>VLOOKUP(B7450,'REGISTRO ABONOS'!$B$8:$BC$10041,54,0)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hidden="1" x14ac:dyDescent="0.2">
      <c r="B7451" s="31">
        <v>7442</v>
      </c>
      <c r="J7451">
        <f t="shared" si="121"/>
        <v>105000</v>
      </c>
      <c r="K7451" t="e">
        <f>VLOOKUP(B7451,'REGISTRO ABONOS'!$B$8:$BC$10041,54,0)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hidden="1" x14ac:dyDescent="0.2">
      <c r="B7452" s="31">
        <v>7443</v>
      </c>
      <c r="J7452">
        <f t="shared" si="121"/>
        <v>105000</v>
      </c>
      <c r="K7452" t="e">
        <f>VLOOKUP(B7452,'REGISTRO ABONOS'!$B$8:$BC$10041,54,0)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hidden="1" x14ac:dyDescent="0.2">
      <c r="B7453" s="31">
        <v>7444</v>
      </c>
      <c r="J7453">
        <f t="shared" si="121"/>
        <v>105000</v>
      </c>
      <c r="K7453" t="e">
        <f>VLOOKUP(B7453,'REGISTRO ABONOS'!$B$8:$BC$10041,54,0)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hidden="1" x14ac:dyDescent="0.2">
      <c r="B7454" s="31">
        <v>7445</v>
      </c>
      <c r="J7454">
        <f t="shared" si="121"/>
        <v>105000</v>
      </c>
      <c r="K7454" t="e">
        <f>VLOOKUP(B7454,'REGISTRO ABONOS'!$B$8:$BC$10041,54,0)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hidden="1" x14ac:dyDescent="0.2">
      <c r="B7455" s="31">
        <v>7446</v>
      </c>
      <c r="J7455">
        <f t="shared" si="121"/>
        <v>105000</v>
      </c>
      <c r="K7455" t="e">
        <f>VLOOKUP(B7455,'REGISTRO ABONOS'!$B$8:$BC$10041,54,0)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hidden="1" x14ac:dyDescent="0.2">
      <c r="B7456" s="31">
        <v>7447</v>
      </c>
      <c r="J7456">
        <f t="shared" si="121"/>
        <v>105000</v>
      </c>
      <c r="K7456" t="e">
        <f>VLOOKUP(B7456,'REGISTRO ABONOS'!$B$8:$BC$10041,54,0)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hidden="1" x14ac:dyDescent="0.2">
      <c r="B7457" s="31">
        <v>7448</v>
      </c>
      <c r="J7457">
        <f t="shared" si="121"/>
        <v>105000</v>
      </c>
      <c r="K7457" t="e">
        <f>VLOOKUP(B7457,'REGISTRO ABONOS'!$B$8:$BC$10041,54,0)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hidden="1" x14ac:dyDescent="0.2">
      <c r="B7458" s="31">
        <v>7449</v>
      </c>
      <c r="J7458">
        <f t="shared" si="121"/>
        <v>105000</v>
      </c>
      <c r="K7458" t="e">
        <f>VLOOKUP(B7458,'REGISTRO ABONOS'!$B$8:$BC$10041,54,0)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hidden="1" x14ac:dyDescent="0.2">
      <c r="B7459" s="31">
        <v>7450</v>
      </c>
      <c r="J7459">
        <f t="shared" si="121"/>
        <v>105000</v>
      </c>
      <c r="K7459" t="e">
        <f>VLOOKUP(B7459,'REGISTRO ABONOS'!$B$8:$BC$10041,54,0)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1"/>
        <v>105000</v>
      </c>
      <c r="K7460" t="e">
        <f>VLOOKUP(B7460,'REGISTRO ABONOS'!$B$8:$BC$10041,54,0)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hidden="1" x14ac:dyDescent="0.2">
      <c r="B7461" s="31">
        <v>7452</v>
      </c>
      <c r="J7461">
        <f t="shared" si="121"/>
        <v>105000</v>
      </c>
      <c r="K7461" t="e">
        <f>VLOOKUP(B7461,'REGISTRO ABONOS'!$B$8:$BC$10041,54,0)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hidden="1" x14ac:dyDescent="0.2">
      <c r="B7462" s="31">
        <v>7453</v>
      </c>
      <c r="J7462">
        <f t="shared" si="121"/>
        <v>105000</v>
      </c>
      <c r="K7462" t="e">
        <f>VLOOKUP(B7462,'REGISTRO ABONOS'!$B$8:$BC$10041,54,0)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hidden="1" x14ac:dyDescent="0.2">
      <c r="B7463" s="31">
        <v>7454</v>
      </c>
      <c r="J7463">
        <f t="shared" si="121"/>
        <v>105000</v>
      </c>
      <c r="K7463" t="e">
        <f>VLOOKUP(B7463,'REGISTRO ABONOS'!$B$8:$BC$10041,54,0)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hidden="1" x14ac:dyDescent="0.2">
      <c r="B7464" s="31">
        <v>7455</v>
      </c>
      <c r="J7464">
        <f t="shared" si="121"/>
        <v>105000</v>
      </c>
      <c r="K7464" t="e">
        <f>VLOOKUP(B7464,'REGISTRO ABONOS'!$B$8:$BC$10041,54,0)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hidden="1" x14ac:dyDescent="0.2">
      <c r="B7465" s="31">
        <v>7456</v>
      </c>
      <c r="J7465">
        <f t="shared" si="121"/>
        <v>105000</v>
      </c>
      <c r="K7465" t="e">
        <f>VLOOKUP(B7465,'REGISTRO ABONOS'!$B$8:$BC$10041,54,0)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hidden="1" x14ac:dyDescent="0.2">
      <c r="B7466" s="31">
        <v>7457</v>
      </c>
      <c r="J7466">
        <f t="shared" si="121"/>
        <v>105000</v>
      </c>
      <c r="K7466" t="e">
        <f>VLOOKUP(B7466,'REGISTRO ABONOS'!$B$8:$BC$10041,54,0)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hidden="1" x14ac:dyDescent="0.2">
      <c r="B7467" s="31">
        <v>7458</v>
      </c>
      <c r="J7467">
        <f t="shared" si="121"/>
        <v>105000</v>
      </c>
      <c r="K7467" t="e">
        <f>VLOOKUP(B7467,'REGISTRO ABONOS'!$B$8:$BC$10041,54,0)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hidden="1" x14ac:dyDescent="0.2">
      <c r="B7468" s="31">
        <v>7459</v>
      </c>
      <c r="J7468">
        <f t="shared" si="121"/>
        <v>105000</v>
      </c>
      <c r="K7468" t="e">
        <f>VLOOKUP(B7468,'REGISTRO ABONOS'!$B$8:$BC$10041,54,0)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hidden="1" x14ac:dyDescent="0.2">
      <c r="B7469" s="31">
        <v>7460</v>
      </c>
      <c r="J7469">
        <f t="shared" si="121"/>
        <v>105000</v>
      </c>
      <c r="K7469" t="e">
        <f>VLOOKUP(B7469,'REGISTRO ABONOS'!$B$8:$BC$10041,54,0)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hidden="1" x14ac:dyDescent="0.2">
      <c r="B7470" s="31">
        <v>7461</v>
      </c>
      <c r="J7470">
        <f t="shared" si="121"/>
        <v>105000</v>
      </c>
      <c r="K7470" t="e">
        <f>VLOOKUP(B7470,'REGISTRO ABONOS'!$B$8:$BC$10041,54,0)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hidden="1" x14ac:dyDescent="0.2">
      <c r="B7471" s="31">
        <v>7462</v>
      </c>
      <c r="J7471">
        <f t="shared" si="121"/>
        <v>105000</v>
      </c>
      <c r="K7471" t="e">
        <f>VLOOKUP(B7471,'REGISTRO ABONOS'!$B$8:$BC$10041,54,0)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hidden="1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ABONOS'!$B$8:$BC$10041,54,0)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hidden="1" x14ac:dyDescent="0.2">
      <c r="B7473" s="31">
        <v>7464</v>
      </c>
      <c r="J7473">
        <f t="shared" si="122"/>
        <v>105000</v>
      </c>
      <c r="K7473" t="e">
        <f>VLOOKUP(B7473,'REGISTRO ABONOS'!$B$8:$BC$10041,54,0)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hidden="1" x14ac:dyDescent="0.2">
      <c r="B7474" s="31">
        <v>7465</v>
      </c>
      <c r="J7474">
        <f t="shared" si="122"/>
        <v>105000</v>
      </c>
      <c r="K7474" t="e">
        <f>VLOOKUP(B7474,'REGISTRO ABONOS'!$B$8:$BC$10041,54,0)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hidden="1" x14ac:dyDescent="0.2">
      <c r="B7475" s="31">
        <v>7466</v>
      </c>
      <c r="J7475">
        <f t="shared" si="122"/>
        <v>105000</v>
      </c>
      <c r="K7475" t="e">
        <f>VLOOKUP(B7475,'REGISTRO ABONOS'!$B$8:$BC$10041,54,0)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hidden="1" x14ac:dyDescent="0.2">
      <c r="B7476" s="31">
        <v>7467</v>
      </c>
      <c r="J7476">
        <f t="shared" si="122"/>
        <v>105000</v>
      </c>
      <c r="K7476" t="e">
        <f>VLOOKUP(B7476,'REGISTRO ABONOS'!$B$8:$BC$10041,54,0)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hidden="1" x14ac:dyDescent="0.2">
      <c r="B7477" s="31">
        <v>7468</v>
      </c>
      <c r="J7477">
        <f t="shared" si="122"/>
        <v>105000</v>
      </c>
      <c r="K7477" t="e">
        <f>VLOOKUP(B7477,'REGISTRO ABONOS'!$B$8:$BC$10041,54,0)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hidden="1" x14ac:dyDescent="0.2">
      <c r="B7478" s="31">
        <v>7469</v>
      </c>
      <c r="J7478">
        <f t="shared" si="122"/>
        <v>105000</v>
      </c>
      <c r="K7478" t="e">
        <f>VLOOKUP(B7478,'REGISTRO ABONOS'!$B$8:$BC$10041,54,0)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hidden="1" x14ac:dyDescent="0.2">
      <c r="B7479" s="31">
        <v>7470</v>
      </c>
      <c r="J7479">
        <f t="shared" si="122"/>
        <v>105000</v>
      </c>
      <c r="K7479" t="e">
        <f>VLOOKUP(B7479,'REGISTRO ABONOS'!$B$8:$BC$10041,54,0)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hidden="1" x14ac:dyDescent="0.2">
      <c r="B7480" s="31">
        <v>7471</v>
      </c>
      <c r="J7480">
        <f t="shared" si="122"/>
        <v>105000</v>
      </c>
      <c r="K7480" t="e">
        <f>VLOOKUP(B7480,'REGISTRO ABONOS'!$B$8:$BC$10041,54,0)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hidden="1" x14ac:dyDescent="0.2">
      <c r="B7481" s="31">
        <v>7472</v>
      </c>
      <c r="J7481">
        <f t="shared" si="122"/>
        <v>105000</v>
      </c>
      <c r="K7481" t="e">
        <f>VLOOKUP(B7481,'REGISTRO ABONOS'!$B$8:$BC$10041,54,0)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hidden="1" x14ac:dyDescent="0.2">
      <c r="B7482" s="31">
        <v>7473</v>
      </c>
      <c r="J7482">
        <f t="shared" si="122"/>
        <v>105000</v>
      </c>
      <c r="K7482" t="e">
        <f>VLOOKUP(B7482,'REGISTRO ABONOS'!$B$8:$BC$10041,54,0)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hidden="1" x14ac:dyDescent="0.2">
      <c r="B7483" s="31">
        <v>7474</v>
      </c>
      <c r="J7483">
        <f t="shared" si="122"/>
        <v>105000</v>
      </c>
      <c r="K7483" t="e">
        <f>VLOOKUP(B7483,'REGISTRO ABONOS'!$B$8:$BC$10041,54,0)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hidden="1" x14ac:dyDescent="0.2">
      <c r="B7484" s="31">
        <v>7475</v>
      </c>
      <c r="J7484">
        <f t="shared" si="122"/>
        <v>105000</v>
      </c>
      <c r="K7484" t="e">
        <f>VLOOKUP(B7484,'REGISTRO ABONOS'!$B$8:$BC$10041,54,0)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hidden="1" x14ac:dyDescent="0.2">
      <c r="B7485" s="31">
        <v>7476</v>
      </c>
      <c r="J7485">
        <f t="shared" si="122"/>
        <v>105000</v>
      </c>
      <c r="K7485" t="e">
        <f>VLOOKUP(B7485,'REGISTRO ABONOS'!$B$8:$BC$10041,54,0)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hidden="1" x14ac:dyDescent="0.2">
      <c r="B7486" s="31">
        <v>7477</v>
      </c>
      <c r="J7486">
        <f t="shared" si="122"/>
        <v>105000</v>
      </c>
      <c r="K7486" t="e">
        <f>VLOOKUP(B7486,'REGISTRO ABONOS'!$B$8:$BC$10041,54,0)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hidden="1" x14ac:dyDescent="0.2">
      <c r="B7487" s="31">
        <v>7478</v>
      </c>
      <c r="J7487">
        <f t="shared" si="122"/>
        <v>105000</v>
      </c>
      <c r="K7487" t="e">
        <f>VLOOKUP(B7487,'REGISTRO ABONOS'!$B$8:$BC$10041,54,0)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hidden="1" x14ac:dyDescent="0.2">
      <c r="B7488" s="31">
        <v>7479</v>
      </c>
      <c r="J7488">
        <f t="shared" si="122"/>
        <v>105000</v>
      </c>
      <c r="K7488" t="e">
        <f>VLOOKUP(B7488,'REGISTRO ABONOS'!$B$8:$BC$10041,54,0)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hidden="1" x14ac:dyDescent="0.2">
      <c r="B7489" s="31">
        <v>7480</v>
      </c>
      <c r="J7489">
        <f t="shared" si="122"/>
        <v>105000</v>
      </c>
      <c r="K7489" t="e">
        <f>VLOOKUP(B7489,'REGISTRO ABONOS'!$B$8:$BC$10041,54,0)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hidden="1" x14ac:dyDescent="0.2">
      <c r="B7490" s="31">
        <v>7481</v>
      </c>
      <c r="J7490">
        <f t="shared" si="122"/>
        <v>105000</v>
      </c>
      <c r="K7490" t="e">
        <f>VLOOKUP(B7490,'REGISTRO ABONOS'!$B$8:$BC$10041,54,0)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hidden="1" x14ac:dyDescent="0.2">
      <c r="B7491" s="31">
        <v>7482</v>
      </c>
      <c r="J7491">
        <f t="shared" si="122"/>
        <v>105000</v>
      </c>
      <c r="K7491" t="e">
        <f>VLOOKUP(B7491,'REGISTRO ABONOS'!$B$8:$BC$10041,54,0)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hidden="1" x14ac:dyDescent="0.2">
      <c r="B7492" s="31">
        <v>7483</v>
      </c>
      <c r="J7492">
        <f t="shared" si="122"/>
        <v>105000</v>
      </c>
      <c r="K7492" t="e">
        <f>VLOOKUP(B7492,'REGISTRO ABONOS'!$B$8:$BC$10041,54,0)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hidden="1" x14ac:dyDescent="0.2">
      <c r="B7493" s="31">
        <v>7484</v>
      </c>
      <c r="J7493">
        <f t="shared" si="122"/>
        <v>105000</v>
      </c>
      <c r="K7493" t="e">
        <f>VLOOKUP(B7493,'REGISTRO ABONOS'!$B$8:$BC$10041,54,0)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hidden="1" x14ac:dyDescent="0.2">
      <c r="B7494" s="31">
        <v>7485</v>
      </c>
      <c r="J7494">
        <f t="shared" si="122"/>
        <v>105000</v>
      </c>
      <c r="K7494" t="e">
        <f>VLOOKUP(B7494,'REGISTRO ABONOS'!$B$8:$BC$10041,54,0)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hidden="1" x14ac:dyDescent="0.2">
      <c r="B7495" s="31">
        <v>7486</v>
      </c>
      <c r="J7495">
        <f t="shared" si="122"/>
        <v>105000</v>
      </c>
      <c r="K7495" t="e">
        <f>VLOOKUP(B7495,'REGISTRO ABONOS'!$B$8:$BC$10041,54,0)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2"/>
        <v>105000</v>
      </c>
      <c r="K7496" t="e">
        <f>VLOOKUP(B7496,'REGISTRO ABONOS'!$B$8:$BC$10041,54,0)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hidden="1" x14ac:dyDescent="0.2">
      <c r="B7497" s="31">
        <v>7488</v>
      </c>
      <c r="J7497">
        <f t="shared" si="122"/>
        <v>105000</v>
      </c>
      <c r="K7497" t="e">
        <f>VLOOKUP(B7497,'REGISTRO ABONOS'!$B$8:$BC$10041,54,0)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hidden="1" x14ac:dyDescent="0.2">
      <c r="B7498" s="31">
        <v>7489</v>
      </c>
      <c r="J7498">
        <f t="shared" si="122"/>
        <v>105000</v>
      </c>
      <c r="K7498" t="e">
        <f>VLOOKUP(B7498,'REGISTRO ABONOS'!$B$8:$BC$10041,54,0)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hidden="1" x14ac:dyDescent="0.2">
      <c r="B7499" s="31">
        <v>7490</v>
      </c>
      <c r="J7499">
        <f t="shared" si="122"/>
        <v>105000</v>
      </c>
      <c r="K7499" t="e">
        <f>VLOOKUP(B7499,'REGISTRO ABONOS'!$B$8:$BC$10041,54,0)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hidden="1" x14ac:dyDescent="0.2">
      <c r="B7500" s="31">
        <v>7491</v>
      </c>
      <c r="J7500">
        <f t="shared" si="122"/>
        <v>105000</v>
      </c>
      <c r="K7500" t="e">
        <f>VLOOKUP(B7500,'REGISTRO ABONOS'!$B$8:$BC$10041,54,0)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hidden="1" x14ac:dyDescent="0.2">
      <c r="B7501" s="31">
        <v>7492</v>
      </c>
      <c r="J7501">
        <f t="shared" si="122"/>
        <v>105000</v>
      </c>
      <c r="K7501" t="e">
        <f>VLOOKUP(B7501,'REGISTRO ABONOS'!$B$8:$BC$10041,54,0)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hidden="1" x14ac:dyDescent="0.2">
      <c r="B7502" s="31">
        <v>7493</v>
      </c>
      <c r="J7502">
        <f t="shared" si="122"/>
        <v>105000</v>
      </c>
      <c r="K7502" t="e">
        <f>VLOOKUP(B7502,'REGISTRO ABONOS'!$B$8:$BC$10041,54,0)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hidden="1" x14ac:dyDescent="0.2">
      <c r="B7503" s="31">
        <v>7494</v>
      </c>
      <c r="J7503">
        <f t="shared" si="122"/>
        <v>105000</v>
      </c>
      <c r="K7503" t="e">
        <f>VLOOKUP(B7503,'REGISTRO ABONOS'!$B$8:$BC$10041,54,0)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hidden="1" x14ac:dyDescent="0.2">
      <c r="B7504" s="31">
        <v>7495</v>
      </c>
      <c r="J7504">
        <f t="shared" si="122"/>
        <v>105000</v>
      </c>
      <c r="K7504" t="e">
        <f>VLOOKUP(B7504,'REGISTRO ABONOS'!$B$8:$BC$10041,54,0)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hidden="1" x14ac:dyDescent="0.2">
      <c r="B7505" s="31">
        <v>7496</v>
      </c>
      <c r="J7505">
        <f t="shared" si="122"/>
        <v>105000</v>
      </c>
      <c r="K7505" t="e">
        <f>VLOOKUP(B7505,'REGISTRO ABONOS'!$B$8:$BC$10041,54,0)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hidden="1" x14ac:dyDescent="0.2">
      <c r="B7506" s="31">
        <v>7497</v>
      </c>
      <c r="J7506">
        <f t="shared" si="122"/>
        <v>105000</v>
      </c>
      <c r="K7506" t="e">
        <f>VLOOKUP(B7506,'REGISTRO ABONOS'!$B$8:$BC$10041,54,0)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hidden="1" x14ac:dyDescent="0.2">
      <c r="B7507" s="31">
        <v>7498</v>
      </c>
      <c r="J7507">
        <f t="shared" si="122"/>
        <v>105000</v>
      </c>
      <c r="K7507" t="e">
        <f>VLOOKUP(B7507,'REGISTRO ABONOS'!$B$8:$BC$10041,54,0)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hidden="1" x14ac:dyDescent="0.2">
      <c r="B7508" s="31">
        <v>7499</v>
      </c>
      <c r="J7508">
        <f t="shared" si="122"/>
        <v>105000</v>
      </c>
      <c r="K7508" t="e">
        <f>VLOOKUP(B7508,'REGISTRO ABONOS'!$B$8:$BC$10041,54,0)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2"/>
        <v>105000</v>
      </c>
      <c r="K7509" t="e">
        <f>VLOOKUP(B7509,'REGISTRO ABONOS'!$B$8:$BC$10041,54,0)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hidden="1" x14ac:dyDescent="0.2">
      <c r="B7510" s="31">
        <v>7501</v>
      </c>
      <c r="J7510">
        <f t="shared" si="122"/>
        <v>105000</v>
      </c>
      <c r="K7510" t="e">
        <f>VLOOKUP(B7510,'REGISTRO ABONOS'!$B$8:$BC$10041,54,0)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hidden="1" x14ac:dyDescent="0.2">
      <c r="B7511" s="31">
        <v>7502</v>
      </c>
      <c r="J7511">
        <f t="shared" si="122"/>
        <v>105000</v>
      </c>
      <c r="K7511" t="e">
        <f>VLOOKUP(B7511,'REGISTRO ABONOS'!$B$8:$BC$10041,54,0)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hidden="1" x14ac:dyDescent="0.2">
      <c r="B7512" s="31">
        <v>7503</v>
      </c>
      <c r="J7512">
        <f t="shared" si="122"/>
        <v>105000</v>
      </c>
      <c r="K7512" t="e">
        <f>VLOOKUP(B7512,'REGISTRO ABONOS'!$B$8:$BC$10041,54,0)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hidden="1" x14ac:dyDescent="0.2">
      <c r="B7513" s="31">
        <v>7504</v>
      </c>
      <c r="J7513">
        <f t="shared" si="122"/>
        <v>105000</v>
      </c>
      <c r="K7513" t="e">
        <f>VLOOKUP(B7513,'REGISTRO ABONOS'!$B$8:$BC$10041,54,0)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hidden="1" x14ac:dyDescent="0.2">
      <c r="B7514" s="31">
        <v>7505</v>
      </c>
      <c r="J7514">
        <f t="shared" si="122"/>
        <v>105000</v>
      </c>
      <c r="K7514" t="e">
        <f>VLOOKUP(B7514,'REGISTRO ABONOS'!$B$8:$BC$10041,54,0)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hidden="1" x14ac:dyDescent="0.2">
      <c r="B7515" s="31">
        <v>7506</v>
      </c>
      <c r="J7515">
        <f t="shared" si="122"/>
        <v>105000</v>
      </c>
      <c r="K7515" t="e">
        <f>VLOOKUP(B7515,'REGISTRO ABONOS'!$B$8:$BC$10041,54,0)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hidden="1" x14ac:dyDescent="0.2">
      <c r="B7516" s="31">
        <v>7507</v>
      </c>
      <c r="J7516">
        <f t="shared" si="122"/>
        <v>105000</v>
      </c>
      <c r="K7516" t="e">
        <f>VLOOKUP(B7516,'REGISTRO ABONOS'!$B$8:$BC$10041,54,0)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hidden="1" x14ac:dyDescent="0.2">
      <c r="B7517" s="31">
        <v>7508</v>
      </c>
      <c r="J7517">
        <f t="shared" si="122"/>
        <v>105000</v>
      </c>
      <c r="K7517" t="e">
        <f>VLOOKUP(B7517,'REGISTRO ABONOS'!$B$8:$BC$10041,54,0)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hidden="1" x14ac:dyDescent="0.2">
      <c r="B7518" s="31">
        <v>7509</v>
      </c>
      <c r="J7518">
        <f t="shared" si="122"/>
        <v>105000</v>
      </c>
      <c r="K7518" t="e">
        <f>VLOOKUP(B7518,'REGISTRO ABONOS'!$B$8:$BC$10041,54,0)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2"/>
        <v>105000</v>
      </c>
      <c r="K7519" t="e">
        <f>VLOOKUP(B7519,'REGISTRO ABONOS'!$B$8:$BC$10041,54,0)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hidden="1" x14ac:dyDescent="0.2">
      <c r="B7520" s="31">
        <v>7511</v>
      </c>
      <c r="J7520">
        <f t="shared" si="122"/>
        <v>105000</v>
      </c>
      <c r="K7520" t="e">
        <f>VLOOKUP(B7520,'REGISTRO ABONOS'!$B$8:$BC$10041,54,0)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hidden="1" x14ac:dyDescent="0.2">
      <c r="B7521" s="31">
        <v>7512</v>
      </c>
      <c r="J7521">
        <f t="shared" si="122"/>
        <v>105000</v>
      </c>
      <c r="K7521" t="e">
        <f>VLOOKUP(B7521,'REGISTRO ABONOS'!$B$8:$BC$10041,54,0)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hidden="1" x14ac:dyDescent="0.2">
      <c r="B7522" s="31">
        <v>7513</v>
      </c>
      <c r="J7522">
        <f t="shared" si="122"/>
        <v>105000</v>
      </c>
      <c r="K7522" t="e">
        <f>VLOOKUP(B7522,'REGISTRO ABONOS'!$B$8:$BC$10041,54,0)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hidden="1" x14ac:dyDescent="0.2">
      <c r="B7523" s="31">
        <v>7514</v>
      </c>
      <c r="J7523">
        <f t="shared" si="122"/>
        <v>105000</v>
      </c>
      <c r="K7523" t="e">
        <f>VLOOKUP(B7523,'REGISTRO ABONOS'!$B$8:$BC$10041,54,0)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hidden="1" x14ac:dyDescent="0.2">
      <c r="B7524" s="31">
        <v>7515</v>
      </c>
      <c r="J7524">
        <f t="shared" si="122"/>
        <v>105000</v>
      </c>
      <c r="K7524" t="e">
        <f>VLOOKUP(B7524,'REGISTRO ABONOS'!$B$8:$BC$10041,54,0)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hidden="1" x14ac:dyDescent="0.2">
      <c r="B7525" s="31">
        <v>7516</v>
      </c>
      <c r="J7525">
        <f t="shared" si="122"/>
        <v>105000</v>
      </c>
      <c r="K7525" t="e">
        <f>VLOOKUP(B7525,'REGISTRO ABONOS'!$B$8:$BC$10041,54,0)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hidden="1" x14ac:dyDescent="0.2">
      <c r="B7526" s="31">
        <v>7517</v>
      </c>
      <c r="J7526">
        <f t="shared" si="122"/>
        <v>105000</v>
      </c>
      <c r="K7526" t="e">
        <f>VLOOKUP(B7526,'REGISTRO ABONOS'!$B$8:$BC$10041,54,0)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hidden="1" x14ac:dyDescent="0.2">
      <c r="B7527" s="31">
        <v>7518</v>
      </c>
      <c r="J7527">
        <f t="shared" si="122"/>
        <v>105000</v>
      </c>
      <c r="K7527" t="e">
        <f>VLOOKUP(B7527,'REGISTRO ABONOS'!$B$8:$BC$10041,54,0)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hidden="1" x14ac:dyDescent="0.2">
      <c r="B7528" s="31">
        <v>7519</v>
      </c>
      <c r="J7528">
        <f t="shared" si="122"/>
        <v>105000</v>
      </c>
      <c r="K7528" t="e">
        <f>VLOOKUP(B7528,'REGISTRO ABONOS'!$B$8:$BC$10041,54,0)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hidden="1" x14ac:dyDescent="0.2">
      <c r="B7529" s="31">
        <v>7520</v>
      </c>
      <c r="J7529">
        <f t="shared" si="122"/>
        <v>105000</v>
      </c>
      <c r="K7529" t="e">
        <f>VLOOKUP(B7529,'REGISTRO ABONOS'!$B$8:$BC$10041,54,0)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hidden="1" x14ac:dyDescent="0.2">
      <c r="B7530" s="31">
        <v>7521</v>
      </c>
      <c r="J7530">
        <f t="shared" si="122"/>
        <v>105000</v>
      </c>
      <c r="K7530" t="e">
        <f>VLOOKUP(B7530,'REGISTRO ABONOS'!$B$8:$BC$10041,54,0)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hidden="1" x14ac:dyDescent="0.2">
      <c r="B7531" s="31">
        <v>7522</v>
      </c>
      <c r="J7531">
        <f t="shared" si="122"/>
        <v>105000</v>
      </c>
      <c r="K7531" t="e">
        <f>VLOOKUP(B7531,'REGISTRO ABONOS'!$B$8:$BC$10041,54,0)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hidden="1" x14ac:dyDescent="0.2">
      <c r="B7532" s="31">
        <v>7523</v>
      </c>
      <c r="J7532">
        <f t="shared" si="122"/>
        <v>105000</v>
      </c>
      <c r="K7532" t="e">
        <f>VLOOKUP(B7532,'REGISTRO ABONOS'!$B$8:$BC$10041,54,0)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hidden="1" x14ac:dyDescent="0.2">
      <c r="B7533" s="31">
        <v>7524</v>
      </c>
      <c r="J7533">
        <f t="shared" si="122"/>
        <v>105000</v>
      </c>
      <c r="K7533" t="e">
        <f>VLOOKUP(B7533,'REGISTRO ABONOS'!$B$8:$BC$10041,54,0)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hidden="1" x14ac:dyDescent="0.2">
      <c r="B7534" s="31">
        <v>7525</v>
      </c>
      <c r="J7534">
        <f t="shared" si="122"/>
        <v>105000</v>
      </c>
      <c r="K7534" t="e">
        <f>VLOOKUP(B7534,'REGISTRO ABONOS'!$B$8:$BC$10041,54,0)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hidden="1" x14ac:dyDescent="0.2">
      <c r="B7535" s="31">
        <v>7526</v>
      </c>
      <c r="J7535">
        <f t="shared" si="122"/>
        <v>105000</v>
      </c>
      <c r="K7535" t="e">
        <f>VLOOKUP(B7535,'REGISTRO ABONOS'!$B$8:$BC$10041,54,0)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hidden="1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ABONOS'!$B$8:$BC$10041,54,0)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hidden="1" x14ac:dyDescent="0.2">
      <c r="B7537" s="31">
        <v>7528</v>
      </c>
      <c r="J7537">
        <f t="shared" si="123"/>
        <v>105000</v>
      </c>
      <c r="K7537" t="e">
        <f>VLOOKUP(B7537,'REGISTRO ABONOS'!$B$8:$BC$10041,54,0)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hidden="1" x14ac:dyDescent="0.2">
      <c r="B7538" s="31">
        <v>7529</v>
      </c>
      <c r="J7538">
        <f t="shared" si="123"/>
        <v>105000</v>
      </c>
      <c r="K7538" t="e">
        <f>VLOOKUP(B7538,'REGISTRO ABONOS'!$B$8:$BC$10041,54,0)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hidden="1" x14ac:dyDescent="0.2">
      <c r="B7539" s="31">
        <v>7530</v>
      </c>
      <c r="J7539">
        <f t="shared" si="123"/>
        <v>105000</v>
      </c>
      <c r="K7539" t="e">
        <f>VLOOKUP(B7539,'REGISTRO ABONOS'!$B$8:$BC$10041,54,0)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hidden="1" x14ac:dyDescent="0.2">
      <c r="B7540" s="31">
        <v>7531</v>
      </c>
      <c r="J7540">
        <f t="shared" si="123"/>
        <v>105000</v>
      </c>
      <c r="K7540" t="e">
        <f>VLOOKUP(B7540,'REGISTRO ABONOS'!$B$8:$BC$10041,54,0)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hidden="1" x14ac:dyDescent="0.2">
      <c r="B7541" s="31">
        <v>7532</v>
      </c>
      <c r="J7541">
        <f t="shared" si="123"/>
        <v>105000</v>
      </c>
      <c r="K7541" t="e">
        <f>VLOOKUP(B7541,'REGISTRO ABONOS'!$B$8:$BC$10041,54,0)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hidden="1" x14ac:dyDescent="0.2">
      <c r="B7542" s="31">
        <v>7533</v>
      </c>
      <c r="J7542">
        <f t="shared" si="123"/>
        <v>105000</v>
      </c>
      <c r="K7542" t="e">
        <f>VLOOKUP(B7542,'REGISTRO ABONOS'!$B$8:$BC$10041,54,0)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hidden="1" x14ac:dyDescent="0.2">
      <c r="B7543" s="31">
        <v>7534</v>
      </c>
      <c r="J7543">
        <f t="shared" si="123"/>
        <v>105000</v>
      </c>
      <c r="K7543" t="e">
        <f>VLOOKUP(B7543,'REGISTRO ABONOS'!$B$8:$BC$10041,54,0)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3"/>
        <v>105000</v>
      </c>
      <c r="K7544">
        <f>VLOOKUP(B7544,'REGISTRO ABONOS'!$B$8:$BC$10041,54,0)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hidden="1" x14ac:dyDescent="0.2">
      <c r="B7545" s="31">
        <v>7536</v>
      </c>
      <c r="J7545">
        <f t="shared" si="123"/>
        <v>105000</v>
      </c>
      <c r="K7545" t="e">
        <f>VLOOKUP(B7545,'REGISTRO ABONOS'!$B$8:$BC$10041,54,0)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hidden="1" x14ac:dyDescent="0.2">
      <c r="B7546" s="31">
        <v>7537</v>
      </c>
      <c r="J7546">
        <f t="shared" si="123"/>
        <v>105000</v>
      </c>
      <c r="K7546" t="e">
        <f>VLOOKUP(B7546,'REGISTRO ABONOS'!$B$8:$BC$10041,54,0)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hidden="1" x14ac:dyDescent="0.2">
      <c r="B7547" s="31">
        <v>7538</v>
      </c>
      <c r="J7547">
        <f t="shared" si="123"/>
        <v>105000</v>
      </c>
      <c r="K7547" t="e">
        <f>VLOOKUP(B7547,'REGISTRO ABONOS'!$B$8:$BC$10041,54,0)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hidden="1" x14ac:dyDescent="0.2">
      <c r="B7548" s="31">
        <v>7539</v>
      </c>
      <c r="J7548">
        <f t="shared" si="123"/>
        <v>105000</v>
      </c>
      <c r="K7548" t="e">
        <f>VLOOKUP(B7548,'REGISTRO ABONOS'!$B$8:$BC$10041,54,0)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hidden="1" x14ac:dyDescent="0.2">
      <c r="B7549" s="31">
        <v>7540</v>
      </c>
      <c r="J7549">
        <f t="shared" si="123"/>
        <v>105000</v>
      </c>
      <c r="K7549" t="e">
        <f>VLOOKUP(B7549,'REGISTRO ABONOS'!$B$8:$BC$10041,54,0)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hidden="1" x14ac:dyDescent="0.2">
      <c r="B7550" s="31">
        <v>7541</v>
      </c>
      <c r="J7550">
        <f t="shared" si="123"/>
        <v>105000</v>
      </c>
      <c r="K7550" t="e">
        <f>VLOOKUP(B7550,'REGISTRO ABONOS'!$B$8:$BC$10041,54,0)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hidden="1" x14ac:dyDescent="0.2">
      <c r="B7551" s="31">
        <v>7542</v>
      </c>
      <c r="J7551">
        <f t="shared" si="123"/>
        <v>105000</v>
      </c>
      <c r="K7551" t="e">
        <f>VLOOKUP(B7551,'REGISTRO ABONOS'!$B$8:$BC$10041,54,0)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hidden="1" x14ac:dyDescent="0.2">
      <c r="B7552" s="31">
        <v>7543</v>
      </c>
      <c r="J7552">
        <f t="shared" si="123"/>
        <v>105000</v>
      </c>
      <c r="K7552" t="e">
        <f>VLOOKUP(B7552,'REGISTRO ABONOS'!$B$8:$BC$10041,54,0)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hidden="1" x14ac:dyDescent="0.2">
      <c r="B7553" s="31">
        <v>7544</v>
      </c>
      <c r="J7553">
        <f t="shared" si="123"/>
        <v>105000</v>
      </c>
      <c r="K7553" t="e">
        <f>VLOOKUP(B7553,'REGISTRO ABONOS'!$B$8:$BC$10041,54,0)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hidden="1" x14ac:dyDescent="0.2">
      <c r="B7554" s="31">
        <v>7545</v>
      </c>
      <c r="J7554">
        <f t="shared" si="123"/>
        <v>105000</v>
      </c>
      <c r="K7554" t="e">
        <f>VLOOKUP(B7554,'REGISTRO ABONOS'!$B$8:$BC$10041,54,0)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hidden="1" x14ac:dyDescent="0.2">
      <c r="B7555" s="31">
        <v>7546</v>
      </c>
      <c r="J7555">
        <f t="shared" si="123"/>
        <v>105000</v>
      </c>
      <c r="K7555" t="e">
        <f>VLOOKUP(B7555,'REGISTRO ABONOS'!$B$8:$BC$10041,54,0)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hidden="1" x14ac:dyDescent="0.2">
      <c r="B7556" s="31">
        <v>7547</v>
      </c>
      <c r="J7556">
        <f t="shared" si="123"/>
        <v>105000</v>
      </c>
      <c r="K7556" t="e">
        <f>VLOOKUP(B7556,'REGISTRO ABONOS'!$B$8:$BC$10041,54,0)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hidden="1" x14ac:dyDescent="0.2">
      <c r="B7557" s="31">
        <v>7548</v>
      </c>
      <c r="J7557">
        <f t="shared" si="123"/>
        <v>105000</v>
      </c>
      <c r="K7557" t="e">
        <f>VLOOKUP(B7557,'REGISTRO ABONOS'!$B$8:$BC$10041,54,0)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hidden="1" x14ac:dyDescent="0.2">
      <c r="B7558" s="31">
        <v>7549</v>
      </c>
      <c r="J7558">
        <f t="shared" si="123"/>
        <v>105000</v>
      </c>
      <c r="K7558" t="e">
        <f>VLOOKUP(B7558,'REGISTRO ABONOS'!$B$8:$BC$10041,54,0)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hidden="1" x14ac:dyDescent="0.2">
      <c r="B7559" s="31">
        <v>7550</v>
      </c>
      <c r="J7559">
        <f t="shared" si="123"/>
        <v>105000</v>
      </c>
      <c r="K7559" t="e">
        <f>VLOOKUP(B7559,'REGISTRO ABONOS'!$B$8:$BC$10041,54,0)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hidden="1" x14ac:dyDescent="0.2">
      <c r="B7560" s="31">
        <v>7551</v>
      </c>
      <c r="J7560">
        <f t="shared" si="123"/>
        <v>105000</v>
      </c>
      <c r="K7560" t="e">
        <f>VLOOKUP(B7560,'REGISTRO ABONOS'!$B$8:$BC$10041,54,0)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hidden="1" x14ac:dyDescent="0.2">
      <c r="B7561" s="31">
        <v>7552</v>
      </c>
      <c r="J7561">
        <f t="shared" si="123"/>
        <v>105000</v>
      </c>
      <c r="K7561" t="e">
        <f>VLOOKUP(B7561,'REGISTRO ABONOS'!$B$8:$BC$10041,54,0)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hidden="1" x14ac:dyDescent="0.2">
      <c r="B7562" s="31">
        <v>7553</v>
      </c>
      <c r="J7562">
        <f t="shared" si="123"/>
        <v>105000</v>
      </c>
      <c r="K7562" t="e">
        <f>VLOOKUP(B7562,'REGISTRO ABONOS'!$B$8:$BC$10041,54,0)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hidden="1" x14ac:dyDescent="0.2">
      <c r="B7563" s="31">
        <v>7554</v>
      </c>
      <c r="J7563">
        <f t="shared" si="123"/>
        <v>105000</v>
      </c>
      <c r="K7563" t="e">
        <f>VLOOKUP(B7563,'REGISTRO ABONOS'!$B$8:$BC$10041,54,0)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hidden="1" x14ac:dyDescent="0.2">
      <c r="B7564" s="31">
        <v>7555</v>
      </c>
      <c r="J7564">
        <f t="shared" si="123"/>
        <v>105000</v>
      </c>
      <c r="K7564" t="e">
        <f>VLOOKUP(B7564,'REGISTRO ABONOS'!$B$8:$BC$10041,54,0)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hidden="1" x14ac:dyDescent="0.2">
      <c r="B7565" s="31">
        <v>7556</v>
      </c>
      <c r="J7565">
        <f t="shared" si="123"/>
        <v>105000</v>
      </c>
      <c r="K7565" t="e">
        <f>VLOOKUP(B7565,'REGISTRO ABONOS'!$B$8:$BC$10041,54,0)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hidden="1" x14ac:dyDescent="0.2">
      <c r="B7566" s="31">
        <v>7557</v>
      </c>
      <c r="J7566">
        <f t="shared" si="123"/>
        <v>105000</v>
      </c>
      <c r="K7566" t="e">
        <f>VLOOKUP(B7566,'REGISTRO ABONOS'!$B$8:$BC$10041,54,0)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hidden="1" x14ac:dyDescent="0.2">
      <c r="B7567" s="31">
        <v>7558</v>
      </c>
      <c r="J7567">
        <f t="shared" si="123"/>
        <v>105000</v>
      </c>
      <c r="K7567" t="e">
        <f>VLOOKUP(B7567,'REGISTRO ABONOS'!$B$8:$BC$10041,54,0)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hidden="1" x14ac:dyDescent="0.2">
      <c r="B7568" s="31">
        <v>7559</v>
      </c>
      <c r="J7568">
        <f t="shared" si="123"/>
        <v>105000</v>
      </c>
      <c r="K7568" t="e">
        <f>VLOOKUP(B7568,'REGISTRO ABONOS'!$B$8:$BC$10041,54,0)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hidden="1" x14ac:dyDescent="0.2">
      <c r="B7569" s="31">
        <v>7560</v>
      </c>
      <c r="J7569">
        <f t="shared" si="123"/>
        <v>105000</v>
      </c>
      <c r="K7569" t="e">
        <f>VLOOKUP(B7569,'REGISTRO ABONOS'!$B$8:$BC$10041,54,0)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hidden="1" x14ac:dyDescent="0.2">
      <c r="B7570" s="31">
        <v>7561</v>
      </c>
      <c r="J7570">
        <f t="shared" si="123"/>
        <v>105000</v>
      </c>
      <c r="K7570" t="e">
        <f>VLOOKUP(B7570,'REGISTRO ABONOS'!$B$8:$BC$10041,54,0)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hidden="1" x14ac:dyDescent="0.2">
      <c r="B7571" s="31">
        <v>7562</v>
      </c>
      <c r="J7571">
        <f t="shared" si="123"/>
        <v>105000</v>
      </c>
      <c r="K7571" t="e">
        <f>VLOOKUP(B7571,'REGISTRO ABONOS'!$B$8:$BC$10041,54,0)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hidden="1" x14ac:dyDescent="0.2">
      <c r="B7572" s="31">
        <v>7563</v>
      </c>
      <c r="J7572">
        <f t="shared" si="123"/>
        <v>105000</v>
      </c>
      <c r="K7572" t="e">
        <f>VLOOKUP(B7572,'REGISTRO ABONOS'!$B$8:$BC$10041,54,0)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hidden="1" x14ac:dyDescent="0.2">
      <c r="B7573" s="31">
        <v>7564</v>
      </c>
      <c r="J7573">
        <f t="shared" si="123"/>
        <v>105000</v>
      </c>
      <c r="K7573" t="e">
        <f>VLOOKUP(B7573,'REGISTRO ABONOS'!$B$8:$BC$10041,54,0)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hidden="1" x14ac:dyDescent="0.2">
      <c r="B7574" s="31">
        <v>7565</v>
      </c>
      <c r="J7574">
        <f t="shared" si="123"/>
        <v>105000</v>
      </c>
      <c r="K7574" t="e">
        <f>VLOOKUP(B7574,'REGISTRO ABONOS'!$B$8:$BC$10041,54,0)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hidden="1" x14ac:dyDescent="0.2">
      <c r="B7575" s="31">
        <v>7566</v>
      </c>
      <c r="J7575">
        <f t="shared" si="123"/>
        <v>105000</v>
      </c>
      <c r="K7575" t="e">
        <f>VLOOKUP(B7575,'REGISTRO ABONOS'!$B$8:$BC$10041,54,0)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hidden="1" x14ac:dyDescent="0.2">
      <c r="B7576" s="31">
        <v>7567</v>
      </c>
      <c r="J7576">
        <f t="shared" si="123"/>
        <v>105000</v>
      </c>
      <c r="K7576" t="e">
        <f>VLOOKUP(B7576,'REGISTRO ABONOS'!$B$8:$BC$10041,54,0)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hidden="1" x14ac:dyDescent="0.2">
      <c r="B7577" s="31">
        <v>7568</v>
      </c>
      <c r="J7577">
        <f t="shared" si="123"/>
        <v>105000</v>
      </c>
      <c r="K7577" t="e">
        <f>VLOOKUP(B7577,'REGISTRO ABONOS'!$B$8:$BC$10041,54,0)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hidden="1" x14ac:dyDescent="0.2">
      <c r="B7578" s="31">
        <v>7569</v>
      </c>
      <c r="J7578">
        <f t="shared" si="123"/>
        <v>105000</v>
      </c>
      <c r="K7578" t="e">
        <f>VLOOKUP(B7578,'REGISTRO ABONOS'!$B$8:$BC$10041,54,0)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hidden="1" x14ac:dyDescent="0.2">
      <c r="B7579" s="31">
        <v>7570</v>
      </c>
      <c r="J7579">
        <f t="shared" si="123"/>
        <v>105000</v>
      </c>
      <c r="K7579" t="e">
        <f>VLOOKUP(B7579,'REGISTRO ABONOS'!$B$8:$BC$10041,54,0)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hidden="1" x14ac:dyDescent="0.2">
      <c r="B7580" s="31">
        <v>7571</v>
      </c>
      <c r="J7580">
        <f t="shared" si="123"/>
        <v>105000</v>
      </c>
      <c r="K7580" t="e">
        <f>VLOOKUP(B7580,'REGISTRO ABONOS'!$B$8:$BC$10041,54,0)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hidden="1" x14ac:dyDescent="0.2">
      <c r="B7581" s="31">
        <v>7572</v>
      </c>
      <c r="J7581">
        <f t="shared" si="123"/>
        <v>105000</v>
      </c>
      <c r="K7581" t="e">
        <f>VLOOKUP(B7581,'REGISTRO ABONOS'!$B$8:$BC$10041,54,0)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hidden="1" x14ac:dyDescent="0.2">
      <c r="B7582" s="31">
        <v>7573</v>
      </c>
      <c r="J7582">
        <f t="shared" si="123"/>
        <v>105000</v>
      </c>
      <c r="K7582" t="e">
        <f>VLOOKUP(B7582,'REGISTRO ABONOS'!$B$8:$BC$10041,54,0)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hidden="1" x14ac:dyDescent="0.2">
      <c r="B7583" s="31">
        <v>7574</v>
      </c>
      <c r="J7583">
        <f t="shared" si="123"/>
        <v>105000</v>
      </c>
      <c r="K7583" t="e">
        <f>VLOOKUP(B7583,'REGISTRO ABONOS'!$B$8:$BC$10041,54,0)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hidden="1" x14ac:dyDescent="0.2">
      <c r="B7584" s="31">
        <v>7575</v>
      </c>
      <c r="J7584">
        <f t="shared" si="123"/>
        <v>105000</v>
      </c>
      <c r="K7584" t="e">
        <f>VLOOKUP(B7584,'REGISTRO ABONOS'!$B$8:$BC$10041,54,0)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hidden="1" x14ac:dyDescent="0.2">
      <c r="B7585" s="31">
        <v>7576</v>
      </c>
      <c r="J7585">
        <f t="shared" si="123"/>
        <v>105000</v>
      </c>
      <c r="K7585" t="e">
        <f>VLOOKUP(B7585,'REGISTRO ABONOS'!$B$8:$BC$10041,54,0)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hidden="1" x14ac:dyDescent="0.2">
      <c r="B7586" s="31">
        <v>7577</v>
      </c>
      <c r="J7586">
        <f t="shared" si="123"/>
        <v>105000</v>
      </c>
      <c r="K7586" t="e">
        <f>VLOOKUP(B7586,'REGISTRO ABONOS'!$B$8:$BC$10041,54,0)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hidden="1" x14ac:dyDescent="0.2">
      <c r="B7587" s="31">
        <v>7578</v>
      </c>
      <c r="J7587">
        <f t="shared" si="123"/>
        <v>105000</v>
      </c>
      <c r="K7587" t="e">
        <f>VLOOKUP(B7587,'REGISTRO ABONOS'!$B$8:$BC$10041,54,0)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hidden="1" x14ac:dyDescent="0.2">
      <c r="B7588" s="31">
        <v>7579</v>
      </c>
      <c r="J7588">
        <f t="shared" si="123"/>
        <v>105000</v>
      </c>
      <c r="K7588" t="e">
        <f>VLOOKUP(B7588,'REGISTRO ABONOS'!$B$8:$BC$10041,54,0)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hidden="1" x14ac:dyDescent="0.2">
      <c r="B7589" s="31">
        <v>7580</v>
      </c>
      <c r="J7589">
        <f t="shared" si="123"/>
        <v>105000</v>
      </c>
      <c r="K7589" t="e">
        <f>VLOOKUP(B7589,'REGISTRO ABONOS'!$B$8:$BC$10041,54,0)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hidden="1" x14ac:dyDescent="0.2">
      <c r="B7590" s="31">
        <v>7581</v>
      </c>
      <c r="J7590">
        <f t="shared" si="123"/>
        <v>105000</v>
      </c>
      <c r="K7590" t="e">
        <f>VLOOKUP(B7590,'REGISTRO ABONOS'!$B$8:$BC$10041,54,0)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hidden="1" x14ac:dyDescent="0.2">
      <c r="B7591" s="31">
        <v>7582</v>
      </c>
      <c r="J7591">
        <f t="shared" si="123"/>
        <v>105000</v>
      </c>
      <c r="K7591" t="e">
        <f>VLOOKUP(B7591,'REGISTRO ABONOS'!$B$8:$BC$10041,54,0)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hidden="1" x14ac:dyDescent="0.2">
      <c r="B7592" s="31">
        <v>7583</v>
      </c>
      <c r="J7592">
        <f t="shared" si="123"/>
        <v>105000</v>
      </c>
      <c r="K7592" t="e">
        <f>VLOOKUP(B7592,'REGISTRO ABONOS'!$B$8:$BC$10041,54,0)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hidden="1" x14ac:dyDescent="0.2">
      <c r="B7593" s="31">
        <v>7584</v>
      </c>
      <c r="J7593">
        <f t="shared" si="123"/>
        <v>105000</v>
      </c>
      <c r="K7593" t="e">
        <f>VLOOKUP(B7593,'REGISTRO ABONOS'!$B$8:$BC$10041,54,0)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hidden="1" x14ac:dyDescent="0.2">
      <c r="B7594" s="31">
        <v>7585</v>
      </c>
      <c r="J7594">
        <f t="shared" si="123"/>
        <v>105000</v>
      </c>
      <c r="K7594" t="e">
        <f>VLOOKUP(B7594,'REGISTRO ABONOS'!$B$8:$BC$10041,54,0)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hidden="1" x14ac:dyDescent="0.2">
      <c r="B7595" s="31">
        <v>7586</v>
      </c>
      <c r="J7595">
        <f t="shared" si="123"/>
        <v>105000</v>
      </c>
      <c r="K7595" t="e">
        <f>VLOOKUP(B7595,'REGISTRO ABONOS'!$B$8:$BC$10041,54,0)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hidden="1" x14ac:dyDescent="0.2">
      <c r="B7596" s="31">
        <v>7587</v>
      </c>
      <c r="J7596">
        <f t="shared" si="123"/>
        <v>105000</v>
      </c>
      <c r="K7596" t="e">
        <f>VLOOKUP(B7596,'REGISTRO ABONOS'!$B$8:$BC$10041,54,0)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hidden="1" x14ac:dyDescent="0.2">
      <c r="B7597" s="31">
        <v>7588</v>
      </c>
      <c r="J7597">
        <f t="shared" si="123"/>
        <v>105000</v>
      </c>
      <c r="K7597" t="e">
        <f>VLOOKUP(B7597,'REGISTRO ABONOS'!$B$8:$BC$10041,54,0)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hidden="1" x14ac:dyDescent="0.2">
      <c r="B7598" s="31">
        <v>7589</v>
      </c>
      <c r="J7598">
        <f t="shared" si="123"/>
        <v>105000</v>
      </c>
      <c r="K7598" t="e">
        <f>VLOOKUP(B7598,'REGISTRO ABONOS'!$B$8:$BC$10041,54,0)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hidden="1" x14ac:dyDescent="0.2">
      <c r="B7599" s="31">
        <v>7590</v>
      </c>
      <c r="J7599">
        <f t="shared" si="123"/>
        <v>105000</v>
      </c>
      <c r="K7599" t="e">
        <f>VLOOKUP(B7599,'REGISTRO ABONOS'!$B$8:$BC$10041,54,0)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hidden="1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ABONOS'!$B$8:$BC$10041,54,0)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hidden="1" x14ac:dyDescent="0.2">
      <c r="B7601" s="31">
        <v>7592</v>
      </c>
      <c r="J7601">
        <f t="shared" si="124"/>
        <v>105000</v>
      </c>
      <c r="K7601" t="e">
        <f>VLOOKUP(B7601,'REGISTRO ABONOS'!$B$8:$BC$10041,54,0)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hidden="1" x14ac:dyDescent="0.2">
      <c r="B7602" s="31">
        <v>7593</v>
      </c>
      <c r="J7602">
        <f t="shared" si="124"/>
        <v>105000</v>
      </c>
      <c r="K7602" t="e">
        <f>VLOOKUP(B7602,'REGISTRO ABONOS'!$B$8:$BC$10041,54,0)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hidden="1" x14ac:dyDescent="0.2">
      <c r="B7603" s="31">
        <v>7594</v>
      </c>
      <c r="J7603">
        <f t="shared" si="124"/>
        <v>105000</v>
      </c>
      <c r="K7603" t="e">
        <f>VLOOKUP(B7603,'REGISTRO ABONOS'!$B$8:$BC$10041,54,0)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hidden="1" x14ac:dyDescent="0.2">
      <c r="B7604" s="31">
        <v>7595</v>
      </c>
      <c r="J7604">
        <f t="shared" si="124"/>
        <v>105000</v>
      </c>
      <c r="K7604" t="e">
        <f>VLOOKUP(B7604,'REGISTRO ABONOS'!$B$8:$BC$10041,54,0)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hidden="1" x14ac:dyDescent="0.2">
      <c r="B7605" s="31">
        <v>7596</v>
      </c>
      <c r="J7605">
        <f t="shared" si="124"/>
        <v>105000</v>
      </c>
      <c r="K7605" t="e">
        <f>VLOOKUP(B7605,'REGISTRO ABONOS'!$B$8:$BC$10041,54,0)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hidden="1" x14ac:dyDescent="0.2">
      <c r="B7606" s="31">
        <v>7597</v>
      </c>
      <c r="J7606">
        <f t="shared" si="124"/>
        <v>105000</v>
      </c>
      <c r="K7606" t="e">
        <f>VLOOKUP(B7606,'REGISTRO ABONOS'!$B$8:$BC$10041,54,0)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hidden="1" x14ac:dyDescent="0.2">
      <c r="B7607" s="31">
        <v>7598</v>
      </c>
      <c r="J7607">
        <f t="shared" si="124"/>
        <v>105000</v>
      </c>
      <c r="K7607" t="e">
        <f>VLOOKUP(B7607,'REGISTRO ABONOS'!$B$8:$BC$10041,54,0)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hidden="1" x14ac:dyDescent="0.2">
      <c r="B7608" s="31">
        <v>7599</v>
      </c>
      <c r="J7608">
        <f t="shared" si="124"/>
        <v>105000</v>
      </c>
      <c r="K7608" t="e">
        <f>VLOOKUP(B7608,'REGISTRO ABONOS'!$B$8:$BC$10041,54,0)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hidden="1" x14ac:dyDescent="0.2">
      <c r="B7609" s="31">
        <v>7600</v>
      </c>
      <c r="J7609">
        <f t="shared" si="124"/>
        <v>105000</v>
      </c>
      <c r="K7609" t="e">
        <f>VLOOKUP(B7609,'REGISTRO ABONOS'!$B$8:$BC$10041,54,0)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hidden="1" x14ac:dyDescent="0.2">
      <c r="B7610" s="31">
        <v>7601</v>
      </c>
      <c r="J7610">
        <f t="shared" si="124"/>
        <v>105000</v>
      </c>
      <c r="K7610" t="e">
        <f>VLOOKUP(B7610,'REGISTRO ABONOS'!$B$8:$BC$10041,54,0)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hidden="1" x14ac:dyDescent="0.2">
      <c r="B7611" s="31">
        <v>7602</v>
      </c>
      <c r="J7611">
        <f t="shared" si="124"/>
        <v>105000</v>
      </c>
      <c r="K7611" t="e">
        <f>VLOOKUP(B7611,'REGISTRO ABONOS'!$B$8:$BC$10041,54,0)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hidden="1" x14ac:dyDescent="0.2">
      <c r="B7612" s="31">
        <v>7603</v>
      </c>
      <c r="J7612">
        <f t="shared" si="124"/>
        <v>105000</v>
      </c>
      <c r="K7612" t="e">
        <f>VLOOKUP(B7612,'REGISTRO ABONOS'!$B$8:$BC$10041,54,0)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hidden="1" x14ac:dyDescent="0.2">
      <c r="B7613" s="31">
        <v>7604</v>
      </c>
      <c r="J7613">
        <f t="shared" si="124"/>
        <v>105000</v>
      </c>
      <c r="K7613" t="e">
        <f>VLOOKUP(B7613,'REGISTRO ABONOS'!$B$8:$BC$10041,54,0)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hidden="1" x14ac:dyDescent="0.2">
      <c r="B7614" s="31">
        <v>7605</v>
      </c>
      <c r="J7614">
        <f t="shared" si="124"/>
        <v>105000</v>
      </c>
      <c r="K7614" t="e">
        <f>VLOOKUP(B7614,'REGISTRO ABONOS'!$B$8:$BC$10041,54,0)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hidden="1" x14ac:dyDescent="0.2">
      <c r="B7615" s="31">
        <v>7606</v>
      </c>
      <c r="J7615">
        <f t="shared" si="124"/>
        <v>105000</v>
      </c>
      <c r="K7615" t="e">
        <f>VLOOKUP(B7615,'REGISTRO ABONOS'!$B$8:$BC$10041,54,0)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hidden="1" x14ac:dyDescent="0.2">
      <c r="B7616" s="31">
        <v>7607</v>
      </c>
      <c r="J7616">
        <f t="shared" si="124"/>
        <v>105000</v>
      </c>
      <c r="K7616" t="e">
        <f>VLOOKUP(B7616,'REGISTRO ABONOS'!$B$8:$BC$10041,54,0)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hidden="1" x14ac:dyDescent="0.2">
      <c r="B7617" s="31">
        <v>7608</v>
      </c>
      <c r="J7617">
        <f t="shared" si="124"/>
        <v>105000</v>
      </c>
      <c r="K7617" t="e">
        <f>VLOOKUP(B7617,'REGISTRO ABONOS'!$B$8:$BC$10041,54,0)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hidden="1" x14ac:dyDescent="0.2">
      <c r="B7618" s="31">
        <v>7609</v>
      </c>
      <c r="J7618">
        <f t="shared" si="124"/>
        <v>105000</v>
      </c>
      <c r="K7618" t="e">
        <f>VLOOKUP(B7618,'REGISTRO ABONOS'!$B$8:$BC$10041,54,0)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hidden="1" x14ac:dyDescent="0.2">
      <c r="B7619" s="31">
        <v>7610</v>
      </c>
      <c r="J7619">
        <f t="shared" si="124"/>
        <v>105000</v>
      </c>
      <c r="K7619" t="e">
        <f>VLOOKUP(B7619,'REGISTRO ABONOS'!$B$8:$BC$10041,54,0)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hidden="1" x14ac:dyDescent="0.2">
      <c r="B7620" s="31">
        <v>7611</v>
      </c>
      <c r="J7620">
        <f t="shared" si="124"/>
        <v>105000</v>
      </c>
      <c r="K7620" t="e">
        <f>VLOOKUP(B7620,'REGISTRO ABONOS'!$B$8:$BC$10041,54,0)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hidden="1" x14ac:dyDescent="0.2">
      <c r="B7621" s="31">
        <v>7612</v>
      </c>
      <c r="J7621">
        <f t="shared" si="124"/>
        <v>105000</v>
      </c>
      <c r="K7621" t="e">
        <f>VLOOKUP(B7621,'REGISTRO ABONOS'!$B$8:$BC$10041,54,0)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hidden="1" x14ac:dyDescent="0.2">
      <c r="B7622" s="31">
        <v>7613</v>
      </c>
      <c r="J7622">
        <f t="shared" si="124"/>
        <v>105000</v>
      </c>
      <c r="K7622" t="e">
        <f>VLOOKUP(B7622,'REGISTRO ABONOS'!$B$8:$BC$10041,54,0)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hidden="1" x14ac:dyDescent="0.2">
      <c r="B7623" s="31">
        <v>7614</v>
      </c>
      <c r="J7623">
        <f t="shared" si="124"/>
        <v>105000</v>
      </c>
      <c r="K7623" t="e">
        <f>VLOOKUP(B7623,'REGISTRO ABONOS'!$B$8:$BC$10041,54,0)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hidden="1" x14ac:dyDescent="0.2">
      <c r="B7624" s="31">
        <v>7615</v>
      </c>
      <c r="J7624">
        <f t="shared" si="124"/>
        <v>105000</v>
      </c>
      <c r="K7624" t="e">
        <f>VLOOKUP(B7624,'REGISTRO ABONOS'!$B$8:$BC$10041,54,0)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hidden="1" x14ac:dyDescent="0.2">
      <c r="B7625" s="31">
        <v>7616</v>
      </c>
      <c r="J7625">
        <f t="shared" si="124"/>
        <v>105000</v>
      </c>
      <c r="K7625" t="e">
        <f>VLOOKUP(B7625,'REGISTRO ABONOS'!$B$8:$BC$10041,54,0)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hidden="1" x14ac:dyDescent="0.2">
      <c r="B7626" s="31">
        <v>7617</v>
      </c>
      <c r="J7626">
        <f t="shared" si="124"/>
        <v>105000</v>
      </c>
      <c r="K7626" t="e">
        <f>VLOOKUP(B7626,'REGISTRO ABONOS'!$B$8:$BC$10041,54,0)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hidden="1" x14ac:dyDescent="0.2">
      <c r="B7627" s="31">
        <v>7618</v>
      </c>
      <c r="J7627">
        <f t="shared" si="124"/>
        <v>105000</v>
      </c>
      <c r="K7627" t="e">
        <f>VLOOKUP(B7627,'REGISTRO ABONOS'!$B$8:$BC$10041,54,0)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hidden="1" x14ac:dyDescent="0.2">
      <c r="B7628" s="31">
        <v>7619</v>
      </c>
      <c r="C7628" s="10">
        <v>43571</v>
      </c>
      <c r="D7628" t="s">
        <v>517</v>
      </c>
      <c r="H7628" t="s">
        <v>517</v>
      </c>
      <c r="I7628" t="s">
        <v>322</v>
      </c>
      <c r="J7628">
        <f t="shared" si="124"/>
        <v>105000</v>
      </c>
      <c r="K7628" t="e">
        <f>VLOOKUP(B7628,'REGISTRO ABONOS'!$B$8:$BC$10041,54,0)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hidden="1" x14ac:dyDescent="0.2">
      <c r="B7629" s="31">
        <v>7620</v>
      </c>
      <c r="J7629">
        <f t="shared" si="124"/>
        <v>105000</v>
      </c>
      <c r="K7629" t="e">
        <f>VLOOKUP(B7629,'REGISTRO ABONOS'!$B$8:$BC$10041,54,0)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hidden="1" x14ac:dyDescent="0.2">
      <c r="B7630" s="31">
        <v>7621</v>
      </c>
      <c r="J7630">
        <f t="shared" si="124"/>
        <v>105000</v>
      </c>
      <c r="K7630" t="e">
        <f>VLOOKUP(B7630,'REGISTRO ABONOS'!$B$8:$BC$10041,54,0)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hidden="1" x14ac:dyDescent="0.2">
      <c r="B7631" s="31">
        <v>7622</v>
      </c>
      <c r="J7631">
        <f t="shared" si="124"/>
        <v>105000</v>
      </c>
      <c r="K7631" t="e">
        <f>VLOOKUP(B7631,'REGISTRO ABONOS'!$B$8:$BC$10041,54,0)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hidden="1" x14ac:dyDescent="0.2">
      <c r="B7632" s="31">
        <v>7623</v>
      </c>
      <c r="J7632">
        <f t="shared" si="124"/>
        <v>105000</v>
      </c>
      <c r="K7632" t="e">
        <f>VLOOKUP(B7632,'REGISTRO ABONOS'!$B$8:$BC$10041,54,0)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hidden="1" x14ac:dyDescent="0.2">
      <c r="B7633" s="31">
        <v>7624</v>
      </c>
      <c r="J7633">
        <f t="shared" si="124"/>
        <v>105000</v>
      </c>
      <c r="K7633" t="e">
        <f>VLOOKUP(B7633,'REGISTRO ABONOS'!$B$8:$BC$10041,54,0)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hidden="1" x14ac:dyDescent="0.2">
      <c r="B7634" s="31">
        <v>7625</v>
      </c>
      <c r="J7634">
        <f t="shared" si="124"/>
        <v>105000</v>
      </c>
      <c r="K7634" t="e">
        <f>VLOOKUP(B7634,'REGISTRO ABONOS'!$B$8:$BC$10041,54,0)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hidden="1" x14ac:dyDescent="0.2">
      <c r="B7635" s="31">
        <v>7626</v>
      </c>
      <c r="J7635">
        <f t="shared" si="124"/>
        <v>105000</v>
      </c>
      <c r="K7635" t="e">
        <f>VLOOKUP(B7635,'REGISTRO ABONOS'!$B$8:$BC$10041,54,0)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4"/>
        <v>105000</v>
      </c>
      <c r="K7636" t="e">
        <f>VLOOKUP(B7636,'REGISTRO ABONOS'!$B$8:$BC$10041,54,0)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hidden="1" x14ac:dyDescent="0.2">
      <c r="B7637" s="31">
        <v>7628</v>
      </c>
      <c r="J7637">
        <f t="shared" si="124"/>
        <v>105000</v>
      </c>
      <c r="K7637" t="e">
        <f>VLOOKUP(B7637,'REGISTRO ABONOS'!$B$8:$BC$10041,54,0)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hidden="1" x14ac:dyDescent="0.2">
      <c r="B7638" s="31">
        <v>7629</v>
      </c>
      <c r="J7638">
        <f t="shared" si="124"/>
        <v>105000</v>
      </c>
      <c r="K7638" t="e">
        <f>VLOOKUP(B7638,'REGISTRO ABONOS'!$B$8:$BC$10041,54,0)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hidden="1" x14ac:dyDescent="0.2">
      <c r="B7639" s="31">
        <v>7630</v>
      </c>
      <c r="J7639">
        <f t="shared" si="124"/>
        <v>105000</v>
      </c>
      <c r="K7639" t="e">
        <f>VLOOKUP(B7639,'REGISTRO ABONOS'!$B$8:$BC$10041,54,0)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hidden="1" x14ac:dyDescent="0.2">
      <c r="B7640" s="31">
        <v>7631</v>
      </c>
      <c r="J7640">
        <f t="shared" si="124"/>
        <v>105000</v>
      </c>
      <c r="K7640" t="e">
        <f>VLOOKUP(B7640,'REGISTRO ABONOS'!$B$8:$BC$10041,54,0)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hidden="1" x14ac:dyDescent="0.2">
      <c r="B7641" s="31">
        <v>7632</v>
      </c>
      <c r="J7641">
        <f t="shared" si="124"/>
        <v>105000</v>
      </c>
      <c r="K7641" t="e">
        <f>VLOOKUP(B7641,'REGISTRO ABONOS'!$B$8:$BC$10041,54,0)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hidden="1" x14ac:dyDescent="0.2">
      <c r="B7642" s="31">
        <v>7633</v>
      </c>
      <c r="J7642">
        <f t="shared" si="124"/>
        <v>105000</v>
      </c>
      <c r="K7642" t="e">
        <f>VLOOKUP(B7642,'REGISTRO ABONOS'!$B$8:$BC$10041,54,0)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hidden="1" x14ac:dyDescent="0.2">
      <c r="B7643" s="31">
        <v>7634</v>
      </c>
      <c r="J7643">
        <f t="shared" si="124"/>
        <v>105000</v>
      </c>
      <c r="K7643" t="e">
        <f>VLOOKUP(B7643,'REGISTRO ABONOS'!$B$8:$BC$10041,54,0)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hidden="1" x14ac:dyDescent="0.2">
      <c r="B7644" s="31">
        <v>7635</v>
      </c>
      <c r="J7644">
        <f t="shared" si="124"/>
        <v>105000</v>
      </c>
      <c r="K7644" t="e">
        <f>VLOOKUP(B7644,'REGISTRO ABONOS'!$B$8:$BC$10041,54,0)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hidden="1" x14ac:dyDescent="0.2">
      <c r="B7645" s="31">
        <v>7636</v>
      </c>
      <c r="J7645">
        <f t="shared" si="124"/>
        <v>105000</v>
      </c>
      <c r="K7645" t="e">
        <f>VLOOKUP(B7645,'REGISTRO ABONOS'!$B$8:$BC$10041,54,0)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hidden="1" x14ac:dyDescent="0.2">
      <c r="B7646" s="31">
        <v>7637</v>
      </c>
      <c r="J7646">
        <f t="shared" si="124"/>
        <v>105000</v>
      </c>
      <c r="K7646" t="e">
        <f>VLOOKUP(B7646,'REGISTRO ABONOS'!$B$8:$BC$10041,54,0)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hidden="1" x14ac:dyDescent="0.2">
      <c r="B7647" s="31">
        <v>7638</v>
      </c>
      <c r="J7647">
        <f t="shared" si="124"/>
        <v>105000</v>
      </c>
      <c r="K7647" t="e">
        <f>VLOOKUP(B7647,'REGISTRO ABONOS'!$B$8:$BC$10041,54,0)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hidden="1" x14ac:dyDescent="0.2">
      <c r="B7648" s="31">
        <v>7639</v>
      </c>
      <c r="J7648">
        <f t="shared" si="124"/>
        <v>105000</v>
      </c>
      <c r="K7648" t="e">
        <f>VLOOKUP(B7648,'REGISTRO ABONOS'!$B$8:$BC$10041,54,0)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hidden="1" x14ac:dyDescent="0.2">
      <c r="B7649" s="31">
        <v>7640</v>
      </c>
      <c r="J7649">
        <f t="shared" si="124"/>
        <v>105000</v>
      </c>
      <c r="K7649" t="e">
        <f>VLOOKUP(B7649,'REGISTRO ABONOS'!$B$8:$BC$10041,54,0)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hidden="1" x14ac:dyDescent="0.2">
      <c r="B7650" s="31">
        <v>7641</v>
      </c>
      <c r="J7650">
        <f t="shared" si="124"/>
        <v>105000</v>
      </c>
      <c r="K7650" t="e">
        <f>VLOOKUP(B7650,'REGISTRO ABONOS'!$B$8:$BC$10041,54,0)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hidden="1" x14ac:dyDescent="0.2">
      <c r="B7651" s="31">
        <v>7642</v>
      </c>
      <c r="J7651">
        <f t="shared" si="124"/>
        <v>105000</v>
      </c>
      <c r="K7651" t="e">
        <f>VLOOKUP(B7651,'REGISTRO ABONOS'!$B$8:$BC$10041,54,0)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hidden="1" x14ac:dyDescent="0.2">
      <c r="B7652" s="31">
        <v>7643</v>
      </c>
      <c r="J7652">
        <f t="shared" si="124"/>
        <v>105000</v>
      </c>
      <c r="K7652" t="e">
        <f>VLOOKUP(B7652,'REGISTRO ABONOS'!$B$8:$BC$10041,54,0)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hidden="1" x14ac:dyDescent="0.2">
      <c r="B7653" s="31">
        <v>7644</v>
      </c>
      <c r="J7653">
        <f t="shared" si="124"/>
        <v>105000</v>
      </c>
      <c r="K7653" t="e">
        <f>VLOOKUP(B7653,'REGISTRO ABONOS'!$B$8:$BC$10041,54,0)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hidden="1" x14ac:dyDescent="0.2">
      <c r="B7654" s="31">
        <v>7645</v>
      </c>
      <c r="J7654">
        <f t="shared" si="124"/>
        <v>105000</v>
      </c>
      <c r="K7654" t="e">
        <f>VLOOKUP(B7654,'REGISTRO ABONOS'!$B$8:$BC$10041,54,0)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hidden="1" x14ac:dyDescent="0.2">
      <c r="B7655" s="31">
        <v>7646</v>
      </c>
      <c r="J7655">
        <f t="shared" si="124"/>
        <v>105000</v>
      </c>
      <c r="K7655" t="e">
        <f>VLOOKUP(B7655,'REGISTRO ABONOS'!$B$8:$BC$10041,54,0)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hidden="1" x14ac:dyDescent="0.2">
      <c r="B7656" s="31">
        <v>7647</v>
      </c>
      <c r="J7656">
        <f t="shared" si="124"/>
        <v>105000</v>
      </c>
      <c r="K7656" t="e">
        <f>VLOOKUP(B7656,'REGISTRO ABONOS'!$B$8:$BC$10041,54,0)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hidden="1" x14ac:dyDescent="0.2">
      <c r="B7657" s="31">
        <v>7648</v>
      </c>
      <c r="J7657">
        <f t="shared" si="124"/>
        <v>105000</v>
      </c>
      <c r="K7657" t="e">
        <f>VLOOKUP(B7657,'REGISTRO ABONOS'!$B$8:$BC$10041,54,0)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hidden="1" x14ac:dyDescent="0.2">
      <c r="B7658" s="31">
        <v>7649</v>
      </c>
      <c r="J7658">
        <f t="shared" si="124"/>
        <v>105000</v>
      </c>
      <c r="K7658" t="e">
        <f>VLOOKUP(B7658,'REGISTRO ABONOS'!$B$8:$BC$10041,54,0)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hidden="1" x14ac:dyDescent="0.2">
      <c r="B7659" s="31">
        <v>7650</v>
      </c>
      <c r="J7659">
        <f t="shared" si="124"/>
        <v>105000</v>
      </c>
      <c r="K7659" t="e">
        <f>VLOOKUP(B7659,'REGISTRO ABONOS'!$B$8:$BC$10041,54,0)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hidden="1" x14ac:dyDescent="0.2">
      <c r="B7660" s="31">
        <v>7651</v>
      </c>
      <c r="J7660">
        <f t="shared" si="124"/>
        <v>105000</v>
      </c>
      <c r="K7660" t="e">
        <f>VLOOKUP(B7660,'REGISTRO ABONOS'!$B$8:$BC$10041,54,0)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hidden="1" x14ac:dyDescent="0.2">
      <c r="B7661" s="31">
        <v>7652</v>
      </c>
      <c r="J7661">
        <f t="shared" si="124"/>
        <v>105000</v>
      </c>
      <c r="K7661" t="e">
        <f>VLOOKUP(B7661,'REGISTRO ABONOS'!$B$8:$BC$10041,54,0)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hidden="1" x14ac:dyDescent="0.2">
      <c r="B7662" s="31">
        <v>7653</v>
      </c>
      <c r="J7662">
        <f t="shared" si="124"/>
        <v>105000</v>
      </c>
      <c r="K7662" t="e">
        <f>VLOOKUP(B7662,'REGISTRO ABONOS'!$B$8:$BC$10041,54,0)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hidden="1" x14ac:dyDescent="0.2">
      <c r="B7663" s="31">
        <v>7654</v>
      </c>
      <c r="J7663">
        <f t="shared" si="124"/>
        <v>105000</v>
      </c>
      <c r="K7663" t="e">
        <f>VLOOKUP(B7663,'REGISTRO ABONOS'!$B$8:$BC$10041,54,0)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hidden="1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ABONOS'!$B$8:$BC$10041,54,0)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hidden="1" x14ac:dyDescent="0.2">
      <c r="B7665" s="31">
        <v>7656</v>
      </c>
      <c r="J7665">
        <f t="shared" si="125"/>
        <v>105000</v>
      </c>
      <c r="K7665" t="e">
        <f>VLOOKUP(B7665,'REGISTRO ABONOS'!$B$8:$BC$10041,54,0)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hidden="1" x14ac:dyDescent="0.2">
      <c r="B7666" s="31">
        <v>7657</v>
      </c>
      <c r="J7666">
        <f t="shared" si="125"/>
        <v>105000</v>
      </c>
      <c r="K7666" t="e">
        <f>VLOOKUP(B7666,'REGISTRO ABONOS'!$B$8:$BC$10041,54,0)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hidden="1" x14ac:dyDescent="0.2">
      <c r="B7667" s="31">
        <v>7658</v>
      </c>
      <c r="J7667">
        <f t="shared" si="125"/>
        <v>105000</v>
      </c>
      <c r="K7667" t="e">
        <f>VLOOKUP(B7667,'REGISTRO ABONOS'!$B$8:$BC$10041,54,0)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hidden="1" x14ac:dyDescent="0.2">
      <c r="B7668" s="31">
        <v>7659</v>
      </c>
      <c r="J7668">
        <f t="shared" si="125"/>
        <v>105000</v>
      </c>
      <c r="K7668" t="e">
        <f>VLOOKUP(B7668,'REGISTRO ABONOS'!$B$8:$BC$10041,54,0)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hidden="1" x14ac:dyDescent="0.2">
      <c r="B7669" s="31">
        <v>7660</v>
      </c>
      <c r="J7669">
        <f t="shared" si="125"/>
        <v>105000</v>
      </c>
      <c r="K7669" t="e">
        <f>VLOOKUP(B7669,'REGISTRO ABONOS'!$B$8:$BC$10041,54,0)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hidden="1" x14ac:dyDescent="0.2">
      <c r="B7670" s="31">
        <v>7661</v>
      </c>
      <c r="J7670">
        <f t="shared" si="125"/>
        <v>105000</v>
      </c>
      <c r="K7670" t="e">
        <f>VLOOKUP(B7670,'REGISTRO ABONOS'!$B$8:$BC$10041,54,0)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hidden="1" x14ac:dyDescent="0.2">
      <c r="B7671" s="31">
        <v>7662</v>
      </c>
      <c r="J7671">
        <f t="shared" si="125"/>
        <v>105000</v>
      </c>
      <c r="K7671" t="e">
        <f>VLOOKUP(B7671,'REGISTRO ABONOS'!$B$8:$BC$10041,54,0)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hidden="1" x14ac:dyDescent="0.2">
      <c r="B7672" s="31">
        <v>7663</v>
      </c>
      <c r="J7672">
        <f t="shared" si="125"/>
        <v>105000</v>
      </c>
      <c r="K7672" t="e">
        <f>VLOOKUP(B7672,'REGISTRO ABONOS'!$B$8:$BC$10041,54,0)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hidden="1" x14ac:dyDescent="0.2">
      <c r="B7673" s="31">
        <v>7664</v>
      </c>
      <c r="J7673">
        <f t="shared" si="125"/>
        <v>105000</v>
      </c>
      <c r="K7673" t="e">
        <f>VLOOKUP(B7673,'REGISTRO ABONOS'!$B$8:$BC$10041,54,0)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hidden="1" x14ac:dyDescent="0.2">
      <c r="B7674" s="31">
        <v>7665</v>
      </c>
      <c r="J7674">
        <f t="shared" si="125"/>
        <v>105000</v>
      </c>
      <c r="K7674" t="e">
        <f>VLOOKUP(B7674,'REGISTRO ABONOS'!$B$8:$BC$10041,54,0)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hidden="1" x14ac:dyDescent="0.2">
      <c r="B7675" s="31">
        <v>7666</v>
      </c>
      <c r="J7675">
        <f t="shared" si="125"/>
        <v>105000</v>
      </c>
      <c r="K7675" t="e">
        <f>VLOOKUP(B7675,'REGISTRO ABONOS'!$B$8:$BC$10041,54,0)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hidden="1" x14ac:dyDescent="0.2">
      <c r="B7676" s="31">
        <v>7667</v>
      </c>
      <c r="J7676">
        <f t="shared" si="125"/>
        <v>105000</v>
      </c>
      <c r="K7676" t="e">
        <f>VLOOKUP(B7676,'REGISTRO ABONOS'!$B$8:$BC$10041,54,0)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hidden="1" x14ac:dyDescent="0.2">
      <c r="B7677" s="31">
        <v>7668</v>
      </c>
      <c r="J7677">
        <f t="shared" si="125"/>
        <v>105000</v>
      </c>
      <c r="K7677" t="e">
        <f>VLOOKUP(B7677,'REGISTRO ABONOS'!$B$8:$BC$10041,54,0)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hidden="1" x14ac:dyDescent="0.2">
      <c r="B7678" s="31">
        <v>7669</v>
      </c>
      <c r="J7678">
        <f t="shared" si="125"/>
        <v>105000</v>
      </c>
      <c r="K7678" t="e">
        <f>VLOOKUP(B7678,'REGISTRO ABONOS'!$B$8:$BC$10041,54,0)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hidden="1" x14ac:dyDescent="0.2">
      <c r="B7679" s="31">
        <v>7670</v>
      </c>
      <c r="J7679">
        <f t="shared" si="125"/>
        <v>105000</v>
      </c>
      <c r="K7679" t="e">
        <f>VLOOKUP(B7679,'REGISTRO ABONOS'!$B$8:$BC$10041,54,0)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hidden="1" x14ac:dyDescent="0.2">
      <c r="B7680" s="31">
        <v>7671</v>
      </c>
      <c r="J7680">
        <f t="shared" si="125"/>
        <v>105000</v>
      </c>
      <c r="K7680" t="e">
        <f>VLOOKUP(B7680,'REGISTRO ABONOS'!$B$8:$BC$10041,54,0)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hidden="1" x14ac:dyDescent="0.2">
      <c r="B7681" s="31">
        <v>7672</v>
      </c>
      <c r="J7681">
        <f t="shared" si="125"/>
        <v>105000</v>
      </c>
      <c r="K7681" t="e">
        <f>VLOOKUP(B7681,'REGISTRO ABONOS'!$B$8:$BC$10041,54,0)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hidden="1" x14ac:dyDescent="0.2">
      <c r="B7682" s="31">
        <v>7673</v>
      </c>
      <c r="J7682">
        <f t="shared" si="125"/>
        <v>105000</v>
      </c>
      <c r="K7682" t="e">
        <f>VLOOKUP(B7682,'REGISTRO ABONOS'!$B$8:$BC$10041,54,0)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hidden="1" x14ac:dyDescent="0.2">
      <c r="B7683" s="31">
        <v>7674</v>
      </c>
      <c r="J7683">
        <f t="shared" si="125"/>
        <v>105000</v>
      </c>
      <c r="K7683" t="e">
        <f>VLOOKUP(B7683,'REGISTRO ABONOS'!$B$8:$BC$10041,54,0)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hidden="1" x14ac:dyDescent="0.2">
      <c r="B7684" s="31">
        <v>7675</v>
      </c>
      <c r="J7684">
        <f t="shared" si="125"/>
        <v>105000</v>
      </c>
      <c r="K7684" t="e">
        <f>VLOOKUP(B7684,'REGISTRO ABONOS'!$B$8:$BC$10041,54,0)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hidden="1" x14ac:dyDescent="0.2">
      <c r="B7685" s="31">
        <v>7676</v>
      </c>
      <c r="J7685">
        <f t="shared" si="125"/>
        <v>105000</v>
      </c>
      <c r="K7685" t="e">
        <f>VLOOKUP(B7685,'REGISTRO ABONOS'!$B$8:$BC$10041,54,0)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hidden="1" x14ac:dyDescent="0.2">
      <c r="B7686" s="31">
        <v>7677</v>
      </c>
      <c r="J7686">
        <f t="shared" si="125"/>
        <v>105000</v>
      </c>
      <c r="K7686" t="e">
        <f>VLOOKUP(B7686,'REGISTRO ABONOS'!$B$8:$BC$10041,54,0)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hidden="1" x14ac:dyDescent="0.2">
      <c r="B7687" s="31">
        <v>7678</v>
      </c>
      <c r="J7687">
        <f t="shared" si="125"/>
        <v>105000</v>
      </c>
      <c r="K7687" t="e">
        <f>VLOOKUP(B7687,'REGISTRO ABONOS'!$B$8:$BC$10041,54,0)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hidden="1" x14ac:dyDescent="0.2">
      <c r="B7688" s="31">
        <v>7679</v>
      </c>
      <c r="J7688">
        <f t="shared" si="125"/>
        <v>105000</v>
      </c>
      <c r="K7688" t="e">
        <f>VLOOKUP(B7688,'REGISTRO ABONOS'!$B$8:$BC$10041,54,0)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hidden="1" x14ac:dyDescent="0.2">
      <c r="B7689" s="31">
        <v>7680</v>
      </c>
      <c r="J7689">
        <f t="shared" si="125"/>
        <v>105000</v>
      </c>
      <c r="K7689" t="e">
        <f>VLOOKUP(B7689,'REGISTRO ABONOS'!$B$8:$BC$10041,54,0)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hidden="1" x14ac:dyDescent="0.2">
      <c r="B7690" s="31">
        <v>7681</v>
      </c>
      <c r="J7690">
        <f t="shared" si="125"/>
        <v>105000</v>
      </c>
      <c r="K7690" t="e">
        <f>VLOOKUP(B7690,'REGISTRO ABONOS'!$B$8:$BC$10041,54,0)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hidden="1" x14ac:dyDescent="0.2">
      <c r="B7691" s="31">
        <v>7682</v>
      </c>
      <c r="J7691">
        <f t="shared" si="125"/>
        <v>105000</v>
      </c>
      <c r="K7691" t="e">
        <f>VLOOKUP(B7691,'REGISTRO ABONOS'!$B$8:$BC$10041,54,0)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hidden="1" x14ac:dyDescent="0.2">
      <c r="B7692" s="31">
        <v>7683</v>
      </c>
      <c r="J7692">
        <f t="shared" si="125"/>
        <v>105000</v>
      </c>
      <c r="K7692" t="e">
        <f>VLOOKUP(B7692,'REGISTRO ABONOS'!$B$8:$BC$10041,54,0)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hidden="1" x14ac:dyDescent="0.2">
      <c r="B7693" s="31">
        <v>7684</v>
      </c>
      <c r="J7693">
        <f t="shared" si="125"/>
        <v>105000</v>
      </c>
      <c r="K7693" t="e">
        <f>VLOOKUP(B7693,'REGISTRO ABONOS'!$B$8:$BC$10041,54,0)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hidden="1" x14ac:dyDescent="0.2">
      <c r="B7694" s="31">
        <v>7685</v>
      </c>
      <c r="J7694">
        <f t="shared" si="125"/>
        <v>105000</v>
      </c>
      <c r="K7694" t="e">
        <f>VLOOKUP(B7694,'REGISTRO ABONOS'!$B$8:$BC$10041,54,0)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hidden="1" x14ac:dyDescent="0.2">
      <c r="B7695" s="31">
        <v>7686</v>
      </c>
      <c r="J7695">
        <f t="shared" si="125"/>
        <v>105000</v>
      </c>
      <c r="K7695" t="e">
        <f>VLOOKUP(B7695,'REGISTRO ABONOS'!$B$8:$BC$10041,54,0)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hidden="1" x14ac:dyDescent="0.2">
      <c r="B7696" s="31">
        <v>7687</v>
      </c>
      <c r="J7696">
        <f t="shared" si="125"/>
        <v>105000</v>
      </c>
      <c r="K7696" t="e">
        <f>VLOOKUP(B7696,'REGISTRO ABONOS'!$B$8:$BC$10041,54,0)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hidden="1" x14ac:dyDescent="0.2">
      <c r="B7697" s="31">
        <v>7688</v>
      </c>
      <c r="J7697">
        <f t="shared" si="125"/>
        <v>105000</v>
      </c>
      <c r="K7697" t="e">
        <f>VLOOKUP(B7697,'REGISTRO ABONOS'!$B$8:$BC$10041,54,0)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hidden="1" x14ac:dyDescent="0.2">
      <c r="B7698" s="31">
        <v>7689</v>
      </c>
      <c r="J7698">
        <f t="shared" si="125"/>
        <v>105000</v>
      </c>
      <c r="K7698" t="e">
        <f>VLOOKUP(B7698,'REGISTRO ABONOS'!$B$8:$BC$10041,54,0)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hidden="1" x14ac:dyDescent="0.2">
      <c r="B7699" s="31">
        <v>7690</v>
      </c>
      <c r="J7699">
        <f t="shared" si="125"/>
        <v>105000</v>
      </c>
      <c r="K7699" t="e">
        <f>VLOOKUP(B7699,'REGISTRO ABONOS'!$B$8:$BC$10041,54,0)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hidden="1" x14ac:dyDescent="0.2">
      <c r="B7700" s="31">
        <v>7691</v>
      </c>
      <c r="J7700">
        <f t="shared" si="125"/>
        <v>105000</v>
      </c>
      <c r="K7700" t="e">
        <f>VLOOKUP(B7700,'REGISTRO ABONOS'!$B$8:$BC$10041,54,0)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hidden="1" x14ac:dyDescent="0.2">
      <c r="B7701" s="31">
        <v>7692</v>
      </c>
      <c r="J7701">
        <f t="shared" si="125"/>
        <v>105000</v>
      </c>
      <c r="K7701" t="e">
        <f>VLOOKUP(B7701,'REGISTRO ABONOS'!$B$8:$BC$10041,54,0)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hidden="1" x14ac:dyDescent="0.2">
      <c r="B7702" s="31">
        <v>7693</v>
      </c>
      <c r="J7702">
        <f t="shared" si="125"/>
        <v>105000</v>
      </c>
      <c r="K7702" t="e">
        <f>VLOOKUP(B7702,'REGISTRO ABONOS'!$B$8:$BC$10041,54,0)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hidden="1" x14ac:dyDescent="0.2">
      <c r="B7703" s="31">
        <v>7694</v>
      </c>
      <c r="J7703">
        <f t="shared" si="125"/>
        <v>105000</v>
      </c>
      <c r="K7703" t="e">
        <f>VLOOKUP(B7703,'REGISTRO ABONOS'!$B$8:$BC$10041,54,0)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hidden="1" x14ac:dyDescent="0.2">
      <c r="B7704" s="31">
        <v>7695</v>
      </c>
      <c r="J7704">
        <f t="shared" si="125"/>
        <v>105000</v>
      </c>
      <c r="K7704" t="e">
        <f>VLOOKUP(B7704,'REGISTRO ABONOS'!$B$8:$BC$10041,54,0)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hidden="1" x14ac:dyDescent="0.2">
      <c r="B7705" s="31">
        <v>7696</v>
      </c>
      <c r="J7705">
        <f t="shared" si="125"/>
        <v>105000</v>
      </c>
      <c r="K7705" t="e">
        <f>VLOOKUP(B7705,'REGISTRO ABONOS'!$B$8:$BC$10041,54,0)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hidden="1" x14ac:dyDescent="0.2">
      <c r="B7706" s="31">
        <v>7697</v>
      </c>
      <c r="J7706">
        <f t="shared" si="125"/>
        <v>105000</v>
      </c>
      <c r="K7706" t="e">
        <f>VLOOKUP(B7706,'REGISTRO ABONOS'!$B$8:$BC$10041,54,0)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hidden="1" x14ac:dyDescent="0.2">
      <c r="B7707" s="31">
        <v>7698</v>
      </c>
      <c r="J7707">
        <f t="shared" si="125"/>
        <v>105000</v>
      </c>
      <c r="K7707" t="e">
        <f>VLOOKUP(B7707,'REGISTRO ABONOS'!$B$8:$BC$10041,54,0)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hidden="1" x14ac:dyDescent="0.2">
      <c r="B7708" s="31">
        <v>7699</v>
      </c>
      <c r="J7708">
        <f t="shared" si="125"/>
        <v>105000</v>
      </c>
      <c r="K7708" t="e">
        <f>VLOOKUP(B7708,'REGISTRO ABONOS'!$B$8:$BC$10041,54,0)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hidden="1" x14ac:dyDescent="0.2">
      <c r="B7709" s="31">
        <v>7700</v>
      </c>
      <c r="J7709">
        <f t="shared" si="125"/>
        <v>105000</v>
      </c>
      <c r="K7709" t="e">
        <f>VLOOKUP(B7709,'REGISTRO ABONOS'!$B$8:$BC$10041,54,0)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hidden="1" x14ac:dyDescent="0.2">
      <c r="B7710" s="31">
        <v>7701</v>
      </c>
      <c r="J7710">
        <f t="shared" si="125"/>
        <v>105000</v>
      </c>
      <c r="K7710" t="e">
        <f>VLOOKUP(B7710,'REGISTRO ABONOS'!$B$8:$BC$10041,54,0)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hidden="1" x14ac:dyDescent="0.2">
      <c r="B7711" s="31">
        <v>7702</v>
      </c>
      <c r="J7711">
        <f t="shared" si="125"/>
        <v>105000</v>
      </c>
      <c r="K7711" t="e">
        <f>VLOOKUP(B7711,'REGISTRO ABONOS'!$B$8:$BC$10041,54,0)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hidden="1" x14ac:dyDescent="0.2">
      <c r="B7712" s="31">
        <v>7703</v>
      </c>
      <c r="J7712">
        <f t="shared" si="125"/>
        <v>105000</v>
      </c>
      <c r="K7712" t="e">
        <f>VLOOKUP(B7712,'REGISTRO ABONOS'!$B$8:$BC$10041,54,0)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hidden="1" x14ac:dyDescent="0.2">
      <c r="B7713" s="31">
        <v>7704</v>
      </c>
      <c r="J7713">
        <f t="shared" si="125"/>
        <v>105000</v>
      </c>
      <c r="K7713" t="e">
        <f>VLOOKUP(B7713,'REGISTRO ABONOS'!$B$8:$BC$10041,54,0)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hidden="1" x14ac:dyDescent="0.2">
      <c r="B7714" s="31">
        <v>7705</v>
      </c>
      <c r="J7714">
        <f t="shared" si="125"/>
        <v>105000</v>
      </c>
      <c r="K7714" t="e">
        <f>VLOOKUP(B7714,'REGISTRO ABONOS'!$B$8:$BC$10041,54,0)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hidden="1" x14ac:dyDescent="0.2">
      <c r="B7715" s="31">
        <v>7706</v>
      </c>
      <c r="J7715">
        <f t="shared" si="125"/>
        <v>105000</v>
      </c>
      <c r="K7715" t="e">
        <f>VLOOKUP(B7715,'REGISTRO ABONOS'!$B$8:$BC$10041,54,0)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hidden="1" x14ac:dyDescent="0.2">
      <c r="B7716" s="31">
        <v>7707</v>
      </c>
      <c r="J7716">
        <f t="shared" si="125"/>
        <v>105000</v>
      </c>
      <c r="K7716" t="e">
        <f>VLOOKUP(B7716,'REGISTRO ABONOS'!$B$8:$BC$10041,54,0)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hidden="1" x14ac:dyDescent="0.2">
      <c r="B7717" s="31">
        <v>7708</v>
      </c>
      <c r="J7717">
        <f t="shared" si="125"/>
        <v>105000</v>
      </c>
      <c r="K7717" t="e">
        <f>VLOOKUP(B7717,'REGISTRO ABONOS'!$B$8:$BC$10041,54,0)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hidden="1" x14ac:dyDescent="0.2">
      <c r="B7718" s="31">
        <v>7709</v>
      </c>
      <c r="J7718">
        <f t="shared" si="125"/>
        <v>105000</v>
      </c>
      <c r="K7718" t="e">
        <f>VLOOKUP(B7718,'REGISTRO ABONOS'!$B$8:$BC$10041,54,0)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hidden="1" x14ac:dyDescent="0.2">
      <c r="B7719" s="31">
        <v>7710</v>
      </c>
      <c r="J7719">
        <f t="shared" si="125"/>
        <v>105000</v>
      </c>
      <c r="K7719" t="e">
        <f>VLOOKUP(B7719,'REGISTRO ABONOS'!$B$8:$BC$10041,54,0)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hidden="1" x14ac:dyDescent="0.2">
      <c r="B7720" s="31">
        <v>7711</v>
      </c>
      <c r="J7720">
        <f t="shared" si="125"/>
        <v>105000</v>
      </c>
      <c r="K7720" t="e">
        <f>VLOOKUP(B7720,'REGISTRO ABONOS'!$B$8:$BC$10041,54,0)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5"/>
        <v>105000</v>
      </c>
      <c r="K7721">
        <f>VLOOKUP(B7721,'REGISTRO ABONOS'!$B$8:$BC$10041,54,0)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hidden="1" x14ac:dyDescent="0.2">
      <c r="B7722" s="31">
        <v>7713</v>
      </c>
      <c r="J7722">
        <f t="shared" si="125"/>
        <v>105000</v>
      </c>
      <c r="K7722" t="e">
        <f>VLOOKUP(B7722,'REGISTRO ABONOS'!$B$8:$BC$10041,54,0)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hidden="1" x14ac:dyDescent="0.2">
      <c r="B7723" s="31">
        <v>7714</v>
      </c>
      <c r="J7723">
        <f t="shared" si="125"/>
        <v>105000</v>
      </c>
      <c r="K7723" t="e">
        <f>VLOOKUP(B7723,'REGISTRO ABONOS'!$B$8:$BC$10041,54,0)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5"/>
        <v>105000</v>
      </c>
      <c r="K7724">
        <f>VLOOKUP(B7724,'REGISTRO ABONOS'!$B$8:$BC$10041,54,0)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hidden="1" x14ac:dyDescent="0.2">
      <c r="B7725" s="31">
        <v>7716</v>
      </c>
      <c r="J7725">
        <f t="shared" si="125"/>
        <v>105000</v>
      </c>
      <c r="K7725" t="e">
        <f>VLOOKUP(B7725,'REGISTRO ABONOS'!$B$8:$BC$10041,54,0)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hidden="1" x14ac:dyDescent="0.2">
      <c r="B7726" s="31">
        <v>7717</v>
      </c>
      <c r="J7726">
        <f t="shared" si="125"/>
        <v>105000</v>
      </c>
      <c r="K7726" t="e">
        <f>VLOOKUP(B7726,'REGISTRO ABONOS'!$B$8:$BC$10041,54,0)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hidden="1" x14ac:dyDescent="0.2">
      <c r="B7727" s="31">
        <v>7718</v>
      </c>
      <c r="J7727">
        <f t="shared" si="125"/>
        <v>105000</v>
      </c>
      <c r="K7727" t="e">
        <f>VLOOKUP(B7727,'REGISTRO ABONOS'!$B$8:$BC$10041,54,0)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hidden="1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ABONOS'!$B$8:$BC$10041,54,0)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hidden="1" x14ac:dyDescent="0.2">
      <c r="B7729" s="31">
        <v>7720</v>
      </c>
      <c r="J7729">
        <f t="shared" si="126"/>
        <v>105000</v>
      </c>
      <c r="K7729" t="e">
        <f>VLOOKUP(B7729,'REGISTRO ABONOS'!$B$8:$BC$10041,54,0)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hidden="1" x14ac:dyDescent="0.2">
      <c r="B7730" s="31">
        <v>7721</v>
      </c>
      <c r="J7730">
        <f t="shared" si="126"/>
        <v>105000</v>
      </c>
      <c r="K7730" t="e">
        <f>VLOOKUP(B7730,'REGISTRO ABONOS'!$B$8:$BC$10041,54,0)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hidden="1" x14ac:dyDescent="0.2">
      <c r="B7731" s="31">
        <v>7722</v>
      </c>
      <c r="J7731">
        <f t="shared" si="126"/>
        <v>105000</v>
      </c>
      <c r="K7731" t="e">
        <f>VLOOKUP(B7731,'REGISTRO ABONOS'!$B$8:$BC$10041,54,0)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hidden="1" x14ac:dyDescent="0.2">
      <c r="B7732" s="31">
        <v>7723</v>
      </c>
      <c r="J7732">
        <f t="shared" si="126"/>
        <v>105000</v>
      </c>
      <c r="K7732" t="e">
        <f>VLOOKUP(B7732,'REGISTRO ABONOS'!$B$8:$BC$10041,54,0)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hidden="1" x14ac:dyDescent="0.2">
      <c r="B7733" s="31">
        <v>7724</v>
      </c>
      <c r="J7733">
        <f t="shared" si="126"/>
        <v>105000</v>
      </c>
      <c r="K7733" t="e">
        <f>VLOOKUP(B7733,'REGISTRO ABONOS'!$B$8:$BC$10041,54,0)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hidden="1" x14ac:dyDescent="0.2">
      <c r="B7734" s="31">
        <v>7725</v>
      </c>
      <c r="J7734">
        <f t="shared" si="126"/>
        <v>105000</v>
      </c>
      <c r="K7734" t="e">
        <f>VLOOKUP(B7734,'REGISTRO ABONOS'!$B$8:$BC$10041,54,0)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hidden="1" x14ac:dyDescent="0.2">
      <c r="B7735" s="31">
        <v>7726</v>
      </c>
      <c r="J7735">
        <f t="shared" si="126"/>
        <v>105000</v>
      </c>
      <c r="K7735" t="e">
        <f>VLOOKUP(B7735,'REGISTRO ABONOS'!$B$8:$BC$10041,54,0)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hidden="1" x14ac:dyDescent="0.2">
      <c r="B7736" s="31">
        <v>7727</v>
      </c>
      <c r="J7736">
        <f t="shared" si="126"/>
        <v>105000</v>
      </c>
      <c r="K7736" t="e">
        <f>VLOOKUP(B7736,'REGISTRO ABONOS'!$B$8:$BC$10041,54,0)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hidden="1" x14ac:dyDescent="0.2">
      <c r="B7737" s="31">
        <v>7728</v>
      </c>
      <c r="J7737">
        <f t="shared" si="126"/>
        <v>105000</v>
      </c>
      <c r="K7737" t="e">
        <f>VLOOKUP(B7737,'REGISTRO ABONOS'!$B$8:$BC$10041,54,0)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hidden="1" x14ac:dyDescent="0.2">
      <c r="B7738" s="31">
        <v>7729</v>
      </c>
      <c r="J7738">
        <f t="shared" si="126"/>
        <v>105000</v>
      </c>
      <c r="K7738" t="e">
        <f>VLOOKUP(B7738,'REGISTRO ABONOS'!$B$8:$BC$10041,54,0)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hidden="1" x14ac:dyDescent="0.2">
      <c r="B7739" s="31">
        <v>7730</v>
      </c>
      <c r="J7739">
        <f t="shared" si="126"/>
        <v>105000</v>
      </c>
      <c r="K7739" t="e">
        <f>VLOOKUP(B7739,'REGISTRO ABONOS'!$B$8:$BC$10041,54,0)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hidden="1" x14ac:dyDescent="0.2">
      <c r="B7740" s="31">
        <v>7731</v>
      </c>
      <c r="J7740">
        <f t="shared" si="126"/>
        <v>105000</v>
      </c>
      <c r="K7740" t="e">
        <f>VLOOKUP(B7740,'REGISTRO ABONOS'!$B$8:$BC$10041,54,0)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hidden="1" x14ac:dyDescent="0.2">
      <c r="B7741" s="31">
        <v>7732</v>
      </c>
      <c r="J7741">
        <f t="shared" si="126"/>
        <v>105000</v>
      </c>
      <c r="K7741" t="e">
        <f>VLOOKUP(B7741,'REGISTRO ABONOS'!$B$8:$BC$10041,54,0)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hidden="1" x14ac:dyDescent="0.2">
      <c r="B7742" s="31">
        <v>7733</v>
      </c>
      <c r="J7742">
        <f t="shared" si="126"/>
        <v>105000</v>
      </c>
      <c r="K7742" t="e">
        <f>VLOOKUP(B7742,'REGISTRO ABONOS'!$B$8:$BC$10041,54,0)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hidden="1" x14ac:dyDescent="0.2">
      <c r="B7743" s="31">
        <v>7734</v>
      </c>
      <c r="J7743">
        <f t="shared" si="126"/>
        <v>105000</v>
      </c>
      <c r="K7743" t="e">
        <f>VLOOKUP(B7743,'REGISTRO ABONOS'!$B$8:$BC$10041,54,0)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hidden="1" x14ac:dyDescent="0.2">
      <c r="B7744" s="31">
        <v>7735</v>
      </c>
      <c r="J7744">
        <f t="shared" si="126"/>
        <v>105000</v>
      </c>
      <c r="K7744" t="e">
        <f>VLOOKUP(B7744,'REGISTRO ABONOS'!$B$8:$BC$10041,54,0)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hidden="1" x14ac:dyDescent="0.2">
      <c r="B7745" s="31">
        <v>7736</v>
      </c>
      <c r="J7745">
        <f t="shared" si="126"/>
        <v>105000</v>
      </c>
      <c r="K7745" t="e">
        <f>VLOOKUP(B7745,'REGISTRO ABONOS'!$B$8:$BC$10041,54,0)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hidden="1" x14ac:dyDescent="0.2">
      <c r="B7746" s="31">
        <v>7737</v>
      </c>
      <c r="J7746">
        <f t="shared" si="126"/>
        <v>105000</v>
      </c>
      <c r="K7746" t="e">
        <f>VLOOKUP(B7746,'REGISTRO ABONOS'!$B$8:$BC$10041,54,0)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hidden="1" x14ac:dyDescent="0.2">
      <c r="B7747" s="31">
        <v>7738</v>
      </c>
      <c r="J7747">
        <f t="shared" si="126"/>
        <v>105000</v>
      </c>
      <c r="K7747" t="e">
        <f>VLOOKUP(B7747,'REGISTRO ABONOS'!$B$8:$BC$10041,54,0)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hidden="1" x14ac:dyDescent="0.2">
      <c r="B7748" s="31">
        <v>7739</v>
      </c>
      <c r="J7748">
        <f t="shared" si="126"/>
        <v>105000</v>
      </c>
      <c r="K7748" t="e">
        <f>VLOOKUP(B7748,'REGISTRO ABONOS'!$B$8:$BC$10041,54,0)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hidden="1" x14ac:dyDescent="0.2">
      <c r="B7749" s="31">
        <v>7740</v>
      </c>
      <c r="J7749">
        <f t="shared" si="126"/>
        <v>105000</v>
      </c>
      <c r="K7749" t="e">
        <f>VLOOKUP(B7749,'REGISTRO ABONOS'!$B$8:$BC$10041,54,0)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hidden="1" x14ac:dyDescent="0.2">
      <c r="B7750" s="31">
        <v>7741</v>
      </c>
      <c r="J7750">
        <f t="shared" si="126"/>
        <v>105000</v>
      </c>
      <c r="K7750" t="e">
        <f>VLOOKUP(B7750,'REGISTRO ABONOS'!$B$8:$BC$10041,54,0)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hidden="1" x14ac:dyDescent="0.2">
      <c r="B7751" s="31">
        <v>7742</v>
      </c>
      <c r="J7751">
        <f t="shared" si="126"/>
        <v>105000</v>
      </c>
      <c r="K7751" t="e">
        <f>VLOOKUP(B7751,'REGISTRO ABONOS'!$B$8:$BC$10041,54,0)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hidden="1" x14ac:dyDescent="0.2">
      <c r="B7752" s="31">
        <v>7743</v>
      </c>
      <c r="J7752">
        <f t="shared" si="126"/>
        <v>105000</v>
      </c>
      <c r="K7752" t="e">
        <f>VLOOKUP(B7752,'REGISTRO ABONOS'!$B$8:$BC$10041,54,0)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hidden="1" x14ac:dyDescent="0.2">
      <c r="B7753" s="31">
        <v>7744</v>
      </c>
      <c r="J7753">
        <f t="shared" si="126"/>
        <v>105000</v>
      </c>
      <c r="K7753" t="e">
        <f>VLOOKUP(B7753,'REGISTRO ABONOS'!$B$8:$BC$10041,54,0)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hidden="1" x14ac:dyDescent="0.2">
      <c r="B7754" s="31">
        <v>7745</v>
      </c>
      <c r="J7754">
        <f t="shared" si="126"/>
        <v>105000</v>
      </c>
      <c r="K7754" t="e">
        <f>VLOOKUP(B7754,'REGISTRO ABONOS'!$B$8:$BC$10041,54,0)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hidden="1" x14ac:dyDescent="0.2">
      <c r="B7755" s="31">
        <v>7746</v>
      </c>
      <c r="J7755">
        <f t="shared" si="126"/>
        <v>105000</v>
      </c>
      <c r="K7755" t="e">
        <f>VLOOKUP(B7755,'REGISTRO ABONOS'!$B$8:$BC$10041,54,0)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hidden="1" x14ac:dyDescent="0.2">
      <c r="B7756" s="31">
        <v>7747</v>
      </c>
      <c r="J7756">
        <f t="shared" si="126"/>
        <v>105000</v>
      </c>
      <c r="K7756" t="e">
        <f>VLOOKUP(B7756,'REGISTRO ABONOS'!$B$8:$BC$10041,54,0)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hidden="1" x14ac:dyDescent="0.2">
      <c r="B7757" s="31">
        <v>7748</v>
      </c>
      <c r="J7757">
        <f t="shared" si="126"/>
        <v>105000</v>
      </c>
      <c r="K7757" t="e">
        <f>VLOOKUP(B7757,'REGISTRO ABONOS'!$B$8:$BC$10041,54,0)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hidden="1" x14ac:dyDescent="0.2">
      <c r="B7758" s="31">
        <v>7749</v>
      </c>
      <c r="J7758">
        <f t="shared" si="126"/>
        <v>105000</v>
      </c>
      <c r="K7758" t="e">
        <f>VLOOKUP(B7758,'REGISTRO ABONOS'!$B$8:$BC$10041,54,0)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hidden="1" x14ac:dyDescent="0.2">
      <c r="B7759" s="31">
        <v>7750</v>
      </c>
      <c r="J7759">
        <f t="shared" si="126"/>
        <v>105000</v>
      </c>
      <c r="K7759" t="e">
        <f>VLOOKUP(B7759,'REGISTRO ABONOS'!$B$8:$BC$10041,54,0)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hidden="1" x14ac:dyDescent="0.2">
      <c r="B7760" s="31">
        <v>7751</v>
      </c>
      <c r="J7760">
        <f t="shared" si="126"/>
        <v>105000</v>
      </c>
      <c r="K7760" t="e">
        <f>VLOOKUP(B7760,'REGISTRO ABONOS'!$B$8:$BC$10041,54,0)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hidden="1" x14ac:dyDescent="0.2">
      <c r="B7761" s="31">
        <v>7752</v>
      </c>
      <c r="J7761">
        <f t="shared" si="126"/>
        <v>105000</v>
      </c>
      <c r="K7761" t="e">
        <f>VLOOKUP(B7761,'REGISTRO ABONOS'!$B$8:$BC$10041,54,0)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hidden="1" x14ac:dyDescent="0.2">
      <c r="B7762" s="31">
        <v>7753</v>
      </c>
      <c r="J7762">
        <f t="shared" si="126"/>
        <v>105000</v>
      </c>
      <c r="K7762" t="e">
        <f>VLOOKUP(B7762,'REGISTRO ABONOS'!$B$8:$BC$10041,54,0)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hidden="1" x14ac:dyDescent="0.2">
      <c r="B7763" s="31">
        <v>7754</v>
      </c>
      <c r="J7763">
        <f t="shared" si="126"/>
        <v>105000</v>
      </c>
      <c r="K7763" t="e">
        <f>VLOOKUP(B7763,'REGISTRO ABONOS'!$B$8:$BC$10041,54,0)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hidden="1" x14ac:dyDescent="0.2">
      <c r="B7764" s="31">
        <v>7755</v>
      </c>
      <c r="J7764">
        <f t="shared" si="126"/>
        <v>105000</v>
      </c>
      <c r="K7764" t="e">
        <f>VLOOKUP(B7764,'REGISTRO ABONOS'!$B$8:$BC$10041,54,0)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hidden="1" x14ac:dyDescent="0.2">
      <c r="B7765" s="31">
        <v>7756</v>
      </c>
      <c r="J7765">
        <f t="shared" si="126"/>
        <v>105000</v>
      </c>
      <c r="K7765" t="e">
        <f>VLOOKUP(B7765,'REGISTRO ABONOS'!$B$8:$BC$10041,54,0)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hidden="1" x14ac:dyDescent="0.2">
      <c r="B7766" s="31">
        <v>7757</v>
      </c>
      <c r="J7766">
        <f t="shared" si="126"/>
        <v>105000</v>
      </c>
      <c r="K7766" t="e">
        <f>VLOOKUP(B7766,'REGISTRO ABONOS'!$B$8:$BC$10041,54,0)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hidden="1" x14ac:dyDescent="0.2">
      <c r="B7767" s="31">
        <v>7758</v>
      </c>
      <c r="J7767">
        <f t="shared" si="126"/>
        <v>105000</v>
      </c>
      <c r="K7767" t="e">
        <f>VLOOKUP(B7767,'REGISTRO ABONOS'!$B$8:$BC$10041,54,0)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hidden="1" x14ac:dyDescent="0.2">
      <c r="B7768" s="31">
        <v>7759</v>
      </c>
      <c r="J7768">
        <f t="shared" si="126"/>
        <v>105000</v>
      </c>
      <c r="K7768" t="e">
        <f>VLOOKUP(B7768,'REGISTRO ABONOS'!$B$8:$BC$10041,54,0)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hidden="1" x14ac:dyDescent="0.2">
      <c r="B7769" s="31">
        <v>7760</v>
      </c>
      <c r="J7769">
        <f t="shared" si="126"/>
        <v>105000</v>
      </c>
      <c r="K7769" t="e">
        <f>VLOOKUP(B7769,'REGISTRO ABONOS'!$B$8:$BC$10041,54,0)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hidden="1" x14ac:dyDescent="0.2">
      <c r="B7770" s="31">
        <v>7761</v>
      </c>
      <c r="J7770">
        <f t="shared" si="126"/>
        <v>105000</v>
      </c>
      <c r="K7770" t="e">
        <f>VLOOKUP(B7770,'REGISTRO ABONOS'!$B$8:$BC$10041,54,0)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hidden="1" x14ac:dyDescent="0.2">
      <c r="B7771" s="31">
        <v>7762</v>
      </c>
      <c r="J7771">
        <f t="shared" si="126"/>
        <v>105000</v>
      </c>
      <c r="K7771" t="e">
        <f>VLOOKUP(B7771,'REGISTRO ABONOS'!$B$8:$BC$10041,54,0)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hidden="1" x14ac:dyDescent="0.2">
      <c r="B7772" s="31">
        <v>7763</v>
      </c>
      <c r="J7772">
        <f t="shared" si="126"/>
        <v>105000</v>
      </c>
      <c r="K7772" t="e">
        <f>VLOOKUP(B7772,'REGISTRO ABONOS'!$B$8:$BC$10041,54,0)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hidden="1" x14ac:dyDescent="0.2">
      <c r="B7773" s="31">
        <v>7764</v>
      </c>
      <c r="J7773">
        <f t="shared" si="126"/>
        <v>105000</v>
      </c>
      <c r="K7773" t="e">
        <f>VLOOKUP(B7773,'REGISTRO ABONOS'!$B$8:$BC$10041,54,0)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hidden="1" x14ac:dyDescent="0.2">
      <c r="B7774" s="31">
        <v>7765</v>
      </c>
      <c r="J7774">
        <f t="shared" si="126"/>
        <v>105000</v>
      </c>
      <c r="K7774" t="e">
        <f>VLOOKUP(B7774,'REGISTRO ABONOS'!$B$8:$BC$10041,54,0)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hidden="1" x14ac:dyDescent="0.2">
      <c r="B7775" s="31">
        <v>7766</v>
      </c>
      <c r="J7775">
        <f t="shared" si="126"/>
        <v>105000</v>
      </c>
      <c r="K7775" t="e">
        <f>VLOOKUP(B7775,'REGISTRO ABONOS'!$B$8:$BC$10041,54,0)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hidden="1" x14ac:dyDescent="0.2">
      <c r="B7776" s="31">
        <v>7767</v>
      </c>
      <c r="J7776">
        <f t="shared" si="126"/>
        <v>105000</v>
      </c>
      <c r="K7776" t="e">
        <f>VLOOKUP(B7776,'REGISTRO ABONOS'!$B$8:$BC$10041,54,0)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hidden="1" x14ac:dyDescent="0.2">
      <c r="B7777" s="31">
        <v>7768</v>
      </c>
      <c r="J7777">
        <f t="shared" si="126"/>
        <v>105000</v>
      </c>
      <c r="K7777" t="e">
        <f>VLOOKUP(B7777,'REGISTRO ABONOS'!$B$8:$BC$10041,54,0)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hidden="1" x14ac:dyDescent="0.2">
      <c r="B7778" s="31">
        <v>7769</v>
      </c>
      <c r="J7778">
        <f t="shared" si="126"/>
        <v>105000</v>
      </c>
      <c r="K7778" t="e">
        <f>VLOOKUP(B7778,'REGISTRO ABONOS'!$B$8:$BC$10041,54,0)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hidden="1" x14ac:dyDescent="0.2">
      <c r="B7779" s="31">
        <v>7770</v>
      </c>
      <c r="J7779">
        <f t="shared" si="126"/>
        <v>105000</v>
      </c>
      <c r="K7779" t="e">
        <f>VLOOKUP(B7779,'REGISTRO ABONOS'!$B$8:$BC$10041,54,0)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hidden="1" x14ac:dyDescent="0.2">
      <c r="B7780" s="31">
        <v>7771</v>
      </c>
      <c r="J7780">
        <f t="shared" si="126"/>
        <v>105000</v>
      </c>
      <c r="K7780" t="e">
        <f>VLOOKUP(B7780,'REGISTRO ABONOS'!$B$8:$BC$10041,54,0)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hidden="1" x14ac:dyDescent="0.2">
      <c r="B7781" s="31">
        <v>7772</v>
      </c>
      <c r="J7781">
        <f t="shared" si="126"/>
        <v>105000</v>
      </c>
      <c r="K7781" t="e">
        <f>VLOOKUP(B7781,'REGISTRO ABONOS'!$B$8:$BC$10041,54,0)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hidden="1" x14ac:dyDescent="0.2">
      <c r="B7782" s="31">
        <v>7773</v>
      </c>
      <c r="J7782">
        <f t="shared" si="126"/>
        <v>105000</v>
      </c>
      <c r="K7782" t="e">
        <f>VLOOKUP(B7782,'REGISTRO ABONOS'!$B$8:$BC$10041,54,0)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hidden="1" x14ac:dyDescent="0.2">
      <c r="B7783" s="31">
        <v>7774</v>
      </c>
      <c r="J7783">
        <f t="shared" si="126"/>
        <v>105000</v>
      </c>
      <c r="K7783" t="e">
        <f>VLOOKUP(B7783,'REGISTRO ABONOS'!$B$8:$BC$10041,54,0)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hidden="1" x14ac:dyDescent="0.2">
      <c r="B7784" s="31">
        <v>7775</v>
      </c>
      <c r="J7784">
        <f t="shared" si="126"/>
        <v>105000</v>
      </c>
      <c r="K7784" t="e">
        <f>VLOOKUP(B7784,'REGISTRO ABONOS'!$B$8:$BC$10041,54,0)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hidden="1" x14ac:dyDescent="0.2">
      <c r="B7785" s="31">
        <v>7776</v>
      </c>
      <c r="J7785">
        <f t="shared" si="126"/>
        <v>105000</v>
      </c>
      <c r="K7785" t="e">
        <f>VLOOKUP(B7785,'REGISTRO ABONOS'!$B$8:$BC$10041,54,0)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hidden="1" x14ac:dyDescent="0.2">
      <c r="B7786" s="31">
        <v>7777</v>
      </c>
      <c r="J7786">
        <f t="shared" si="126"/>
        <v>105000</v>
      </c>
      <c r="K7786" t="e">
        <f>VLOOKUP(B7786,'REGISTRO ABONOS'!$B$8:$BC$10041,54,0)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hidden="1" x14ac:dyDescent="0.2">
      <c r="B7787" s="31">
        <v>7778</v>
      </c>
      <c r="J7787">
        <f t="shared" si="126"/>
        <v>105000</v>
      </c>
      <c r="K7787" t="e">
        <f>VLOOKUP(B7787,'REGISTRO ABONOS'!$B$8:$BC$10041,54,0)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hidden="1" x14ac:dyDescent="0.2">
      <c r="B7788" s="31">
        <v>7779</v>
      </c>
      <c r="J7788">
        <f t="shared" si="126"/>
        <v>105000</v>
      </c>
      <c r="K7788" t="e">
        <f>VLOOKUP(B7788,'REGISTRO ABONOS'!$B$8:$BC$10041,54,0)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hidden="1" x14ac:dyDescent="0.2">
      <c r="B7789" s="31">
        <v>7780</v>
      </c>
      <c r="J7789">
        <f t="shared" si="126"/>
        <v>105000</v>
      </c>
      <c r="K7789" t="e">
        <f>VLOOKUP(B7789,'REGISTRO ABONOS'!$B$8:$BC$10041,54,0)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hidden="1" x14ac:dyDescent="0.2">
      <c r="B7790" s="31">
        <v>7781</v>
      </c>
      <c r="J7790">
        <f t="shared" si="126"/>
        <v>105000</v>
      </c>
      <c r="K7790" t="e">
        <f>VLOOKUP(B7790,'REGISTRO ABONOS'!$B$8:$BC$10041,54,0)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hidden="1" x14ac:dyDescent="0.2">
      <c r="B7791" s="31">
        <v>7782</v>
      </c>
      <c r="J7791">
        <f t="shared" si="126"/>
        <v>105000</v>
      </c>
      <c r="K7791" t="e">
        <f>VLOOKUP(B7791,'REGISTRO ABONOS'!$B$8:$BC$10041,54,0)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hidden="1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ABONOS'!$B$8:$BC$10041,54,0)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hidden="1" x14ac:dyDescent="0.2">
      <c r="B7793" s="31">
        <v>7784</v>
      </c>
      <c r="J7793">
        <f t="shared" si="127"/>
        <v>105000</v>
      </c>
      <c r="K7793" t="e">
        <f>VLOOKUP(B7793,'REGISTRO ABONOS'!$B$8:$BC$10041,54,0)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hidden="1" x14ac:dyDescent="0.2">
      <c r="B7794" s="31">
        <v>7785</v>
      </c>
      <c r="J7794">
        <f t="shared" si="127"/>
        <v>105000</v>
      </c>
      <c r="K7794" t="e">
        <f>VLOOKUP(B7794,'REGISTRO ABONOS'!$B$8:$BC$10041,54,0)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hidden="1" x14ac:dyDescent="0.2">
      <c r="B7795" s="31">
        <v>7786</v>
      </c>
      <c r="J7795">
        <f t="shared" si="127"/>
        <v>105000</v>
      </c>
      <c r="K7795" t="e">
        <f>VLOOKUP(B7795,'REGISTRO ABONOS'!$B$8:$BC$10041,54,0)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hidden="1" x14ac:dyDescent="0.2">
      <c r="B7796" s="31">
        <v>7787</v>
      </c>
      <c r="J7796">
        <f t="shared" si="127"/>
        <v>105000</v>
      </c>
      <c r="K7796" t="e">
        <f>VLOOKUP(B7796,'REGISTRO ABONOS'!$B$8:$BC$10041,54,0)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hidden="1" x14ac:dyDescent="0.2">
      <c r="B7797" s="31">
        <v>7788</v>
      </c>
      <c r="J7797">
        <f t="shared" si="127"/>
        <v>105000</v>
      </c>
      <c r="K7797" t="e">
        <f>VLOOKUP(B7797,'REGISTRO ABONOS'!$B$8:$BC$10041,54,0)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hidden="1" x14ac:dyDescent="0.2">
      <c r="B7798" s="31">
        <v>7789</v>
      </c>
      <c r="J7798">
        <f t="shared" si="127"/>
        <v>105000</v>
      </c>
      <c r="K7798" t="e">
        <f>VLOOKUP(B7798,'REGISTRO ABONOS'!$B$8:$BC$10041,54,0)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hidden="1" x14ac:dyDescent="0.2">
      <c r="B7799" s="31">
        <v>7790</v>
      </c>
      <c r="J7799">
        <f t="shared" si="127"/>
        <v>105000</v>
      </c>
      <c r="K7799" t="e">
        <f>VLOOKUP(B7799,'REGISTRO ABONOS'!$B$8:$BC$10041,54,0)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hidden="1" x14ac:dyDescent="0.2">
      <c r="B7800" s="31">
        <v>7791</v>
      </c>
      <c r="J7800">
        <f t="shared" si="127"/>
        <v>105000</v>
      </c>
      <c r="K7800" t="e">
        <f>VLOOKUP(B7800,'REGISTRO ABONOS'!$B$8:$BC$10041,54,0)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hidden="1" x14ac:dyDescent="0.2">
      <c r="B7801" s="31">
        <v>7792</v>
      </c>
      <c r="J7801">
        <f t="shared" si="127"/>
        <v>105000</v>
      </c>
      <c r="K7801" t="e">
        <f>VLOOKUP(B7801,'REGISTRO ABONOS'!$B$8:$BC$10041,54,0)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hidden="1" x14ac:dyDescent="0.2">
      <c r="B7802" s="31">
        <v>7793</v>
      </c>
      <c r="J7802">
        <f t="shared" si="127"/>
        <v>105000</v>
      </c>
      <c r="K7802" t="e">
        <f>VLOOKUP(B7802,'REGISTRO ABONOS'!$B$8:$BC$10041,54,0)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hidden="1" x14ac:dyDescent="0.2">
      <c r="B7803" s="31">
        <v>7794</v>
      </c>
      <c r="J7803">
        <f t="shared" si="127"/>
        <v>105000</v>
      </c>
      <c r="K7803" t="e">
        <f>VLOOKUP(B7803,'REGISTRO ABONOS'!$B$8:$BC$10041,54,0)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hidden="1" x14ac:dyDescent="0.2">
      <c r="B7804" s="31">
        <v>7795</v>
      </c>
      <c r="J7804">
        <f t="shared" si="127"/>
        <v>105000</v>
      </c>
      <c r="K7804" t="e">
        <f>VLOOKUP(B7804,'REGISTRO ABONOS'!$B$8:$BC$10041,54,0)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hidden="1" x14ac:dyDescent="0.2">
      <c r="B7805" s="31">
        <v>7796</v>
      </c>
      <c r="J7805">
        <f t="shared" si="127"/>
        <v>105000</v>
      </c>
      <c r="K7805" t="e">
        <f>VLOOKUP(B7805,'REGISTRO ABONOS'!$B$8:$BC$10041,54,0)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hidden="1" x14ac:dyDescent="0.2">
      <c r="B7806" s="31">
        <v>7797</v>
      </c>
      <c r="J7806">
        <f t="shared" si="127"/>
        <v>105000</v>
      </c>
      <c r="K7806" t="e">
        <f>VLOOKUP(B7806,'REGISTRO ABONOS'!$B$8:$BC$10041,54,0)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hidden="1" x14ac:dyDescent="0.2">
      <c r="B7807" s="31">
        <v>7798</v>
      </c>
      <c r="J7807">
        <f t="shared" si="127"/>
        <v>105000</v>
      </c>
      <c r="K7807" t="e">
        <f>VLOOKUP(B7807,'REGISTRO ABONOS'!$B$8:$BC$10041,54,0)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hidden="1" x14ac:dyDescent="0.2">
      <c r="B7808" s="31">
        <v>7799</v>
      </c>
      <c r="J7808">
        <f t="shared" si="127"/>
        <v>105000</v>
      </c>
      <c r="K7808" t="e">
        <f>VLOOKUP(B7808,'REGISTRO ABONOS'!$B$8:$BC$10041,54,0)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hidden="1" x14ac:dyDescent="0.2">
      <c r="B7809" s="31">
        <v>7800</v>
      </c>
      <c r="J7809">
        <f t="shared" si="127"/>
        <v>105000</v>
      </c>
      <c r="K7809" t="e">
        <f>VLOOKUP(B7809,'REGISTRO ABONOS'!$B$8:$BC$10041,54,0)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hidden="1" x14ac:dyDescent="0.2">
      <c r="B7810" s="31">
        <v>7801</v>
      </c>
      <c r="J7810">
        <f t="shared" si="127"/>
        <v>105000</v>
      </c>
      <c r="K7810" t="e">
        <f>VLOOKUP(B7810,'REGISTRO ABONOS'!$B$8:$BC$10041,54,0)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hidden="1" x14ac:dyDescent="0.2">
      <c r="B7811" s="31">
        <v>7802</v>
      </c>
      <c r="J7811">
        <f t="shared" si="127"/>
        <v>105000</v>
      </c>
      <c r="K7811" t="e">
        <f>VLOOKUP(B7811,'REGISTRO ABONOS'!$B$8:$BC$10041,54,0)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hidden="1" x14ac:dyDescent="0.2">
      <c r="B7812" s="31">
        <v>7803</v>
      </c>
      <c r="J7812">
        <f t="shared" si="127"/>
        <v>105000</v>
      </c>
      <c r="K7812" t="e">
        <f>VLOOKUP(B7812,'REGISTRO ABONOS'!$B$8:$BC$10041,54,0)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hidden="1" x14ac:dyDescent="0.2">
      <c r="B7813" s="31">
        <v>7804</v>
      </c>
      <c r="J7813">
        <f t="shared" si="127"/>
        <v>105000</v>
      </c>
      <c r="K7813" t="e">
        <f>VLOOKUP(B7813,'REGISTRO ABONOS'!$B$8:$BC$10041,54,0)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hidden="1" x14ac:dyDescent="0.2">
      <c r="B7814" s="31">
        <v>7805</v>
      </c>
      <c r="J7814">
        <f t="shared" si="127"/>
        <v>105000</v>
      </c>
      <c r="K7814" t="e">
        <f>VLOOKUP(B7814,'REGISTRO ABONOS'!$B$8:$BC$10041,54,0)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hidden="1" x14ac:dyDescent="0.2">
      <c r="B7815" s="31">
        <v>7806</v>
      </c>
      <c r="J7815">
        <f t="shared" si="127"/>
        <v>105000</v>
      </c>
      <c r="K7815" t="e">
        <f>VLOOKUP(B7815,'REGISTRO ABONOS'!$B$8:$BC$10041,54,0)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hidden="1" x14ac:dyDescent="0.2">
      <c r="B7816" s="31">
        <v>7807</v>
      </c>
      <c r="J7816">
        <f t="shared" si="127"/>
        <v>105000</v>
      </c>
      <c r="K7816" t="e">
        <f>VLOOKUP(B7816,'REGISTRO ABONOS'!$B$8:$BC$10041,54,0)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hidden="1" x14ac:dyDescent="0.2">
      <c r="B7817" s="31">
        <v>7808</v>
      </c>
      <c r="J7817">
        <f t="shared" si="127"/>
        <v>105000</v>
      </c>
      <c r="K7817" t="e">
        <f>VLOOKUP(B7817,'REGISTRO ABONOS'!$B$8:$BC$10041,54,0)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hidden="1" x14ac:dyDescent="0.2">
      <c r="B7818" s="31">
        <v>7809</v>
      </c>
      <c r="J7818">
        <f t="shared" si="127"/>
        <v>105000</v>
      </c>
      <c r="K7818" t="e">
        <f>VLOOKUP(B7818,'REGISTRO ABONOS'!$B$8:$BC$10041,54,0)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hidden="1" x14ac:dyDescent="0.2">
      <c r="B7819" s="31">
        <v>7810</v>
      </c>
      <c r="J7819">
        <f t="shared" si="127"/>
        <v>105000</v>
      </c>
      <c r="K7819" t="e">
        <f>VLOOKUP(B7819,'REGISTRO ABONOS'!$B$8:$BC$10041,54,0)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hidden="1" x14ac:dyDescent="0.2">
      <c r="B7820" s="31">
        <v>7811</v>
      </c>
      <c r="J7820">
        <f t="shared" si="127"/>
        <v>105000</v>
      </c>
      <c r="K7820" t="e">
        <f>VLOOKUP(B7820,'REGISTRO ABONOS'!$B$8:$BC$10041,54,0)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hidden="1" x14ac:dyDescent="0.2">
      <c r="B7821" s="31">
        <v>7812</v>
      </c>
      <c r="J7821">
        <f t="shared" si="127"/>
        <v>105000</v>
      </c>
      <c r="K7821" t="e">
        <f>VLOOKUP(B7821,'REGISTRO ABONOS'!$B$8:$BC$10041,54,0)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hidden="1" x14ac:dyDescent="0.2">
      <c r="B7822" s="31">
        <v>7813</v>
      </c>
      <c r="J7822">
        <f t="shared" si="127"/>
        <v>105000</v>
      </c>
      <c r="K7822" t="e">
        <f>VLOOKUP(B7822,'REGISTRO ABONOS'!$B$8:$BC$10041,54,0)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hidden="1" x14ac:dyDescent="0.2">
      <c r="B7823" s="31">
        <v>7814</v>
      </c>
      <c r="J7823">
        <f t="shared" si="127"/>
        <v>105000</v>
      </c>
      <c r="K7823" t="e">
        <f>VLOOKUP(B7823,'REGISTRO ABONOS'!$B$8:$BC$10041,54,0)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hidden="1" x14ac:dyDescent="0.2">
      <c r="B7824" s="31">
        <v>7815</v>
      </c>
      <c r="J7824">
        <f t="shared" si="127"/>
        <v>105000</v>
      </c>
      <c r="K7824" t="e">
        <f>VLOOKUP(B7824,'REGISTRO ABONOS'!$B$8:$BC$10041,54,0)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hidden="1" x14ac:dyDescent="0.2">
      <c r="B7825" s="31">
        <v>7816</v>
      </c>
      <c r="J7825">
        <f t="shared" si="127"/>
        <v>105000</v>
      </c>
      <c r="K7825" t="e">
        <f>VLOOKUP(B7825,'REGISTRO ABONOS'!$B$8:$BC$10041,54,0)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hidden="1" x14ac:dyDescent="0.2">
      <c r="B7826" s="31">
        <v>7817</v>
      </c>
      <c r="J7826">
        <f t="shared" si="127"/>
        <v>105000</v>
      </c>
      <c r="K7826" t="e">
        <f>VLOOKUP(B7826,'REGISTRO ABONOS'!$B$8:$BC$10041,54,0)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hidden="1" x14ac:dyDescent="0.2">
      <c r="B7827" s="31">
        <v>7818</v>
      </c>
      <c r="J7827">
        <f t="shared" si="127"/>
        <v>105000</v>
      </c>
      <c r="K7827" t="e">
        <f>VLOOKUP(B7827,'REGISTRO ABONOS'!$B$8:$BC$10041,54,0)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hidden="1" x14ac:dyDescent="0.2">
      <c r="B7828" s="31">
        <v>7819</v>
      </c>
      <c r="J7828">
        <f t="shared" si="127"/>
        <v>105000</v>
      </c>
      <c r="K7828" t="e">
        <f>VLOOKUP(B7828,'REGISTRO ABONOS'!$B$8:$BC$10041,54,0)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hidden="1" x14ac:dyDescent="0.2">
      <c r="B7829" s="31">
        <v>7820</v>
      </c>
      <c r="J7829">
        <f t="shared" si="127"/>
        <v>105000</v>
      </c>
      <c r="K7829" t="e">
        <f>VLOOKUP(B7829,'REGISTRO ABONOS'!$B$8:$BC$10041,54,0)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hidden="1" x14ac:dyDescent="0.2">
      <c r="B7830" s="31">
        <v>7821</v>
      </c>
      <c r="J7830">
        <f t="shared" si="127"/>
        <v>105000</v>
      </c>
      <c r="K7830" t="e">
        <f>VLOOKUP(B7830,'REGISTRO ABONOS'!$B$8:$BC$10041,54,0)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hidden="1" x14ac:dyDescent="0.2">
      <c r="B7831" s="31">
        <v>7822</v>
      </c>
      <c r="J7831">
        <f t="shared" si="127"/>
        <v>105000</v>
      </c>
      <c r="K7831" t="e">
        <f>VLOOKUP(B7831,'REGISTRO ABONOS'!$B$8:$BC$10041,54,0)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hidden="1" x14ac:dyDescent="0.2">
      <c r="B7832" s="31">
        <v>7823</v>
      </c>
      <c r="J7832">
        <f t="shared" si="127"/>
        <v>105000</v>
      </c>
      <c r="K7832" t="e">
        <f>VLOOKUP(B7832,'REGISTRO ABONOS'!$B$8:$BC$10041,54,0)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hidden="1" x14ac:dyDescent="0.2">
      <c r="B7833" s="31">
        <v>7824</v>
      </c>
      <c r="J7833">
        <f t="shared" si="127"/>
        <v>105000</v>
      </c>
      <c r="K7833" t="e">
        <f>VLOOKUP(B7833,'REGISTRO ABONOS'!$B$8:$BC$10041,54,0)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hidden="1" x14ac:dyDescent="0.2">
      <c r="B7834" s="31">
        <v>7825</v>
      </c>
      <c r="J7834">
        <f t="shared" si="127"/>
        <v>105000</v>
      </c>
      <c r="K7834" t="e">
        <f>VLOOKUP(B7834,'REGISTRO ABONOS'!$B$8:$BC$10041,54,0)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hidden="1" x14ac:dyDescent="0.2">
      <c r="B7835" s="31">
        <v>7826</v>
      </c>
      <c r="J7835">
        <f t="shared" si="127"/>
        <v>105000</v>
      </c>
      <c r="K7835" t="e">
        <f>VLOOKUP(B7835,'REGISTRO ABONOS'!$B$8:$BC$10041,54,0)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hidden="1" x14ac:dyDescent="0.2">
      <c r="B7836" s="31">
        <v>7827</v>
      </c>
      <c r="J7836">
        <f t="shared" si="127"/>
        <v>105000</v>
      </c>
      <c r="K7836" t="e">
        <f>VLOOKUP(B7836,'REGISTRO ABONOS'!$B$8:$BC$10041,54,0)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hidden="1" x14ac:dyDescent="0.2">
      <c r="B7837" s="31">
        <v>7828</v>
      </c>
      <c r="J7837">
        <f t="shared" si="127"/>
        <v>105000</v>
      </c>
      <c r="K7837" t="e">
        <f>VLOOKUP(B7837,'REGISTRO ABONOS'!$B$8:$BC$10041,54,0)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hidden="1" x14ac:dyDescent="0.2">
      <c r="B7838" s="31">
        <v>7829</v>
      </c>
      <c r="J7838">
        <f t="shared" si="127"/>
        <v>105000</v>
      </c>
      <c r="K7838" t="e">
        <f>VLOOKUP(B7838,'REGISTRO ABONOS'!$B$8:$BC$10041,54,0)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hidden="1" x14ac:dyDescent="0.2">
      <c r="B7839" s="31">
        <v>7830</v>
      </c>
      <c r="J7839">
        <f t="shared" si="127"/>
        <v>105000</v>
      </c>
      <c r="K7839" t="e">
        <f>VLOOKUP(B7839,'REGISTRO ABONOS'!$B$8:$BC$10041,54,0)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hidden="1" x14ac:dyDescent="0.2">
      <c r="B7840" s="31">
        <v>7831</v>
      </c>
      <c r="J7840">
        <f t="shared" si="127"/>
        <v>105000</v>
      </c>
      <c r="K7840" t="e">
        <f>VLOOKUP(B7840,'REGISTRO ABONOS'!$B$8:$BC$10041,54,0)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hidden="1" x14ac:dyDescent="0.2">
      <c r="B7841" s="31">
        <v>7832</v>
      </c>
      <c r="J7841">
        <f t="shared" si="127"/>
        <v>105000</v>
      </c>
      <c r="K7841" t="e">
        <f>VLOOKUP(B7841,'REGISTRO ABONOS'!$B$8:$BC$10041,54,0)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hidden="1" x14ac:dyDescent="0.2">
      <c r="B7842" s="31">
        <v>7833</v>
      </c>
      <c r="J7842">
        <f t="shared" si="127"/>
        <v>105000</v>
      </c>
      <c r="K7842" t="e">
        <f>VLOOKUP(B7842,'REGISTRO ABONOS'!$B$8:$BC$10041,54,0)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hidden="1" x14ac:dyDescent="0.2">
      <c r="B7843" s="31">
        <v>7834</v>
      </c>
      <c r="J7843">
        <f t="shared" si="127"/>
        <v>105000</v>
      </c>
      <c r="K7843" t="e">
        <f>VLOOKUP(B7843,'REGISTRO ABONOS'!$B$8:$BC$10041,54,0)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hidden="1" x14ac:dyDescent="0.2">
      <c r="B7844" s="31">
        <v>7835</v>
      </c>
      <c r="J7844">
        <f t="shared" si="127"/>
        <v>105000</v>
      </c>
      <c r="K7844" t="e">
        <f>VLOOKUP(B7844,'REGISTRO ABONOS'!$B$8:$BC$10041,54,0)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hidden="1" x14ac:dyDescent="0.2">
      <c r="B7845" s="31">
        <v>7836</v>
      </c>
      <c r="J7845">
        <f t="shared" si="127"/>
        <v>105000</v>
      </c>
      <c r="K7845" t="e">
        <f>VLOOKUP(B7845,'REGISTRO ABONOS'!$B$8:$BC$10041,54,0)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hidden="1" x14ac:dyDescent="0.2">
      <c r="B7846" s="31">
        <v>7837</v>
      </c>
      <c r="J7846">
        <f t="shared" si="127"/>
        <v>105000</v>
      </c>
      <c r="K7846" t="e">
        <f>VLOOKUP(B7846,'REGISTRO ABONOS'!$B$8:$BC$10041,54,0)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hidden="1" x14ac:dyDescent="0.2">
      <c r="B7847" s="31">
        <v>7838</v>
      </c>
      <c r="J7847">
        <f t="shared" si="127"/>
        <v>105000</v>
      </c>
      <c r="K7847" t="e">
        <f>VLOOKUP(B7847,'REGISTRO ABONOS'!$B$8:$BC$10041,54,0)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hidden="1" x14ac:dyDescent="0.2">
      <c r="B7848" s="31">
        <v>7839</v>
      </c>
      <c r="J7848">
        <f t="shared" si="127"/>
        <v>105000</v>
      </c>
      <c r="K7848" t="e">
        <f>VLOOKUP(B7848,'REGISTRO ABONOS'!$B$8:$BC$10041,54,0)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hidden="1" x14ac:dyDescent="0.2">
      <c r="B7849" s="31">
        <v>7840</v>
      </c>
      <c r="J7849">
        <f t="shared" si="127"/>
        <v>105000</v>
      </c>
      <c r="K7849" t="e">
        <f>VLOOKUP(B7849,'REGISTRO ABONOS'!$B$8:$BC$10041,54,0)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hidden="1" x14ac:dyDescent="0.2">
      <c r="B7850" s="31">
        <v>7841</v>
      </c>
      <c r="J7850">
        <f t="shared" si="127"/>
        <v>105000</v>
      </c>
      <c r="K7850" t="e">
        <f>VLOOKUP(B7850,'REGISTRO ABONOS'!$B$8:$BC$10041,54,0)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hidden="1" x14ac:dyDescent="0.2">
      <c r="B7851" s="31">
        <v>7842</v>
      </c>
      <c r="J7851">
        <f t="shared" si="127"/>
        <v>105000</v>
      </c>
      <c r="K7851" t="e">
        <f>VLOOKUP(B7851,'REGISTRO ABONOS'!$B$8:$BC$10041,54,0)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hidden="1" x14ac:dyDescent="0.2">
      <c r="B7852" s="31">
        <v>7843</v>
      </c>
      <c r="J7852">
        <f t="shared" si="127"/>
        <v>105000</v>
      </c>
      <c r="K7852" t="e">
        <f>VLOOKUP(B7852,'REGISTRO ABONOS'!$B$8:$BC$10041,54,0)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hidden="1" x14ac:dyDescent="0.2">
      <c r="B7853" s="31">
        <v>7844</v>
      </c>
      <c r="J7853">
        <f t="shared" si="127"/>
        <v>105000</v>
      </c>
      <c r="K7853" t="e">
        <f>VLOOKUP(B7853,'REGISTRO ABONOS'!$B$8:$BC$10041,54,0)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hidden="1" x14ac:dyDescent="0.2">
      <c r="B7854" s="31">
        <v>7845</v>
      </c>
      <c r="J7854">
        <f t="shared" si="127"/>
        <v>105000</v>
      </c>
      <c r="K7854" t="e">
        <f>VLOOKUP(B7854,'REGISTRO ABONOS'!$B$8:$BC$10041,54,0)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hidden="1" x14ac:dyDescent="0.2">
      <c r="B7855" s="31">
        <v>7846</v>
      </c>
      <c r="J7855">
        <f t="shared" si="127"/>
        <v>105000</v>
      </c>
      <c r="K7855" t="e">
        <f>VLOOKUP(B7855,'REGISTRO ABONOS'!$B$8:$BC$10041,54,0)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hidden="1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ABONOS'!$B$8:$BC$10041,54,0)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hidden="1" x14ac:dyDescent="0.2">
      <c r="B7857" s="31">
        <v>7848</v>
      </c>
      <c r="J7857">
        <f t="shared" si="128"/>
        <v>105000</v>
      </c>
      <c r="K7857" t="e">
        <f>VLOOKUP(B7857,'REGISTRO ABONOS'!$B$8:$BC$10041,54,0)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8"/>
        <v>105000</v>
      </c>
      <c r="K7858" t="e">
        <f>VLOOKUP(B7858,'REGISTRO ABONOS'!$B$8:$BC$10041,54,0)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hidden="1" x14ac:dyDescent="0.2">
      <c r="B7859" s="31">
        <v>7850</v>
      </c>
      <c r="J7859">
        <f t="shared" si="128"/>
        <v>105000</v>
      </c>
      <c r="K7859" t="e">
        <f>VLOOKUP(B7859,'REGISTRO ABONOS'!$B$8:$BC$10041,54,0)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hidden="1" x14ac:dyDescent="0.2">
      <c r="B7860" s="31">
        <v>7851</v>
      </c>
      <c r="J7860">
        <f t="shared" si="128"/>
        <v>105000</v>
      </c>
      <c r="K7860" t="e">
        <f>VLOOKUP(B7860,'REGISTRO ABONOS'!$B$8:$BC$10041,54,0)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hidden="1" x14ac:dyDescent="0.2">
      <c r="B7861" s="31">
        <v>7852</v>
      </c>
      <c r="J7861">
        <f t="shared" si="128"/>
        <v>105000</v>
      </c>
      <c r="K7861" t="e">
        <f>VLOOKUP(B7861,'REGISTRO ABONOS'!$B$8:$BC$10041,54,0)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hidden="1" x14ac:dyDescent="0.2">
      <c r="B7862" s="31">
        <v>7853</v>
      </c>
      <c r="J7862">
        <f t="shared" si="128"/>
        <v>105000</v>
      </c>
      <c r="K7862" t="e">
        <f>VLOOKUP(B7862,'REGISTRO ABONOS'!$B$8:$BC$10041,54,0)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hidden="1" x14ac:dyDescent="0.2">
      <c r="B7863" s="31">
        <v>7854</v>
      </c>
      <c r="J7863">
        <f t="shared" si="128"/>
        <v>105000</v>
      </c>
      <c r="K7863" t="e">
        <f>VLOOKUP(B7863,'REGISTRO ABONOS'!$B$8:$BC$10041,54,0)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hidden="1" x14ac:dyDescent="0.2">
      <c r="B7864" s="31">
        <v>7855</v>
      </c>
      <c r="J7864">
        <f t="shared" si="128"/>
        <v>105000</v>
      </c>
      <c r="K7864" t="e">
        <f>VLOOKUP(B7864,'REGISTRO ABONOS'!$B$8:$BC$10041,54,0)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hidden="1" x14ac:dyDescent="0.2">
      <c r="B7865" s="31">
        <v>7856</v>
      </c>
      <c r="J7865">
        <f t="shared" si="128"/>
        <v>105000</v>
      </c>
      <c r="K7865" t="e">
        <f>VLOOKUP(B7865,'REGISTRO ABONOS'!$B$8:$BC$10041,54,0)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8"/>
        <v>105000</v>
      </c>
      <c r="K7866" t="e">
        <f>VLOOKUP(B7866,'REGISTRO ABONOS'!$B$8:$BC$10041,54,0)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hidden="1" x14ac:dyDescent="0.2">
      <c r="B7867" s="31">
        <v>7858</v>
      </c>
      <c r="J7867">
        <f t="shared" si="128"/>
        <v>105000</v>
      </c>
      <c r="K7867" t="e">
        <f>VLOOKUP(B7867,'REGISTRO ABONOS'!$B$8:$BC$10041,54,0)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hidden="1" x14ac:dyDescent="0.2">
      <c r="B7868" s="31">
        <v>7859</v>
      </c>
      <c r="J7868">
        <f t="shared" si="128"/>
        <v>105000</v>
      </c>
      <c r="K7868" t="e">
        <f>VLOOKUP(B7868,'REGISTRO ABONOS'!$B$8:$BC$10041,54,0)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hidden="1" x14ac:dyDescent="0.2">
      <c r="B7869" s="31">
        <v>7860</v>
      </c>
      <c r="J7869">
        <f t="shared" si="128"/>
        <v>105000</v>
      </c>
      <c r="K7869" t="e">
        <f>VLOOKUP(B7869,'REGISTRO ABONOS'!$B$8:$BC$10041,54,0)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hidden="1" x14ac:dyDescent="0.2">
      <c r="B7870" s="31">
        <v>7861</v>
      </c>
      <c r="J7870">
        <f t="shared" si="128"/>
        <v>105000</v>
      </c>
      <c r="K7870" t="e">
        <f>VLOOKUP(B7870,'REGISTRO ABONOS'!$B$8:$BC$10041,54,0)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hidden="1" x14ac:dyDescent="0.2">
      <c r="B7871" s="31">
        <v>7862</v>
      </c>
      <c r="J7871">
        <f t="shared" si="128"/>
        <v>105000</v>
      </c>
      <c r="K7871" t="e">
        <f>VLOOKUP(B7871,'REGISTRO ABONOS'!$B$8:$BC$10041,54,0)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hidden="1" x14ac:dyDescent="0.2">
      <c r="B7872" s="31">
        <v>7863</v>
      </c>
      <c r="J7872">
        <f t="shared" si="128"/>
        <v>105000</v>
      </c>
      <c r="K7872" t="e">
        <f>VLOOKUP(B7872,'REGISTRO ABONOS'!$B$8:$BC$10041,54,0)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hidden="1" x14ac:dyDescent="0.2">
      <c r="B7873" s="31">
        <v>7864</v>
      </c>
      <c r="J7873">
        <f t="shared" si="128"/>
        <v>105000</v>
      </c>
      <c r="K7873" t="e">
        <f>VLOOKUP(B7873,'REGISTRO ABONOS'!$B$8:$BC$10041,54,0)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8"/>
        <v>105000</v>
      </c>
      <c r="K7874" t="e">
        <f>VLOOKUP(B7874,'REGISTRO ABONOS'!$B$8:$BC$10041,54,0)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hidden="1" x14ac:dyDescent="0.2">
      <c r="B7875" s="31">
        <v>7866</v>
      </c>
      <c r="J7875">
        <f t="shared" si="128"/>
        <v>105000</v>
      </c>
      <c r="K7875" t="e">
        <f>VLOOKUP(B7875,'REGISTRO ABONOS'!$B$8:$BC$10041,54,0)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hidden="1" x14ac:dyDescent="0.2">
      <c r="B7876" s="31">
        <v>7867</v>
      </c>
      <c r="J7876">
        <f t="shared" si="128"/>
        <v>105000</v>
      </c>
      <c r="K7876" t="e">
        <f>VLOOKUP(B7876,'REGISTRO ABONOS'!$B$8:$BC$10041,54,0)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hidden="1" x14ac:dyDescent="0.2">
      <c r="B7877" s="31">
        <v>7868</v>
      </c>
      <c r="J7877">
        <f t="shared" si="128"/>
        <v>105000</v>
      </c>
      <c r="K7877" t="e">
        <f>VLOOKUP(B7877,'REGISTRO ABONOS'!$B$8:$BC$10041,54,0)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hidden="1" x14ac:dyDescent="0.2">
      <c r="B7878" s="31">
        <v>7869</v>
      </c>
      <c r="J7878">
        <f t="shared" si="128"/>
        <v>105000</v>
      </c>
      <c r="K7878" t="e">
        <f>VLOOKUP(B7878,'REGISTRO ABONOS'!$B$8:$BC$10041,54,0)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hidden="1" x14ac:dyDescent="0.2">
      <c r="B7879" s="31">
        <v>7870</v>
      </c>
      <c r="J7879">
        <f t="shared" si="128"/>
        <v>105000</v>
      </c>
      <c r="K7879" t="e">
        <f>VLOOKUP(B7879,'REGISTRO ABONOS'!$B$8:$BC$10041,54,0)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hidden="1" x14ac:dyDescent="0.2">
      <c r="B7880" s="31">
        <v>7871</v>
      </c>
      <c r="J7880">
        <f t="shared" si="128"/>
        <v>105000</v>
      </c>
      <c r="K7880" t="e">
        <f>VLOOKUP(B7880,'REGISTRO ABONOS'!$B$8:$BC$10041,54,0)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hidden="1" x14ac:dyDescent="0.2">
      <c r="B7881" s="31">
        <v>7872</v>
      </c>
      <c r="J7881">
        <f t="shared" si="128"/>
        <v>105000</v>
      </c>
      <c r="K7881" t="e">
        <f>VLOOKUP(B7881,'REGISTRO ABONOS'!$B$8:$BC$10041,54,0)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hidden="1" x14ac:dyDescent="0.2">
      <c r="B7882" s="31">
        <v>7873</v>
      </c>
      <c r="J7882">
        <f t="shared" si="128"/>
        <v>105000</v>
      </c>
      <c r="K7882" t="e">
        <f>VLOOKUP(B7882,'REGISTRO ABONOS'!$B$8:$BC$10041,54,0)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hidden="1" x14ac:dyDescent="0.2">
      <c r="B7883" s="31">
        <v>7874</v>
      </c>
      <c r="J7883">
        <f t="shared" si="128"/>
        <v>105000</v>
      </c>
      <c r="K7883" t="e">
        <f>VLOOKUP(B7883,'REGISTRO ABONOS'!$B$8:$BC$10041,54,0)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hidden="1" x14ac:dyDescent="0.2">
      <c r="B7884" s="31">
        <v>7875</v>
      </c>
      <c r="J7884">
        <f t="shared" si="128"/>
        <v>105000</v>
      </c>
      <c r="K7884" t="e">
        <f>VLOOKUP(B7884,'REGISTRO ABONOS'!$B$8:$BC$10041,54,0)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hidden="1" x14ac:dyDescent="0.2">
      <c r="B7885" s="31">
        <v>7876</v>
      </c>
      <c r="J7885">
        <f t="shared" si="128"/>
        <v>105000</v>
      </c>
      <c r="K7885" t="e">
        <f>VLOOKUP(B7885,'REGISTRO ABONOS'!$B$8:$BC$10041,54,0)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hidden="1" x14ac:dyDescent="0.2">
      <c r="B7886" s="31">
        <v>7877</v>
      </c>
      <c r="J7886">
        <f t="shared" si="128"/>
        <v>105000</v>
      </c>
      <c r="K7886" t="e">
        <f>VLOOKUP(B7886,'REGISTRO ABONOS'!$B$8:$BC$10041,54,0)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hidden="1" x14ac:dyDescent="0.2">
      <c r="B7887" s="31">
        <v>7878</v>
      </c>
      <c r="J7887">
        <f t="shared" si="128"/>
        <v>105000</v>
      </c>
      <c r="K7887" t="e">
        <f>VLOOKUP(B7887,'REGISTRO ABONOS'!$B$8:$BC$10041,54,0)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hidden="1" x14ac:dyDescent="0.2">
      <c r="B7888" s="31">
        <v>7879</v>
      </c>
      <c r="J7888">
        <f t="shared" si="128"/>
        <v>105000</v>
      </c>
      <c r="K7888" t="e">
        <f>VLOOKUP(B7888,'REGISTRO ABONOS'!$B$8:$BC$10041,54,0)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hidden="1" x14ac:dyDescent="0.2">
      <c r="B7889" s="31">
        <v>7880</v>
      </c>
      <c r="J7889">
        <f t="shared" si="128"/>
        <v>105000</v>
      </c>
      <c r="K7889" t="e">
        <f>VLOOKUP(B7889,'REGISTRO ABONOS'!$B$8:$BC$10041,54,0)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hidden="1" x14ac:dyDescent="0.2">
      <c r="B7890" s="31">
        <v>7881</v>
      </c>
      <c r="J7890">
        <f t="shared" si="128"/>
        <v>105000</v>
      </c>
      <c r="K7890" t="e">
        <f>VLOOKUP(B7890,'REGISTRO ABONOS'!$B$8:$BC$10041,54,0)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hidden="1" x14ac:dyDescent="0.2">
      <c r="B7891" s="31">
        <v>7882</v>
      </c>
      <c r="J7891">
        <f t="shared" si="128"/>
        <v>105000</v>
      </c>
      <c r="K7891" t="e">
        <f>VLOOKUP(B7891,'REGISTRO ABONOS'!$B$8:$BC$10041,54,0)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hidden="1" x14ac:dyDescent="0.2">
      <c r="B7892" s="31">
        <v>7883</v>
      </c>
      <c r="J7892">
        <f t="shared" si="128"/>
        <v>105000</v>
      </c>
      <c r="K7892" t="e">
        <f>VLOOKUP(B7892,'REGISTRO ABONOS'!$B$8:$BC$10041,54,0)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hidden="1" x14ac:dyDescent="0.2">
      <c r="B7893" s="31">
        <v>7884</v>
      </c>
      <c r="J7893">
        <f t="shared" si="128"/>
        <v>105000</v>
      </c>
      <c r="K7893" t="e">
        <f>VLOOKUP(B7893,'REGISTRO ABONOS'!$B$8:$BC$10041,54,0)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hidden="1" x14ac:dyDescent="0.2">
      <c r="B7894" s="31">
        <v>7885</v>
      </c>
      <c r="J7894">
        <f t="shared" si="128"/>
        <v>105000</v>
      </c>
      <c r="K7894" t="e">
        <f>VLOOKUP(B7894,'REGISTRO ABONOS'!$B$8:$BC$10041,54,0)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hidden="1" x14ac:dyDescent="0.2">
      <c r="B7895" s="31">
        <v>7886</v>
      </c>
      <c r="J7895">
        <f t="shared" si="128"/>
        <v>105000</v>
      </c>
      <c r="K7895" t="e">
        <f>VLOOKUP(B7895,'REGISTRO ABONOS'!$B$8:$BC$10041,54,0)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hidden="1" x14ac:dyDescent="0.2">
      <c r="B7896" s="31">
        <v>7887</v>
      </c>
      <c r="J7896">
        <f t="shared" si="128"/>
        <v>105000</v>
      </c>
      <c r="K7896" t="e">
        <f>VLOOKUP(B7896,'REGISTRO ABONOS'!$B$8:$BC$10041,54,0)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hidden="1" x14ac:dyDescent="0.2">
      <c r="B7897" s="31">
        <v>7888</v>
      </c>
      <c r="J7897">
        <f t="shared" si="128"/>
        <v>105000</v>
      </c>
      <c r="K7897" t="e">
        <f>VLOOKUP(B7897,'REGISTRO ABONOS'!$B$8:$BC$10041,54,0)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hidden="1" x14ac:dyDescent="0.2">
      <c r="B7898" s="31">
        <v>7889</v>
      </c>
      <c r="J7898">
        <f t="shared" si="128"/>
        <v>105000</v>
      </c>
      <c r="K7898" t="e">
        <f>VLOOKUP(B7898,'REGISTRO ABONOS'!$B$8:$BC$10041,54,0)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hidden="1" x14ac:dyDescent="0.2">
      <c r="B7899" s="31">
        <v>7890</v>
      </c>
      <c r="J7899">
        <f t="shared" si="128"/>
        <v>105000</v>
      </c>
      <c r="K7899" t="e">
        <f>VLOOKUP(B7899,'REGISTRO ABONOS'!$B$8:$BC$10041,54,0)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hidden="1" x14ac:dyDescent="0.2">
      <c r="B7900" s="31">
        <v>7891</v>
      </c>
      <c r="J7900">
        <f t="shared" si="128"/>
        <v>105000</v>
      </c>
      <c r="K7900" t="e">
        <f>VLOOKUP(B7900,'REGISTRO ABONOS'!$B$8:$BC$10041,54,0)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hidden="1" x14ac:dyDescent="0.2">
      <c r="B7901" s="31">
        <v>7892</v>
      </c>
      <c r="J7901">
        <f t="shared" si="128"/>
        <v>105000</v>
      </c>
      <c r="K7901" t="e">
        <f>VLOOKUP(B7901,'REGISTRO ABONOS'!$B$8:$BC$10041,54,0)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hidden="1" x14ac:dyDescent="0.2">
      <c r="B7902" s="31">
        <v>7893</v>
      </c>
      <c r="J7902">
        <f t="shared" si="128"/>
        <v>105000</v>
      </c>
      <c r="K7902" t="e">
        <f>VLOOKUP(B7902,'REGISTRO ABONOS'!$B$8:$BC$10041,54,0)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hidden="1" x14ac:dyDescent="0.2">
      <c r="B7903" s="31">
        <v>7894</v>
      </c>
      <c r="J7903">
        <f t="shared" si="128"/>
        <v>105000</v>
      </c>
      <c r="K7903" t="e">
        <f>VLOOKUP(B7903,'REGISTRO ABONOS'!$B$8:$BC$10041,54,0)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hidden="1" x14ac:dyDescent="0.2">
      <c r="B7904" s="31">
        <v>7895</v>
      </c>
      <c r="J7904">
        <f t="shared" si="128"/>
        <v>105000</v>
      </c>
      <c r="K7904" t="e">
        <f>VLOOKUP(B7904,'REGISTRO ABONOS'!$B$8:$BC$10041,54,0)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hidden="1" x14ac:dyDescent="0.2">
      <c r="B7905" s="31">
        <v>7896</v>
      </c>
      <c r="J7905">
        <f t="shared" si="128"/>
        <v>105000</v>
      </c>
      <c r="K7905" t="e">
        <f>VLOOKUP(B7905,'REGISTRO ABONOS'!$B$8:$BC$10041,54,0)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hidden="1" x14ac:dyDescent="0.2">
      <c r="B7906" s="31">
        <v>7897</v>
      </c>
      <c r="J7906">
        <f t="shared" si="128"/>
        <v>105000</v>
      </c>
      <c r="K7906" t="e">
        <f>VLOOKUP(B7906,'REGISTRO ABONOS'!$B$8:$BC$10041,54,0)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hidden="1" x14ac:dyDescent="0.2">
      <c r="B7907" s="31">
        <v>7898</v>
      </c>
      <c r="J7907">
        <f t="shared" si="128"/>
        <v>105000</v>
      </c>
      <c r="K7907" t="e">
        <f>VLOOKUP(B7907,'REGISTRO ABONOS'!$B$8:$BC$10041,54,0)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hidden="1" x14ac:dyDescent="0.2">
      <c r="B7908" s="31">
        <v>7899</v>
      </c>
      <c r="J7908">
        <f t="shared" si="128"/>
        <v>105000</v>
      </c>
      <c r="K7908" t="e">
        <f>VLOOKUP(B7908,'REGISTRO ABONOS'!$B$8:$BC$10041,54,0)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hidden="1" x14ac:dyDescent="0.2">
      <c r="B7909" s="31">
        <v>7900</v>
      </c>
      <c r="J7909">
        <f t="shared" si="128"/>
        <v>105000</v>
      </c>
      <c r="K7909" t="e">
        <f>VLOOKUP(B7909,'REGISTRO ABONOS'!$B$8:$BC$10041,54,0)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hidden="1" x14ac:dyDescent="0.2">
      <c r="B7910" s="31">
        <v>7901</v>
      </c>
      <c r="J7910">
        <f t="shared" si="128"/>
        <v>105000</v>
      </c>
      <c r="K7910" t="e">
        <f>VLOOKUP(B7910,'REGISTRO ABONOS'!$B$8:$BC$10041,54,0)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hidden="1" x14ac:dyDescent="0.2">
      <c r="B7911" s="31">
        <v>7902</v>
      </c>
      <c r="J7911">
        <f t="shared" si="128"/>
        <v>105000</v>
      </c>
      <c r="K7911" t="e">
        <f>VLOOKUP(B7911,'REGISTRO ABONOS'!$B$8:$BC$10041,54,0)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hidden="1" x14ac:dyDescent="0.2">
      <c r="B7912" s="31">
        <v>7903</v>
      </c>
      <c r="J7912">
        <f t="shared" si="128"/>
        <v>105000</v>
      </c>
      <c r="K7912" t="e">
        <f>VLOOKUP(B7912,'REGISTRO ABONOS'!$B$8:$BC$10041,54,0)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hidden="1" x14ac:dyDescent="0.2">
      <c r="B7913" s="31">
        <v>7904</v>
      </c>
      <c r="J7913">
        <f t="shared" si="128"/>
        <v>105000</v>
      </c>
      <c r="K7913" t="e">
        <f>VLOOKUP(B7913,'REGISTRO ABONOS'!$B$8:$BC$10041,54,0)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hidden="1" x14ac:dyDescent="0.2">
      <c r="B7914" s="31">
        <v>7905</v>
      </c>
      <c r="J7914">
        <f t="shared" si="128"/>
        <v>105000</v>
      </c>
      <c r="K7914" t="e">
        <f>VLOOKUP(B7914,'REGISTRO ABONOS'!$B$8:$BC$10041,54,0)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hidden="1" x14ac:dyDescent="0.2">
      <c r="B7915" s="31">
        <v>7906</v>
      </c>
      <c r="J7915">
        <f t="shared" si="128"/>
        <v>105000</v>
      </c>
      <c r="K7915" t="e">
        <f>VLOOKUP(B7915,'REGISTRO ABONOS'!$B$8:$BC$10041,54,0)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hidden="1" x14ac:dyDescent="0.2">
      <c r="B7916" s="31">
        <v>7907</v>
      </c>
      <c r="J7916">
        <f t="shared" si="128"/>
        <v>105000</v>
      </c>
      <c r="K7916" t="e">
        <f>VLOOKUP(B7916,'REGISTRO ABONOS'!$B$8:$BC$10041,54,0)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hidden="1" x14ac:dyDescent="0.2">
      <c r="B7917" s="31">
        <v>7908</v>
      </c>
      <c r="J7917">
        <f t="shared" si="128"/>
        <v>105000</v>
      </c>
      <c r="K7917" t="e">
        <f>VLOOKUP(B7917,'REGISTRO ABONOS'!$B$8:$BC$10041,54,0)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hidden="1" x14ac:dyDescent="0.2">
      <c r="B7918" s="31">
        <v>7909</v>
      </c>
      <c r="J7918">
        <f t="shared" si="128"/>
        <v>105000</v>
      </c>
      <c r="K7918" t="e">
        <f>VLOOKUP(B7918,'REGISTRO ABONOS'!$B$8:$BC$10041,54,0)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hidden="1" x14ac:dyDescent="0.2">
      <c r="B7919" s="31">
        <v>7910</v>
      </c>
      <c r="J7919">
        <f t="shared" si="128"/>
        <v>105000</v>
      </c>
      <c r="K7919" t="e">
        <f>VLOOKUP(B7919,'REGISTRO ABONOS'!$B$8:$BC$10041,54,0)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hidden="1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ABONOS'!$B$8:$BC$10041,54,0)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hidden="1" x14ac:dyDescent="0.2">
      <c r="B7921" s="31">
        <v>7912</v>
      </c>
      <c r="J7921">
        <f t="shared" si="129"/>
        <v>105000</v>
      </c>
      <c r="K7921" t="e">
        <f>VLOOKUP(B7921,'REGISTRO ABONOS'!$B$8:$BC$10041,54,0)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hidden="1" x14ac:dyDescent="0.2">
      <c r="B7922" s="31">
        <v>7913</v>
      </c>
      <c r="J7922">
        <f t="shared" si="129"/>
        <v>105000</v>
      </c>
      <c r="K7922" t="e">
        <f>VLOOKUP(B7922,'REGISTRO ABONOS'!$B$8:$BC$10041,54,0)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hidden="1" x14ac:dyDescent="0.2">
      <c r="B7923" s="31">
        <v>7914</v>
      </c>
      <c r="J7923">
        <f t="shared" si="129"/>
        <v>105000</v>
      </c>
      <c r="K7923" t="e">
        <f>VLOOKUP(B7923,'REGISTRO ABONOS'!$B$8:$BC$10041,54,0)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hidden="1" x14ac:dyDescent="0.2">
      <c r="B7924" s="31">
        <v>7915</v>
      </c>
      <c r="J7924">
        <f t="shared" si="129"/>
        <v>105000</v>
      </c>
      <c r="K7924" t="e">
        <f>VLOOKUP(B7924,'REGISTRO ABONOS'!$B$8:$BC$10041,54,0)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hidden="1" x14ac:dyDescent="0.2">
      <c r="B7925" s="31">
        <v>7916</v>
      </c>
      <c r="J7925">
        <f t="shared" si="129"/>
        <v>105000</v>
      </c>
      <c r="K7925" t="e">
        <f>VLOOKUP(B7925,'REGISTRO ABONOS'!$B$8:$BC$10041,54,0)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hidden="1" x14ac:dyDescent="0.2">
      <c r="B7926" s="31">
        <v>7917</v>
      </c>
      <c r="J7926">
        <f t="shared" si="129"/>
        <v>105000</v>
      </c>
      <c r="K7926" t="e">
        <f>VLOOKUP(B7926,'REGISTRO ABONOS'!$B$8:$BC$10041,54,0)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hidden="1" x14ac:dyDescent="0.2">
      <c r="B7927" s="31">
        <v>7918</v>
      </c>
      <c r="J7927">
        <f t="shared" si="129"/>
        <v>105000</v>
      </c>
      <c r="K7927" t="e">
        <f>VLOOKUP(B7927,'REGISTRO ABONOS'!$B$8:$BC$10041,54,0)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hidden="1" x14ac:dyDescent="0.2">
      <c r="B7928" s="31">
        <v>7919</v>
      </c>
      <c r="J7928">
        <f t="shared" si="129"/>
        <v>105000</v>
      </c>
      <c r="K7928" t="e">
        <f>VLOOKUP(B7928,'REGISTRO ABONOS'!$B$8:$BC$10041,54,0)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hidden="1" x14ac:dyDescent="0.2">
      <c r="B7929" s="31">
        <v>7920</v>
      </c>
      <c r="J7929">
        <f t="shared" si="129"/>
        <v>105000</v>
      </c>
      <c r="K7929" t="e">
        <f>VLOOKUP(B7929,'REGISTRO ABONOS'!$B$8:$BC$10041,54,0)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hidden="1" x14ac:dyDescent="0.2">
      <c r="B7930" s="31">
        <v>7921</v>
      </c>
      <c r="C7930" s="10">
        <v>43571</v>
      </c>
      <c r="D7930" t="s">
        <v>511</v>
      </c>
      <c r="H7930" t="s">
        <v>511</v>
      </c>
      <c r="I7930" t="s">
        <v>322</v>
      </c>
      <c r="J7930">
        <f t="shared" si="129"/>
        <v>105000</v>
      </c>
      <c r="K7930" t="e">
        <f>VLOOKUP(B7930,'REGISTRO ABONOS'!$B$8:$BC$10041,54,0)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hidden="1" x14ac:dyDescent="0.2">
      <c r="B7931" s="31">
        <v>7922</v>
      </c>
      <c r="J7931">
        <f t="shared" si="129"/>
        <v>105000</v>
      </c>
      <c r="K7931" t="e">
        <f>VLOOKUP(B7931,'REGISTRO ABONOS'!$B$8:$BC$10041,54,0)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hidden="1" x14ac:dyDescent="0.2">
      <c r="B7932" s="31">
        <v>7923</v>
      </c>
      <c r="J7932">
        <f t="shared" si="129"/>
        <v>105000</v>
      </c>
      <c r="K7932" t="e">
        <f>VLOOKUP(B7932,'REGISTRO ABONOS'!$B$8:$BC$10041,54,0)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hidden="1" x14ac:dyDescent="0.2">
      <c r="B7933" s="31">
        <v>7924</v>
      </c>
      <c r="J7933">
        <f t="shared" si="129"/>
        <v>105000</v>
      </c>
      <c r="K7933" t="e">
        <f>VLOOKUP(B7933,'REGISTRO ABONOS'!$B$8:$BC$10041,54,0)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hidden="1" x14ac:dyDescent="0.2">
      <c r="B7934" s="31">
        <v>7925</v>
      </c>
      <c r="J7934">
        <f t="shared" si="129"/>
        <v>105000</v>
      </c>
      <c r="K7934" t="e">
        <f>VLOOKUP(B7934,'REGISTRO ABONOS'!$B$8:$BC$10041,54,0)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hidden="1" x14ac:dyDescent="0.2">
      <c r="B7935" s="31">
        <v>7926</v>
      </c>
      <c r="J7935">
        <f t="shared" si="129"/>
        <v>105000</v>
      </c>
      <c r="K7935" t="e">
        <f>VLOOKUP(B7935,'REGISTRO ABONOS'!$B$8:$BC$10041,54,0)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hidden="1" x14ac:dyDescent="0.2">
      <c r="B7936" s="31">
        <v>7927</v>
      </c>
      <c r="J7936">
        <f t="shared" si="129"/>
        <v>105000</v>
      </c>
      <c r="K7936" t="e">
        <f>VLOOKUP(B7936,'REGISTRO ABONOS'!$B$8:$BC$10041,54,0)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hidden="1" x14ac:dyDescent="0.2">
      <c r="B7937" s="31">
        <v>7928</v>
      </c>
      <c r="J7937">
        <f t="shared" si="129"/>
        <v>105000</v>
      </c>
      <c r="K7937" t="e">
        <f>VLOOKUP(B7937,'REGISTRO ABONOS'!$B$8:$BC$10041,54,0)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hidden="1" x14ac:dyDescent="0.2">
      <c r="B7938" s="31">
        <v>7929</v>
      </c>
      <c r="J7938">
        <f t="shared" si="129"/>
        <v>105000</v>
      </c>
      <c r="K7938" t="e">
        <f>VLOOKUP(B7938,'REGISTRO ABONOS'!$B$8:$BC$10041,54,0)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hidden="1" x14ac:dyDescent="0.2">
      <c r="B7939" s="31">
        <v>7930</v>
      </c>
      <c r="J7939">
        <f t="shared" si="129"/>
        <v>105000</v>
      </c>
      <c r="K7939" t="e">
        <f>VLOOKUP(B7939,'REGISTRO ABONOS'!$B$8:$BC$10041,54,0)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hidden="1" x14ac:dyDescent="0.2">
      <c r="B7940" s="31">
        <v>7931</v>
      </c>
      <c r="J7940">
        <f t="shared" si="129"/>
        <v>105000</v>
      </c>
      <c r="K7940" t="e">
        <f>VLOOKUP(B7940,'REGISTRO ABONOS'!$B$8:$BC$10041,54,0)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hidden="1" x14ac:dyDescent="0.2">
      <c r="B7941" s="31">
        <v>7932</v>
      </c>
      <c r="J7941">
        <f t="shared" si="129"/>
        <v>105000</v>
      </c>
      <c r="K7941" t="e">
        <f>VLOOKUP(B7941,'REGISTRO ABONOS'!$B$8:$BC$10041,54,0)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hidden="1" x14ac:dyDescent="0.2">
      <c r="B7942" s="31">
        <v>7933</v>
      </c>
      <c r="J7942">
        <f t="shared" si="129"/>
        <v>105000</v>
      </c>
      <c r="K7942" t="e">
        <f>VLOOKUP(B7942,'REGISTRO ABONOS'!$B$8:$BC$10041,54,0)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hidden="1" x14ac:dyDescent="0.2">
      <c r="B7943" s="31">
        <v>7934</v>
      </c>
      <c r="J7943">
        <f t="shared" si="129"/>
        <v>105000</v>
      </c>
      <c r="K7943" t="e">
        <f>VLOOKUP(B7943,'REGISTRO ABONOS'!$B$8:$BC$10041,54,0)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hidden="1" x14ac:dyDescent="0.2">
      <c r="B7944" s="31">
        <v>7935</v>
      </c>
      <c r="J7944">
        <f t="shared" si="129"/>
        <v>105000</v>
      </c>
      <c r="K7944" t="e">
        <f>VLOOKUP(B7944,'REGISTRO ABONOS'!$B$8:$BC$10041,54,0)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hidden="1" x14ac:dyDescent="0.2">
      <c r="B7945" s="31">
        <v>7936</v>
      </c>
      <c r="J7945">
        <f t="shared" si="129"/>
        <v>105000</v>
      </c>
      <c r="K7945" t="e">
        <f>VLOOKUP(B7945,'REGISTRO ABONOS'!$B$8:$BC$10041,54,0)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hidden="1" x14ac:dyDescent="0.2">
      <c r="B7946" s="31">
        <v>7937</v>
      </c>
      <c r="J7946">
        <f t="shared" si="129"/>
        <v>105000</v>
      </c>
      <c r="K7946" t="e">
        <f>VLOOKUP(B7946,'REGISTRO ABONOS'!$B$8:$BC$10041,54,0)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hidden="1" x14ac:dyDescent="0.2">
      <c r="B7947" s="31">
        <v>7938</v>
      </c>
      <c r="J7947">
        <f t="shared" si="129"/>
        <v>105000</v>
      </c>
      <c r="K7947" t="e">
        <f>VLOOKUP(B7947,'REGISTRO ABONOS'!$B$8:$BC$10041,54,0)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hidden="1" x14ac:dyDescent="0.2">
      <c r="B7948" s="31">
        <v>7939</v>
      </c>
      <c r="J7948">
        <f t="shared" si="129"/>
        <v>105000</v>
      </c>
      <c r="K7948" t="e">
        <f>VLOOKUP(B7948,'REGISTRO ABONOS'!$B$8:$BC$10041,54,0)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hidden="1" x14ac:dyDescent="0.2">
      <c r="B7949" s="31">
        <v>7940</v>
      </c>
      <c r="J7949">
        <f t="shared" si="129"/>
        <v>105000</v>
      </c>
      <c r="K7949" t="e">
        <f>VLOOKUP(B7949,'REGISTRO ABONOS'!$B$8:$BC$10041,54,0)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hidden="1" x14ac:dyDescent="0.2">
      <c r="B7950" s="31">
        <v>7941</v>
      </c>
      <c r="J7950">
        <f t="shared" si="129"/>
        <v>105000</v>
      </c>
      <c r="K7950" t="e">
        <f>VLOOKUP(B7950,'REGISTRO ABONOS'!$B$8:$BC$10041,54,0)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hidden="1" x14ac:dyDescent="0.2">
      <c r="B7951" s="31">
        <v>7942</v>
      </c>
      <c r="J7951">
        <f t="shared" si="129"/>
        <v>105000</v>
      </c>
      <c r="K7951" t="e">
        <f>VLOOKUP(B7951,'REGISTRO ABONOS'!$B$8:$BC$10041,54,0)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hidden="1" x14ac:dyDescent="0.2">
      <c r="B7952" s="31">
        <v>7943</v>
      </c>
      <c r="J7952">
        <f t="shared" si="129"/>
        <v>105000</v>
      </c>
      <c r="K7952" t="e">
        <f>VLOOKUP(B7952,'REGISTRO ABONOS'!$B$8:$BC$10041,54,0)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hidden="1" x14ac:dyDescent="0.2">
      <c r="B7953" s="31">
        <v>7944</v>
      </c>
      <c r="J7953">
        <f t="shared" si="129"/>
        <v>105000</v>
      </c>
      <c r="K7953" t="e">
        <f>VLOOKUP(B7953,'REGISTRO ABONOS'!$B$8:$BC$10041,54,0)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hidden="1" x14ac:dyDescent="0.2">
      <c r="B7954" s="31">
        <v>7945</v>
      </c>
      <c r="J7954">
        <f t="shared" si="129"/>
        <v>105000</v>
      </c>
      <c r="K7954" t="e">
        <f>VLOOKUP(B7954,'REGISTRO ABONOS'!$B$8:$BC$10041,54,0)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hidden="1" x14ac:dyDescent="0.2">
      <c r="B7955" s="31">
        <v>7946</v>
      </c>
      <c r="J7955">
        <f t="shared" si="129"/>
        <v>105000</v>
      </c>
      <c r="K7955" t="e">
        <f>VLOOKUP(B7955,'REGISTRO ABONOS'!$B$8:$BC$10041,54,0)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hidden="1" x14ac:dyDescent="0.2">
      <c r="B7956" s="31">
        <v>7947</v>
      </c>
      <c r="J7956">
        <f t="shared" si="129"/>
        <v>105000</v>
      </c>
      <c r="K7956" t="e">
        <f>VLOOKUP(B7956,'REGISTRO ABONOS'!$B$8:$BC$10041,54,0)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hidden="1" x14ac:dyDescent="0.2">
      <c r="B7957" s="31">
        <v>7948</v>
      </c>
      <c r="J7957">
        <f t="shared" si="129"/>
        <v>105000</v>
      </c>
      <c r="K7957" t="e">
        <f>VLOOKUP(B7957,'REGISTRO ABONOS'!$B$8:$BC$10041,54,0)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hidden="1" x14ac:dyDescent="0.2">
      <c r="B7958" s="31">
        <v>7949</v>
      </c>
      <c r="J7958">
        <f t="shared" si="129"/>
        <v>105000</v>
      </c>
      <c r="K7958" t="e">
        <f>VLOOKUP(B7958,'REGISTRO ABONOS'!$B$8:$BC$10041,54,0)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hidden="1" x14ac:dyDescent="0.2">
      <c r="B7959" s="31">
        <v>7950</v>
      </c>
      <c r="J7959">
        <f t="shared" si="129"/>
        <v>105000</v>
      </c>
      <c r="K7959" t="e">
        <f>VLOOKUP(B7959,'REGISTRO ABONOS'!$B$8:$BC$10041,54,0)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hidden="1" x14ac:dyDescent="0.2">
      <c r="B7960" s="31">
        <v>7951</v>
      </c>
      <c r="J7960">
        <f t="shared" si="129"/>
        <v>105000</v>
      </c>
      <c r="K7960" t="e">
        <f>VLOOKUP(B7960,'REGISTRO ABONOS'!$B$8:$BC$10041,54,0)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hidden="1" x14ac:dyDescent="0.2">
      <c r="B7961" s="31">
        <v>7952</v>
      </c>
      <c r="C7961" s="10">
        <v>43571</v>
      </c>
      <c r="D7961" t="s">
        <v>487</v>
      </c>
      <c r="H7961" t="s">
        <v>487</v>
      </c>
      <c r="I7961" t="s">
        <v>322</v>
      </c>
      <c r="J7961">
        <f t="shared" si="129"/>
        <v>105000</v>
      </c>
      <c r="K7961" t="e">
        <f>VLOOKUP(B7961,'REGISTRO ABONOS'!$B$8:$BC$10041,54,0)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hidden="1" x14ac:dyDescent="0.2">
      <c r="B7962" s="31">
        <v>7953</v>
      </c>
      <c r="J7962">
        <f t="shared" si="129"/>
        <v>105000</v>
      </c>
      <c r="K7962" t="e">
        <f>VLOOKUP(B7962,'REGISTRO ABONOS'!$B$8:$BC$10041,54,0)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hidden="1" x14ac:dyDescent="0.2">
      <c r="B7963" s="31">
        <v>7954</v>
      </c>
      <c r="J7963">
        <f t="shared" si="129"/>
        <v>105000</v>
      </c>
      <c r="K7963" t="e">
        <f>VLOOKUP(B7963,'REGISTRO ABONOS'!$B$8:$BC$10041,54,0)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hidden="1" x14ac:dyDescent="0.2">
      <c r="B7964" s="31">
        <v>7955</v>
      </c>
      <c r="J7964">
        <f t="shared" si="129"/>
        <v>105000</v>
      </c>
      <c r="K7964" t="e">
        <f>VLOOKUP(B7964,'REGISTRO ABONOS'!$B$8:$BC$10041,54,0)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hidden="1" x14ac:dyDescent="0.2">
      <c r="B7965" s="31">
        <v>7956</v>
      </c>
      <c r="J7965">
        <f t="shared" si="129"/>
        <v>105000</v>
      </c>
      <c r="K7965" t="e">
        <f>VLOOKUP(B7965,'REGISTRO ABONOS'!$B$8:$BC$10041,54,0)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hidden="1" x14ac:dyDescent="0.2">
      <c r="B7966" s="31">
        <v>7957</v>
      </c>
      <c r="J7966">
        <f t="shared" si="129"/>
        <v>105000</v>
      </c>
      <c r="K7966" t="e">
        <f>VLOOKUP(B7966,'REGISTRO ABONOS'!$B$8:$BC$10041,54,0)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hidden="1" x14ac:dyDescent="0.2">
      <c r="B7967" s="31">
        <v>7958</v>
      </c>
      <c r="J7967">
        <f t="shared" si="129"/>
        <v>105000</v>
      </c>
      <c r="K7967" t="e">
        <f>VLOOKUP(B7967,'REGISTRO ABONOS'!$B$8:$BC$10041,54,0)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hidden="1" x14ac:dyDescent="0.2">
      <c r="B7968" s="31">
        <v>7959</v>
      </c>
      <c r="J7968">
        <f t="shared" si="129"/>
        <v>105000</v>
      </c>
      <c r="K7968" t="e">
        <f>VLOOKUP(B7968,'REGISTRO ABONOS'!$B$8:$BC$10041,54,0)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hidden="1" x14ac:dyDescent="0.2">
      <c r="B7969" s="31">
        <v>7960</v>
      </c>
      <c r="J7969">
        <f t="shared" si="129"/>
        <v>105000</v>
      </c>
      <c r="K7969" t="e">
        <f>VLOOKUP(B7969,'REGISTRO ABONOS'!$B$8:$BC$10041,54,0)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hidden="1" x14ac:dyDescent="0.2">
      <c r="B7970" s="31">
        <v>7961</v>
      </c>
      <c r="J7970">
        <f t="shared" si="129"/>
        <v>105000</v>
      </c>
      <c r="K7970" t="e">
        <f>VLOOKUP(B7970,'REGISTRO ABONOS'!$B$8:$BC$10041,54,0)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hidden="1" x14ac:dyDescent="0.2">
      <c r="B7971" s="31">
        <v>7962</v>
      </c>
      <c r="J7971">
        <f t="shared" si="129"/>
        <v>105000</v>
      </c>
      <c r="K7971" t="e">
        <f>VLOOKUP(B7971,'REGISTRO ABONOS'!$B$8:$BC$10041,54,0)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hidden="1" x14ac:dyDescent="0.2">
      <c r="B7972" s="31">
        <v>7963</v>
      </c>
      <c r="J7972">
        <f t="shared" si="129"/>
        <v>105000</v>
      </c>
      <c r="K7972" t="e">
        <f>VLOOKUP(B7972,'REGISTRO ABONOS'!$B$8:$BC$10041,54,0)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hidden="1" x14ac:dyDescent="0.2">
      <c r="B7973" s="31">
        <v>7964</v>
      </c>
      <c r="J7973">
        <f t="shared" si="129"/>
        <v>105000</v>
      </c>
      <c r="K7973" t="e">
        <f>VLOOKUP(B7973,'REGISTRO ABONOS'!$B$8:$BC$10041,54,0)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hidden="1" x14ac:dyDescent="0.2">
      <c r="B7974" s="31">
        <v>7965</v>
      </c>
      <c r="J7974">
        <f t="shared" si="129"/>
        <v>105000</v>
      </c>
      <c r="K7974" t="e">
        <f>VLOOKUP(B7974,'REGISTRO ABONOS'!$B$8:$BC$10041,54,0)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hidden="1" x14ac:dyDescent="0.2">
      <c r="B7975" s="31">
        <v>7966</v>
      </c>
      <c r="J7975">
        <f t="shared" si="129"/>
        <v>105000</v>
      </c>
      <c r="K7975" t="e">
        <f>VLOOKUP(B7975,'REGISTRO ABONOS'!$B$8:$BC$10041,54,0)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hidden="1" x14ac:dyDescent="0.2">
      <c r="B7976" s="31">
        <v>7967</v>
      </c>
      <c r="J7976">
        <f t="shared" si="129"/>
        <v>105000</v>
      </c>
      <c r="K7976" t="e">
        <f>VLOOKUP(B7976,'REGISTRO ABONOS'!$B$8:$BC$10041,54,0)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hidden="1" x14ac:dyDescent="0.2">
      <c r="B7977" s="31">
        <v>7968</v>
      </c>
      <c r="J7977">
        <f t="shared" si="129"/>
        <v>105000</v>
      </c>
      <c r="K7977" t="e">
        <f>VLOOKUP(B7977,'REGISTRO ABONOS'!$B$8:$BC$10041,54,0)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hidden="1" x14ac:dyDescent="0.2">
      <c r="B7978" s="31">
        <v>7969</v>
      </c>
      <c r="J7978">
        <f t="shared" si="129"/>
        <v>105000</v>
      </c>
      <c r="K7978" t="e">
        <f>VLOOKUP(B7978,'REGISTRO ABONOS'!$B$8:$BC$10041,54,0)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hidden="1" x14ac:dyDescent="0.2">
      <c r="B7979" s="31">
        <v>7970</v>
      </c>
      <c r="J7979">
        <f t="shared" si="129"/>
        <v>105000</v>
      </c>
      <c r="K7979" t="e">
        <f>VLOOKUP(B7979,'REGISTRO ABONOS'!$B$8:$BC$10041,54,0)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hidden="1" x14ac:dyDescent="0.2">
      <c r="B7980" s="31">
        <v>7971</v>
      </c>
      <c r="J7980">
        <f t="shared" si="129"/>
        <v>105000</v>
      </c>
      <c r="K7980" t="e">
        <f>VLOOKUP(B7980,'REGISTRO ABONOS'!$B$8:$BC$10041,54,0)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hidden="1" x14ac:dyDescent="0.2">
      <c r="B7981" s="31">
        <v>7972</v>
      </c>
      <c r="J7981">
        <f t="shared" si="129"/>
        <v>105000</v>
      </c>
      <c r="K7981" t="e">
        <f>VLOOKUP(B7981,'REGISTRO ABONOS'!$B$8:$BC$10041,54,0)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hidden="1" x14ac:dyDescent="0.2">
      <c r="B7982" s="31">
        <v>7973</v>
      </c>
      <c r="J7982">
        <f t="shared" si="129"/>
        <v>105000</v>
      </c>
      <c r="K7982" t="e">
        <f>VLOOKUP(B7982,'REGISTRO ABONOS'!$B$8:$BC$10041,54,0)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hidden="1" x14ac:dyDescent="0.2">
      <c r="B7983" s="31">
        <v>7974</v>
      </c>
      <c r="J7983">
        <f t="shared" si="129"/>
        <v>105000</v>
      </c>
      <c r="K7983" t="e">
        <f>VLOOKUP(B7983,'REGISTRO ABONOS'!$B$8:$BC$10041,54,0)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hidden="1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ABONOS'!$B$8:$BC$10041,54,0)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hidden="1" x14ac:dyDescent="0.2">
      <c r="B7985" s="31">
        <v>7976</v>
      </c>
      <c r="J7985">
        <f t="shared" si="130"/>
        <v>105000</v>
      </c>
      <c r="K7985" t="e">
        <f>VLOOKUP(B7985,'REGISTRO ABONOS'!$B$8:$BC$10041,54,0)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hidden="1" x14ac:dyDescent="0.2">
      <c r="B7986" s="31">
        <v>7977</v>
      </c>
      <c r="J7986">
        <f t="shared" si="130"/>
        <v>105000</v>
      </c>
      <c r="K7986" t="e">
        <f>VLOOKUP(B7986,'REGISTRO ABONOS'!$B$8:$BC$10041,54,0)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hidden="1" x14ac:dyDescent="0.2">
      <c r="B7987" s="31">
        <v>7978</v>
      </c>
      <c r="J7987">
        <f t="shared" si="130"/>
        <v>105000</v>
      </c>
      <c r="K7987" t="e">
        <f>VLOOKUP(B7987,'REGISTRO ABONOS'!$B$8:$BC$10041,54,0)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hidden="1" x14ac:dyDescent="0.2">
      <c r="B7988" s="31">
        <v>7979</v>
      </c>
      <c r="J7988">
        <f t="shared" si="130"/>
        <v>105000</v>
      </c>
      <c r="K7988" t="e">
        <f>VLOOKUP(B7988,'REGISTRO ABONOS'!$B$8:$BC$10041,54,0)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hidden="1" x14ac:dyDescent="0.2">
      <c r="B7989" s="31">
        <v>7980</v>
      </c>
      <c r="J7989">
        <f t="shared" si="130"/>
        <v>105000</v>
      </c>
      <c r="K7989" t="e">
        <f>VLOOKUP(B7989,'REGISTRO ABONOS'!$B$8:$BC$10041,54,0)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hidden="1" x14ac:dyDescent="0.2">
      <c r="B7990" s="31">
        <v>7981</v>
      </c>
      <c r="J7990">
        <f t="shared" si="130"/>
        <v>105000</v>
      </c>
      <c r="K7990" t="e">
        <f>VLOOKUP(B7990,'REGISTRO ABONOS'!$B$8:$BC$10041,54,0)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hidden="1" x14ac:dyDescent="0.2">
      <c r="B7991" s="31">
        <v>7982</v>
      </c>
      <c r="J7991">
        <f t="shared" si="130"/>
        <v>105000</v>
      </c>
      <c r="K7991" t="e">
        <f>VLOOKUP(B7991,'REGISTRO ABONOS'!$B$8:$BC$10041,54,0)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hidden="1" x14ac:dyDescent="0.2">
      <c r="B7992" s="31">
        <v>7983</v>
      </c>
      <c r="J7992">
        <f t="shared" si="130"/>
        <v>105000</v>
      </c>
      <c r="K7992" t="e">
        <f>VLOOKUP(B7992,'REGISTRO ABONOS'!$B$8:$BC$10041,54,0)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hidden="1" x14ac:dyDescent="0.2">
      <c r="B7993" s="31">
        <v>7984</v>
      </c>
      <c r="J7993">
        <f t="shared" si="130"/>
        <v>105000</v>
      </c>
      <c r="K7993" t="e">
        <f>VLOOKUP(B7993,'REGISTRO ABONOS'!$B$8:$BC$10041,54,0)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hidden="1" x14ac:dyDescent="0.2">
      <c r="B7994" s="31">
        <v>7985</v>
      </c>
      <c r="J7994">
        <f t="shared" si="130"/>
        <v>105000</v>
      </c>
      <c r="K7994" t="e">
        <f>VLOOKUP(B7994,'REGISTRO ABONOS'!$B$8:$BC$10041,54,0)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hidden="1" x14ac:dyDescent="0.2">
      <c r="B7995" s="31">
        <v>7986</v>
      </c>
      <c r="J7995">
        <f t="shared" si="130"/>
        <v>105000</v>
      </c>
      <c r="K7995" t="e">
        <f>VLOOKUP(B7995,'REGISTRO ABONOS'!$B$8:$BC$10041,54,0)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hidden="1" x14ac:dyDescent="0.2">
      <c r="B7996" s="31">
        <v>7987</v>
      </c>
      <c r="J7996">
        <f t="shared" si="130"/>
        <v>105000</v>
      </c>
      <c r="K7996" t="e">
        <f>VLOOKUP(B7996,'REGISTRO ABONOS'!$B$8:$BC$10041,54,0)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hidden="1" x14ac:dyDescent="0.2">
      <c r="B7997" s="31">
        <v>7988</v>
      </c>
      <c r="J7997">
        <f t="shared" si="130"/>
        <v>105000</v>
      </c>
      <c r="K7997" t="e">
        <f>VLOOKUP(B7997,'REGISTRO ABONOS'!$B$8:$BC$10041,54,0)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hidden="1" x14ac:dyDescent="0.2">
      <c r="B7998" s="31">
        <v>7989</v>
      </c>
      <c r="J7998">
        <f t="shared" si="130"/>
        <v>105000</v>
      </c>
      <c r="K7998" t="e">
        <f>VLOOKUP(B7998,'REGISTRO ABONOS'!$B$8:$BC$10041,54,0)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hidden="1" x14ac:dyDescent="0.2">
      <c r="B7999" s="31">
        <v>7990</v>
      </c>
      <c r="J7999">
        <f t="shared" si="130"/>
        <v>105000</v>
      </c>
      <c r="K7999" t="e">
        <f>VLOOKUP(B7999,'REGISTRO ABONOS'!$B$8:$BC$10041,54,0)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hidden="1" x14ac:dyDescent="0.2">
      <c r="B8000" s="31">
        <v>7991</v>
      </c>
      <c r="J8000">
        <f t="shared" si="130"/>
        <v>105000</v>
      </c>
      <c r="K8000" t="e">
        <f>VLOOKUP(B8000,'REGISTRO ABONOS'!$B$8:$BC$10041,54,0)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hidden="1" x14ac:dyDescent="0.2">
      <c r="B8001" s="31">
        <v>7992</v>
      </c>
      <c r="J8001">
        <f t="shared" si="130"/>
        <v>105000</v>
      </c>
      <c r="K8001" t="e">
        <f>VLOOKUP(B8001,'REGISTRO ABONOS'!$B$8:$BC$10041,54,0)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hidden="1" x14ac:dyDescent="0.2">
      <c r="B8002" s="31">
        <v>7993</v>
      </c>
      <c r="J8002">
        <f t="shared" si="130"/>
        <v>105000</v>
      </c>
      <c r="K8002" t="e">
        <f>VLOOKUP(B8002,'REGISTRO ABONOS'!$B$8:$BC$10041,54,0)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hidden="1" x14ac:dyDescent="0.2">
      <c r="B8003" s="31">
        <v>7994</v>
      </c>
      <c r="J8003">
        <f t="shared" si="130"/>
        <v>105000</v>
      </c>
      <c r="K8003" t="e">
        <f>VLOOKUP(B8003,'REGISTRO ABONOS'!$B$8:$BC$10041,54,0)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hidden="1" x14ac:dyDescent="0.2">
      <c r="B8004" s="31">
        <v>7995</v>
      </c>
      <c r="J8004">
        <f t="shared" si="130"/>
        <v>105000</v>
      </c>
      <c r="K8004" t="e">
        <f>VLOOKUP(B8004,'REGISTRO ABONOS'!$B$8:$BC$10041,54,0)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hidden="1" x14ac:dyDescent="0.2">
      <c r="B8005" s="31">
        <v>7996</v>
      </c>
      <c r="J8005">
        <f t="shared" si="130"/>
        <v>105000</v>
      </c>
      <c r="K8005" t="e">
        <f>VLOOKUP(B8005,'REGISTRO ABONOS'!$B$8:$BC$10041,54,0)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hidden="1" x14ac:dyDescent="0.2">
      <c r="B8006" s="31">
        <v>7997</v>
      </c>
      <c r="J8006">
        <f t="shared" si="130"/>
        <v>105000</v>
      </c>
      <c r="K8006" t="e">
        <f>VLOOKUP(B8006,'REGISTRO ABONOS'!$B$8:$BC$10041,54,0)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hidden="1" x14ac:dyDescent="0.2">
      <c r="B8007" s="31">
        <v>7998</v>
      </c>
      <c r="J8007">
        <f t="shared" si="130"/>
        <v>105000</v>
      </c>
      <c r="K8007" t="e">
        <f>VLOOKUP(B8007,'REGISTRO ABONOS'!$B$8:$BC$10041,54,0)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hidden="1" x14ac:dyDescent="0.2">
      <c r="B8008" s="31">
        <v>7999</v>
      </c>
      <c r="J8008">
        <f t="shared" si="130"/>
        <v>105000</v>
      </c>
      <c r="K8008" t="e">
        <f>VLOOKUP(B8008,'REGISTRO ABONOS'!$B$8:$BC$10041,54,0)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hidden="1" x14ac:dyDescent="0.2">
      <c r="B8009" s="31">
        <v>8000</v>
      </c>
      <c r="J8009">
        <f t="shared" si="130"/>
        <v>105000</v>
      </c>
      <c r="K8009" t="e">
        <f>VLOOKUP(B8009,'REGISTRO ABONOS'!$B$8:$BC$10041,54,0)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hidden="1" x14ac:dyDescent="0.2">
      <c r="B8010" s="31">
        <v>8001</v>
      </c>
      <c r="J8010">
        <f t="shared" si="130"/>
        <v>105000</v>
      </c>
      <c r="K8010" t="e">
        <f>VLOOKUP(B8010,'REGISTRO ABONOS'!$B$8:$BC$10041,54,0)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hidden="1" x14ac:dyDescent="0.2">
      <c r="B8011" s="31">
        <v>8002</v>
      </c>
      <c r="J8011">
        <f t="shared" si="130"/>
        <v>105000</v>
      </c>
      <c r="K8011" t="e">
        <f>VLOOKUP(B8011,'REGISTRO ABONOS'!$B$8:$BC$10041,54,0)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hidden="1" x14ac:dyDescent="0.2">
      <c r="B8012" s="31">
        <v>8003</v>
      </c>
      <c r="J8012">
        <f t="shared" si="130"/>
        <v>105000</v>
      </c>
      <c r="K8012" t="e">
        <f>VLOOKUP(B8012,'REGISTRO ABONOS'!$B$8:$BC$10041,54,0)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hidden="1" x14ac:dyDescent="0.2">
      <c r="B8013" s="31">
        <v>8004</v>
      </c>
      <c r="J8013">
        <f t="shared" si="130"/>
        <v>105000</v>
      </c>
      <c r="K8013" t="e">
        <f>VLOOKUP(B8013,'REGISTRO ABONOS'!$B$8:$BC$10041,54,0)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hidden="1" x14ac:dyDescent="0.2">
      <c r="B8014" s="31">
        <v>8005</v>
      </c>
      <c r="J8014">
        <f t="shared" si="130"/>
        <v>105000</v>
      </c>
      <c r="K8014" t="e">
        <f>VLOOKUP(B8014,'REGISTRO ABONOS'!$B$8:$BC$10041,54,0)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hidden="1" x14ac:dyDescent="0.2">
      <c r="B8015" s="31">
        <v>8006</v>
      </c>
      <c r="J8015">
        <f t="shared" si="130"/>
        <v>105000</v>
      </c>
      <c r="K8015" t="e">
        <f>VLOOKUP(B8015,'REGISTRO ABONOS'!$B$8:$BC$10041,54,0)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hidden="1" x14ac:dyDescent="0.2">
      <c r="B8016" s="31">
        <v>8007</v>
      </c>
      <c r="J8016">
        <f t="shared" si="130"/>
        <v>105000</v>
      </c>
      <c r="K8016" t="e">
        <f>VLOOKUP(B8016,'REGISTRO ABONOS'!$B$8:$BC$10041,54,0)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hidden="1" x14ac:dyDescent="0.2">
      <c r="B8017" s="31">
        <v>8008</v>
      </c>
      <c r="J8017">
        <f t="shared" si="130"/>
        <v>105000</v>
      </c>
      <c r="K8017" t="e">
        <f>VLOOKUP(B8017,'REGISTRO ABONOS'!$B$8:$BC$10041,54,0)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hidden="1" x14ac:dyDescent="0.2">
      <c r="B8018" s="31">
        <v>8009</v>
      </c>
      <c r="J8018">
        <f t="shared" si="130"/>
        <v>105000</v>
      </c>
      <c r="K8018" t="e">
        <f>VLOOKUP(B8018,'REGISTRO ABONOS'!$B$8:$BC$10041,54,0)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hidden="1" x14ac:dyDescent="0.2">
      <c r="B8019" s="31">
        <v>8010</v>
      </c>
      <c r="J8019">
        <f t="shared" si="130"/>
        <v>105000</v>
      </c>
      <c r="K8019" t="e">
        <f>VLOOKUP(B8019,'REGISTRO ABONOS'!$B$8:$BC$10041,54,0)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hidden="1" x14ac:dyDescent="0.2">
      <c r="B8020" s="31">
        <v>8011</v>
      </c>
      <c r="J8020">
        <f t="shared" si="130"/>
        <v>105000</v>
      </c>
      <c r="K8020" t="e">
        <f>VLOOKUP(B8020,'REGISTRO ABONOS'!$B$8:$BC$10041,54,0)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hidden="1" x14ac:dyDescent="0.2">
      <c r="B8021" s="31">
        <v>8012</v>
      </c>
      <c r="J8021">
        <f t="shared" si="130"/>
        <v>105000</v>
      </c>
      <c r="K8021" t="e">
        <f>VLOOKUP(B8021,'REGISTRO ABONOS'!$B$8:$BC$10041,54,0)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hidden="1" x14ac:dyDescent="0.2">
      <c r="B8022" s="31">
        <v>8013</v>
      </c>
      <c r="J8022">
        <f t="shared" si="130"/>
        <v>105000</v>
      </c>
      <c r="K8022" t="e">
        <f>VLOOKUP(B8022,'REGISTRO ABONOS'!$B$8:$BC$10041,54,0)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hidden="1" x14ac:dyDescent="0.2">
      <c r="B8023" s="31">
        <v>8014</v>
      </c>
      <c r="J8023">
        <f t="shared" si="130"/>
        <v>105000</v>
      </c>
      <c r="K8023" t="e">
        <f>VLOOKUP(B8023,'REGISTRO ABONOS'!$B$8:$BC$10041,54,0)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hidden="1" x14ac:dyDescent="0.2">
      <c r="B8024" s="31">
        <v>8015</v>
      </c>
      <c r="J8024">
        <f t="shared" si="130"/>
        <v>105000</v>
      </c>
      <c r="K8024" t="e">
        <f>VLOOKUP(B8024,'REGISTRO ABONOS'!$B$8:$BC$10041,54,0)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hidden="1" x14ac:dyDescent="0.2">
      <c r="B8025" s="31">
        <v>8016</v>
      </c>
      <c r="J8025">
        <f t="shared" si="130"/>
        <v>105000</v>
      </c>
      <c r="K8025" t="e">
        <f>VLOOKUP(B8025,'REGISTRO ABONOS'!$B$8:$BC$10041,54,0)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hidden="1" x14ac:dyDescent="0.2">
      <c r="B8026" s="31">
        <v>8017</v>
      </c>
      <c r="J8026">
        <f t="shared" si="130"/>
        <v>105000</v>
      </c>
      <c r="K8026" t="e">
        <f>VLOOKUP(B8026,'REGISTRO ABONOS'!$B$8:$BC$10041,54,0)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hidden="1" x14ac:dyDescent="0.2">
      <c r="B8027" s="31">
        <v>8018</v>
      </c>
      <c r="J8027">
        <f t="shared" si="130"/>
        <v>105000</v>
      </c>
      <c r="K8027" t="e">
        <f>VLOOKUP(B8027,'REGISTRO ABONOS'!$B$8:$BC$10041,54,0)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hidden="1" x14ac:dyDescent="0.2">
      <c r="B8028" s="31">
        <v>8019</v>
      </c>
      <c r="J8028">
        <f t="shared" si="130"/>
        <v>105000</v>
      </c>
      <c r="K8028" t="e">
        <f>VLOOKUP(B8028,'REGISTRO ABONOS'!$B$8:$BC$10041,54,0)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hidden="1" x14ac:dyDescent="0.2">
      <c r="B8029" s="31">
        <v>8020</v>
      </c>
      <c r="J8029">
        <f t="shared" si="130"/>
        <v>105000</v>
      </c>
      <c r="K8029" t="e">
        <f>VLOOKUP(B8029,'REGISTRO ABONOS'!$B$8:$BC$10041,54,0)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hidden="1" x14ac:dyDescent="0.2">
      <c r="B8030" s="31">
        <v>8021</v>
      </c>
      <c r="J8030">
        <f t="shared" si="130"/>
        <v>105000</v>
      </c>
      <c r="K8030" t="e">
        <f>VLOOKUP(B8030,'REGISTRO ABONOS'!$B$8:$BC$10041,54,0)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hidden="1" x14ac:dyDescent="0.2">
      <c r="B8031" s="31">
        <v>8022</v>
      </c>
      <c r="J8031">
        <f t="shared" si="130"/>
        <v>105000</v>
      </c>
      <c r="K8031" t="e">
        <f>VLOOKUP(B8031,'REGISTRO ABONOS'!$B$8:$BC$10041,54,0)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hidden="1" x14ac:dyDescent="0.2">
      <c r="B8032" s="31">
        <v>8023</v>
      </c>
      <c r="J8032">
        <f t="shared" si="130"/>
        <v>105000</v>
      </c>
      <c r="K8032" t="e">
        <f>VLOOKUP(B8032,'REGISTRO ABONOS'!$B$8:$BC$10041,54,0)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hidden="1" x14ac:dyDescent="0.2">
      <c r="B8033" s="31">
        <v>8024</v>
      </c>
      <c r="J8033">
        <f t="shared" si="130"/>
        <v>105000</v>
      </c>
      <c r="K8033" t="e">
        <f>VLOOKUP(B8033,'REGISTRO ABONOS'!$B$8:$BC$10041,54,0)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hidden="1" x14ac:dyDescent="0.2">
      <c r="B8034" s="31">
        <v>8025</v>
      </c>
      <c r="J8034">
        <f t="shared" si="130"/>
        <v>105000</v>
      </c>
      <c r="K8034" t="e">
        <f>VLOOKUP(B8034,'REGISTRO ABONOS'!$B$8:$BC$10041,54,0)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hidden="1" x14ac:dyDescent="0.2">
      <c r="B8035" s="31">
        <v>8026</v>
      </c>
      <c r="J8035">
        <f t="shared" si="130"/>
        <v>105000</v>
      </c>
      <c r="K8035" t="e">
        <f>VLOOKUP(B8035,'REGISTRO ABONOS'!$B$8:$BC$10041,54,0)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hidden="1" x14ac:dyDescent="0.2">
      <c r="B8036" s="31">
        <v>8027</v>
      </c>
      <c r="J8036">
        <f t="shared" si="130"/>
        <v>105000</v>
      </c>
      <c r="K8036" t="e">
        <f>VLOOKUP(B8036,'REGISTRO ABONOS'!$B$8:$BC$10041,54,0)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hidden="1" x14ac:dyDescent="0.2">
      <c r="B8037" s="31">
        <v>8028</v>
      </c>
      <c r="J8037">
        <f t="shared" si="130"/>
        <v>105000</v>
      </c>
      <c r="K8037" t="e">
        <f>VLOOKUP(B8037,'REGISTRO ABONOS'!$B$8:$BC$10041,54,0)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hidden="1" x14ac:dyDescent="0.2">
      <c r="B8038" s="31">
        <v>8029</v>
      </c>
      <c r="J8038">
        <f t="shared" si="130"/>
        <v>105000</v>
      </c>
      <c r="K8038" t="e">
        <f>VLOOKUP(B8038,'REGISTRO ABONOS'!$B$8:$BC$10041,54,0)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hidden="1" x14ac:dyDescent="0.2">
      <c r="B8039" s="31">
        <v>8030</v>
      </c>
      <c r="J8039">
        <f t="shared" si="130"/>
        <v>105000</v>
      </c>
      <c r="K8039" t="e">
        <f>VLOOKUP(B8039,'REGISTRO ABONOS'!$B$8:$BC$10041,54,0)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hidden="1" x14ac:dyDescent="0.2">
      <c r="B8040" s="31">
        <v>8031</v>
      </c>
      <c r="J8040">
        <f t="shared" si="130"/>
        <v>105000</v>
      </c>
      <c r="K8040" t="e">
        <f>VLOOKUP(B8040,'REGISTRO ABONOS'!$B$8:$BC$10041,54,0)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hidden="1" x14ac:dyDescent="0.2">
      <c r="B8041" s="31">
        <v>8032</v>
      </c>
      <c r="J8041">
        <f t="shared" si="130"/>
        <v>105000</v>
      </c>
      <c r="K8041" t="e">
        <f>VLOOKUP(B8041,'REGISTRO ABONOS'!$B$8:$BC$10041,54,0)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hidden="1" x14ac:dyDescent="0.2">
      <c r="B8042" s="31">
        <v>8033</v>
      </c>
      <c r="J8042">
        <f t="shared" si="130"/>
        <v>105000</v>
      </c>
      <c r="K8042" t="e">
        <f>VLOOKUP(B8042,'REGISTRO ABONOS'!$B$8:$BC$10041,54,0)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hidden="1" x14ac:dyDescent="0.2">
      <c r="B8043" s="31">
        <v>8034</v>
      </c>
      <c r="J8043">
        <f t="shared" si="130"/>
        <v>105000</v>
      </c>
      <c r="K8043" t="e">
        <f>VLOOKUP(B8043,'REGISTRO ABONOS'!$B$8:$BC$10041,54,0)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hidden="1" x14ac:dyDescent="0.2">
      <c r="B8044" s="31">
        <v>8035</v>
      </c>
      <c r="J8044">
        <f t="shared" si="130"/>
        <v>105000</v>
      </c>
      <c r="K8044" t="e">
        <f>VLOOKUP(B8044,'REGISTRO ABONOS'!$B$8:$BC$10041,54,0)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hidden="1" x14ac:dyDescent="0.2">
      <c r="B8045" s="31">
        <v>8036</v>
      </c>
      <c r="J8045">
        <f t="shared" si="130"/>
        <v>105000</v>
      </c>
      <c r="K8045" t="e">
        <f>VLOOKUP(B8045,'REGISTRO ABONOS'!$B$8:$BC$10041,54,0)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hidden="1" x14ac:dyDescent="0.2">
      <c r="B8046" s="31">
        <v>8037</v>
      </c>
      <c r="J8046">
        <f t="shared" si="130"/>
        <v>105000</v>
      </c>
      <c r="K8046" t="e">
        <f>VLOOKUP(B8046,'REGISTRO ABONOS'!$B$8:$BC$10041,54,0)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30"/>
        <v>105000</v>
      </c>
      <c r="K8047" t="e">
        <f>VLOOKUP(B8047,'REGISTRO ABONOS'!$B$8:$BC$10041,54,0)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hidden="1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ABONOS'!$B$8:$BC$10041,54,0)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hidden="1" x14ac:dyDescent="0.2">
      <c r="B8049" s="31">
        <v>8040</v>
      </c>
      <c r="J8049">
        <f t="shared" si="131"/>
        <v>105000</v>
      </c>
      <c r="K8049" t="e">
        <f>VLOOKUP(B8049,'REGISTRO ABONOS'!$B$8:$BC$10041,54,0)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hidden="1" x14ac:dyDescent="0.2">
      <c r="B8050" s="31">
        <v>8041</v>
      </c>
      <c r="J8050">
        <f t="shared" si="131"/>
        <v>105000</v>
      </c>
      <c r="K8050" t="e">
        <f>VLOOKUP(B8050,'REGISTRO ABONOS'!$B$8:$BC$10041,54,0)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hidden="1" x14ac:dyDescent="0.2">
      <c r="B8051" s="31">
        <v>8042</v>
      </c>
      <c r="J8051">
        <f t="shared" si="131"/>
        <v>105000</v>
      </c>
      <c r="K8051" t="e">
        <f>VLOOKUP(B8051,'REGISTRO ABONOS'!$B$8:$BC$10041,54,0)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hidden="1" x14ac:dyDescent="0.2">
      <c r="B8052" s="31">
        <v>8043</v>
      </c>
      <c r="J8052">
        <f t="shared" si="131"/>
        <v>105000</v>
      </c>
      <c r="K8052" t="e">
        <f>VLOOKUP(B8052,'REGISTRO ABONOS'!$B$8:$BC$10041,54,0)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hidden="1" x14ac:dyDescent="0.2">
      <c r="B8053" s="31">
        <v>8044</v>
      </c>
      <c r="J8053">
        <f t="shared" si="131"/>
        <v>105000</v>
      </c>
      <c r="K8053" t="e">
        <f>VLOOKUP(B8053,'REGISTRO ABONOS'!$B$8:$BC$10041,54,0)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hidden="1" x14ac:dyDescent="0.2">
      <c r="B8054" s="31">
        <v>8045</v>
      </c>
      <c r="J8054">
        <f t="shared" si="131"/>
        <v>105000</v>
      </c>
      <c r="K8054" t="e">
        <f>VLOOKUP(B8054,'REGISTRO ABONOS'!$B$8:$BC$10041,54,0)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hidden="1" x14ac:dyDescent="0.2">
      <c r="B8055" s="31">
        <v>8046</v>
      </c>
      <c r="J8055">
        <f t="shared" si="131"/>
        <v>105000</v>
      </c>
      <c r="K8055" t="e">
        <f>VLOOKUP(B8055,'REGISTRO ABONOS'!$B$8:$BC$10041,54,0)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hidden="1" x14ac:dyDescent="0.2">
      <c r="B8056" s="31">
        <v>8047</v>
      </c>
      <c r="J8056">
        <f t="shared" si="131"/>
        <v>105000</v>
      </c>
      <c r="K8056" t="e">
        <f>VLOOKUP(B8056,'REGISTRO ABONOS'!$B$8:$BC$10041,54,0)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hidden="1" x14ac:dyDescent="0.2">
      <c r="B8057" s="31">
        <v>8048</v>
      </c>
      <c r="J8057">
        <f t="shared" si="131"/>
        <v>105000</v>
      </c>
      <c r="K8057" t="e">
        <f>VLOOKUP(B8057,'REGISTRO ABONOS'!$B$8:$BC$10041,54,0)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hidden="1" x14ac:dyDescent="0.2">
      <c r="B8058" s="31">
        <v>8049</v>
      </c>
      <c r="J8058">
        <f t="shared" si="131"/>
        <v>105000</v>
      </c>
      <c r="K8058" t="e">
        <f>VLOOKUP(B8058,'REGISTRO ABONOS'!$B$8:$BC$10041,54,0)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hidden="1" x14ac:dyDescent="0.2">
      <c r="B8059" s="31">
        <v>8050</v>
      </c>
      <c r="J8059">
        <f t="shared" si="131"/>
        <v>105000</v>
      </c>
      <c r="K8059" t="e">
        <f>VLOOKUP(B8059,'REGISTRO ABONOS'!$B$8:$BC$10041,54,0)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hidden="1" x14ac:dyDescent="0.2">
      <c r="B8060" s="31">
        <v>8051</v>
      </c>
      <c r="J8060">
        <f t="shared" si="131"/>
        <v>105000</v>
      </c>
      <c r="K8060" t="e">
        <f>VLOOKUP(B8060,'REGISTRO ABONOS'!$B$8:$BC$10041,54,0)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hidden="1" x14ac:dyDescent="0.2">
      <c r="B8061" s="31">
        <v>8052</v>
      </c>
      <c r="J8061">
        <f t="shared" si="131"/>
        <v>105000</v>
      </c>
      <c r="K8061" t="e">
        <f>VLOOKUP(B8061,'REGISTRO ABONOS'!$B$8:$BC$10041,54,0)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hidden="1" x14ac:dyDescent="0.2">
      <c r="B8062" s="31">
        <v>8053</v>
      </c>
      <c r="J8062">
        <f t="shared" si="131"/>
        <v>105000</v>
      </c>
      <c r="K8062" t="e">
        <f>VLOOKUP(B8062,'REGISTRO ABONOS'!$B$8:$BC$10041,54,0)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hidden="1" x14ac:dyDescent="0.2">
      <c r="B8063" s="31">
        <v>8054</v>
      </c>
      <c r="J8063">
        <f t="shared" si="131"/>
        <v>105000</v>
      </c>
      <c r="K8063" t="e">
        <f>VLOOKUP(B8063,'REGISTRO ABONOS'!$B$8:$BC$10041,54,0)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hidden="1" x14ac:dyDescent="0.2">
      <c r="B8064" s="31">
        <v>8055</v>
      </c>
      <c r="J8064">
        <f t="shared" si="131"/>
        <v>105000</v>
      </c>
      <c r="K8064" t="e">
        <f>VLOOKUP(B8064,'REGISTRO ABONOS'!$B$8:$BC$10041,54,0)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hidden="1" x14ac:dyDescent="0.2">
      <c r="B8065" s="31">
        <v>8056</v>
      </c>
      <c r="J8065">
        <f t="shared" si="131"/>
        <v>105000</v>
      </c>
      <c r="K8065" t="e">
        <f>VLOOKUP(B8065,'REGISTRO ABONOS'!$B$8:$BC$10041,54,0)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hidden="1" x14ac:dyDescent="0.2">
      <c r="B8066" s="31">
        <v>8057</v>
      </c>
      <c r="J8066">
        <f t="shared" si="131"/>
        <v>105000</v>
      </c>
      <c r="K8066" t="e">
        <f>VLOOKUP(B8066,'REGISTRO ABONOS'!$B$8:$BC$10041,54,0)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hidden="1" x14ac:dyDescent="0.2">
      <c r="B8067" s="31">
        <v>8058</v>
      </c>
      <c r="J8067">
        <f t="shared" si="131"/>
        <v>105000</v>
      </c>
      <c r="K8067" t="e">
        <f>VLOOKUP(B8067,'REGISTRO ABONOS'!$B$8:$BC$10041,54,0)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hidden="1" x14ac:dyDescent="0.2">
      <c r="B8068" s="31">
        <v>8059</v>
      </c>
      <c r="J8068">
        <f t="shared" si="131"/>
        <v>105000</v>
      </c>
      <c r="K8068" t="e">
        <f>VLOOKUP(B8068,'REGISTRO ABONOS'!$B$8:$BC$10041,54,0)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hidden="1" x14ac:dyDescent="0.2">
      <c r="B8069" s="31">
        <v>8060</v>
      </c>
      <c r="J8069">
        <f t="shared" si="131"/>
        <v>105000</v>
      </c>
      <c r="K8069" t="e">
        <f>VLOOKUP(B8069,'REGISTRO ABONOS'!$B$8:$BC$10041,54,0)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hidden="1" x14ac:dyDescent="0.2">
      <c r="B8070" s="31">
        <v>8061</v>
      </c>
      <c r="J8070">
        <f t="shared" si="131"/>
        <v>105000</v>
      </c>
      <c r="K8070" t="e">
        <f>VLOOKUP(B8070,'REGISTRO ABONOS'!$B$8:$BC$10041,54,0)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hidden="1" x14ac:dyDescent="0.2">
      <c r="B8071" s="31">
        <v>8062</v>
      </c>
      <c r="J8071">
        <f t="shared" si="131"/>
        <v>105000</v>
      </c>
      <c r="K8071" t="e">
        <f>VLOOKUP(B8071,'REGISTRO ABONOS'!$B$8:$BC$10041,54,0)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hidden="1" x14ac:dyDescent="0.2">
      <c r="B8072" s="31">
        <v>8063</v>
      </c>
      <c r="J8072">
        <f t="shared" si="131"/>
        <v>105000</v>
      </c>
      <c r="K8072" t="e">
        <f>VLOOKUP(B8072,'REGISTRO ABONOS'!$B$8:$BC$10041,54,0)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hidden="1" x14ac:dyDescent="0.2">
      <c r="B8073" s="31">
        <v>8064</v>
      </c>
      <c r="J8073">
        <f t="shared" si="131"/>
        <v>105000</v>
      </c>
      <c r="K8073" t="e">
        <f>VLOOKUP(B8073,'REGISTRO ABONOS'!$B$8:$BC$10041,54,0)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hidden="1" x14ac:dyDescent="0.2">
      <c r="B8074" s="31">
        <v>8065</v>
      </c>
      <c r="J8074">
        <f t="shared" si="131"/>
        <v>105000</v>
      </c>
      <c r="K8074" t="e">
        <f>VLOOKUP(B8074,'REGISTRO ABONOS'!$B$8:$BC$10041,54,0)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hidden="1" x14ac:dyDescent="0.2">
      <c r="B8075" s="31">
        <v>8066</v>
      </c>
      <c r="J8075">
        <f t="shared" si="131"/>
        <v>105000</v>
      </c>
      <c r="K8075" t="e">
        <f>VLOOKUP(B8075,'REGISTRO ABONOS'!$B$8:$BC$10041,54,0)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hidden="1" x14ac:dyDescent="0.2">
      <c r="B8076" s="31">
        <v>8067</v>
      </c>
      <c r="J8076">
        <f t="shared" si="131"/>
        <v>105000</v>
      </c>
      <c r="K8076" t="e">
        <f>VLOOKUP(B8076,'REGISTRO ABONOS'!$B$8:$BC$10041,54,0)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hidden="1" x14ac:dyDescent="0.2">
      <c r="B8077" s="31">
        <v>8068</v>
      </c>
      <c r="J8077">
        <f t="shared" si="131"/>
        <v>105000</v>
      </c>
      <c r="K8077" t="e">
        <f>VLOOKUP(B8077,'REGISTRO ABONOS'!$B$8:$BC$10041,54,0)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hidden="1" x14ac:dyDescent="0.2">
      <c r="B8078" s="31">
        <v>8069</v>
      </c>
      <c r="J8078">
        <f t="shared" si="131"/>
        <v>105000</v>
      </c>
      <c r="K8078" t="e">
        <f>VLOOKUP(B8078,'REGISTRO ABONOS'!$B$8:$BC$10041,54,0)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hidden="1" x14ac:dyDescent="0.2">
      <c r="B8079" s="31">
        <v>8070</v>
      </c>
      <c r="J8079">
        <f t="shared" si="131"/>
        <v>105000</v>
      </c>
      <c r="K8079" t="e">
        <f>VLOOKUP(B8079,'REGISTRO ABONOS'!$B$8:$BC$10041,54,0)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hidden="1" x14ac:dyDescent="0.2">
      <c r="B8080" s="31">
        <v>8071</v>
      </c>
      <c r="J8080">
        <f t="shared" si="131"/>
        <v>105000</v>
      </c>
      <c r="K8080" t="e">
        <f>VLOOKUP(B8080,'REGISTRO ABONOS'!$B$8:$BC$10041,54,0)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hidden="1" x14ac:dyDescent="0.2">
      <c r="B8081" s="31">
        <v>8072</v>
      </c>
      <c r="J8081">
        <f t="shared" si="131"/>
        <v>105000</v>
      </c>
      <c r="K8081" t="e">
        <f>VLOOKUP(B8081,'REGISTRO ABONOS'!$B$8:$BC$10041,54,0)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hidden="1" x14ac:dyDescent="0.2">
      <c r="B8082" s="31">
        <v>8073</v>
      </c>
      <c r="J8082">
        <f t="shared" si="131"/>
        <v>105000</v>
      </c>
      <c r="K8082" t="e">
        <f>VLOOKUP(B8082,'REGISTRO ABONOS'!$B$8:$BC$10041,54,0)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hidden="1" x14ac:dyDescent="0.2">
      <c r="B8083" s="31">
        <v>8074</v>
      </c>
      <c r="J8083">
        <f t="shared" si="131"/>
        <v>105000</v>
      </c>
      <c r="K8083" t="e">
        <f>VLOOKUP(B8083,'REGISTRO ABONOS'!$B$8:$BC$10041,54,0)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hidden="1" x14ac:dyDescent="0.2">
      <c r="B8084" s="31">
        <v>8075</v>
      </c>
      <c r="J8084">
        <f t="shared" si="131"/>
        <v>105000</v>
      </c>
      <c r="K8084" t="e">
        <f>VLOOKUP(B8084,'REGISTRO ABONOS'!$B$8:$BC$10041,54,0)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hidden="1" x14ac:dyDescent="0.2">
      <c r="B8085" s="31">
        <v>8076</v>
      </c>
      <c r="J8085">
        <f t="shared" si="131"/>
        <v>105000</v>
      </c>
      <c r="K8085" t="e">
        <f>VLOOKUP(B8085,'REGISTRO ABONOS'!$B$8:$BC$10041,54,0)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hidden="1" x14ac:dyDescent="0.2">
      <c r="B8086" s="31">
        <v>8077</v>
      </c>
      <c r="J8086">
        <f t="shared" si="131"/>
        <v>105000</v>
      </c>
      <c r="K8086" t="e">
        <f>VLOOKUP(B8086,'REGISTRO ABONOS'!$B$8:$BC$10041,54,0)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hidden="1" x14ac:dyDescent="0.2">
      <c r="B8087" s="31">
        <v>8078</v>
      </c>
      <c r="J8087">
        <f t="shared" si="131"/>
        <v>105000</v>
      </c>
      <c r="K8087" t="e">
        <f>VLOOKUP(B8087,'REGISTRO ABONOS'!$B$8:$BC$10041,54,0)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hidden="1" x14ac:dyDescent="0.2">
      <c r="B8088" s="31">
        <v>8079</v>
      </c>
      <c r="J8088">
        <f t="shared" si="131"/>
        <v>105000</v>
      </c>
      <c r="K8088" t="e">
        <f>VLOOKUP(B8088,'REGISTRO ABONOS'!$B$8:$BC$10041,54,0)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hidden="1" x14ac:dyDescent="0.2">
      <c r="B8089" s="31">
        <v>8080</v>
      </c>
      <c r="J8089">
        <f t="shared" si="131"/>
        <v>105000</v>
      </c>
      <c r="K8089" t="e">
        <f>VLOOKUP(B8089,'REGISTRO ABONOS'!$B$8:$BC$10041,54,0)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hidden="1" x14ac:dyDescent="0.2">
      <c r="B8090" s="31">
        <v>8081</v>
      </c>
      <c r="J8090">
        <f t="shared" si="131"/>
        <v>105000</v>
      </c>
      <c r="K8090" t="e">
        <f>VLOOKUP(B8090,'REGISTRO ABONOS'!$B$8:$BC$10041,54,0)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hidden="1" x14ac:dyDescent="0.2">
      <c r="B8091" s="31">
        <v>8082</v>
      </c>
      <c r="J8091">
        <f t="shared" si="131"/>
        <v>105000</v>
      </c>
      <c r="K8091" t="e">
        <f>VLOOKUP(B8091,'REGISTRO ABONOS'!$B$8:$BC$10041,54,0)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hidden="1" x14ac:dyDescent="0.2">
      <c r="B8092" s="31">
        <v>8083</v>
      </c>
      <c r="J8092">
        <f t="shared" si="131"/>
        <v>105000</v>
      </c>
      <c r="K8092" t="e">
        <f>VLOOKUP(B8092,'REGISTRO ABONOS'!$B$8:$BC$10041,54,0)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hidden="1" x14ac:dyDescent="0.2">
      <c r="B8093" s="31">
        <v>8084</v>
      </c>
      <c r="J8093">
        <f t="shared" si="131"/>
        <v>105000</v>
      </c>
      <c r="K8093" t="e">
        <f>VLOOKUP(B8093,'REGISTRO ABONOS'!$B$8:$BC$10041,54,0)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hidden="1" x14ac:dyDescent="0.2">
      <c r="B8094" s="31">
        <v>8085</v>
      </c>
      <c r="J8094">
        <f t="shared" si="131"/>
        <v>105000</v>
      </c>
      <c r="K8094" t="e">
        <f>VLOOKUP(B8094,'REGISTRO ABONOS'!$B$8:$BC$10041,54,0)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hidden="1" x14ac:dyDescent="0.2">
      <c r="B8095" s="31">
        <v>8086</v>
      </c>
      <c r="J8095">
        <f t="shared" si="131"/>
        <v>105000</v>
      </c>
      <c r="K8095" t="e">
        <f>VLOOKUP(B8095,'REGISTRO ABONOS'!$B$8:$BC$10041,54,0)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hidden="1" x14ac:dyDescent="0.2">
      <c r="B8096" s="31">
        <v>8087</v>
      </c>
      <c r="J8096">
        <f t="shared" si="131"/>
        <v>105000</v>
      </c>
      <c r="K8096" t="e">
        <f>VLOOKUP(B8096,'REGISTRO ABONOS'!$B$8:$BC$10041,54,0)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hidden="1" x14ac:dyDescent="0.2">
      <c r="B8097" s="31">
        <v>8088</v>
      </c>
      <c r="J8097">
        <f t="shared" si="131"/>
        <v>105000</v>
      </c>
      <c r="K8097" t="e">
        <f>VLOOKUP(B8097,'REGISTRO ABONOS'!$B$8:$BC$10041,54,0)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hidden="1" x14ac:dyDescent="0.2">
      <c r="B8098" s="31">
        <v>8089</v>
      </c>
      <c r="J8098">
        <f t="shared" si="131"/>
        <v>105000</v>
      </c>
      <c r="K8098" t="e">
        <f>VLOOKUP(B8098,'REGISTRO ABONOS'!$B$8:$BC$10041,54,0)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hidden="1" x14ac:dyDescent="0.2">
      <c r="B8099" s="31">
        <v>8090</v>
      </c>
      <c r="J8099">
        <f t="shared" si="131"/>
        <v>105000</v>
      </c>
      <c r="K8099" t="e">
        <f>VLOOKUP(B8099,'REGISTRO ABONOS'!$B$8:$BC$10041,54,0)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hidden="1" x14ac:dyDescent="0.2">
      <c r="B8100" s="31">
        <v>8091</v>
      </c>
      <c r="J8100">
        <f t="shared" si="131"/>
        <v>105000</v>
      </c>
      <c r="K8100" t="e">
        <f>VLOOKUP(B8100,'REGISTRO ABONOS'!$B$8:$BC$10041,54,0)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hidden="1" x14ac:dyDescent="0.2">
      <c r="B8101" s="31">
        <v>8092</v>
      </c>
      <c r="J8101">
        <f t="shared" si="131"/>
        <v>105000</v>
      </c>
      <c r="K8101" t="e">
        <f>VLOOKUP(B8101,'REGISTRO ABONOS'!$B$8:$BC$10041,54,0)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hidden="1" x14ac:dyDescent="0.2">
      <c r="B8102" s="31">
        <v>8093</v>
      </c>
      <c r="J8102">
        <f t="shared" si="131"/>
        <v>105000</v>
      </c>
      <c r="K8102" t="e">
        <f>VLOOKUP(B8102,'REGISTRO ABONOS'!$B$8:$BC$10041,54,0)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hidden="1" x14ac:dyDescent="0.2">
      <c r="B8103" s="31">
        <v>8094</v>
      </c>
      <c r="J8103">
        <f t="shared" si="131"/>
        <v>105000</v>
      </c>
      <c r="K8103" t="e">
        <f>VLOOKUP(B8103,'REGISTRO ABONOS'!$B$8:$BC$10041,54,0)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hidden="1" x14ac:dyDescent="0.2">
      <c r="B8104" s="31">
        <v>8095</v>
      </c>
      <c r="J8104">
        <f t="shared" si="131"/>
        <v>105000</v>
      </c>
      <c r="K8104" t="e">
        <f>VLOOKUP(B8104,'REGISTRO ABONOS'!$B$8:$BC$10041,54,0)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hidden="1" x14ac:dyDescent="0.2">
      <c r="B8105" s="31">
        <v>8096</v>
      </c>
      <c r="J8105">
        <f t="shared" si="131"/>
        <v>105000</v>
      </c>
      <c r="K8105" t="e">
        <f>VLOOKUP(B8105,'REGISTRO ABONOS'!$B$8:$BC$10041,54,0)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hidden="1" x14ac:dyDescent="0.2">
      <c r="B8106" s="31">
        <v>8097</v>
      </c>
      <c r="J8106">
        <f t="shared" si="131"/>
        <v>105000</v>
      </c>
      <c r="K8106" t="e">
        <f>VLOOKUP(B8106,'REGISTRO ABONOS'!$B$8:$BC$10041,54,0)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hidden="1" x14ac:dyDescent="0.2">
      <c r="B8107" s="31">
        <v>8098</v>
      </c>
      <c r="J8107">
        <f t="shared" si="131"/>
        <v>105000</v>
      </c>
      <c r="K8107" t="e">
        <f>VLOOKUP(B8107,'REGISTRO ABONOS'!$B$8:$BC$10041,54,0)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hidden="1" x14ac:dyDescent="0.2">
      <c r="B8108" s="31">
        <v>8099</v>
      </c>
      <c r="J8108">
        <f t="shared" si="131"/>
        <v>105000</v>
      </c>
      <c r="K8108" t="e">
        <f>VLOOKUP(B8108,'REGISTRO ABONOS'!$B$8:$BC$10041,54,0)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hidden="1" x14ac:dyDescent="0.2">
      <c r="B8109" s="31">
        <v>8100</v>
      </c>
      <c r="J8109">
        <f t="shared" si="131"/>
        <v>105000</v>
      </c>
      <c r="K8109" t="e">
        <f>VLOOKUP(B8109,'REGISTRO ABONOS'!$B$8:$BC$10041,54,0)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hidden="1" x14ac:dyDescent="0.2">
      <c r="B8110" s="31">
        <v>8101</v>
      </c>
      <c r="J8110">
        <f t="shared" si="131"/>
        <v>105000</v>
      </c>
      <c r="K8110" t="e">
        <f>VLOOKUP(B8110,'REGISTRO ABONOS'!$B$8:$BC$10041,54,0)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hidden="1" x14ac:dyDescent="0.2">
      <c r="B8111" s="31">
        <v>8102</v>
      </c>
      <c r="J8111">
        <f t="shared" si="131"/>
        <v>105000</v>
      </c>
      <c r="K8111" t="e">
        <f>VLOOKUP(B8111,'REGISTRO ABONOS'!$B$8:$BC$10041,54,0)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hidden="1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ABONOS'!$B$8:$BC$10041,54,0)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hidden="1" x14ac:dyDescent="0.2">
      <c r="B8113" s="31">
        <v>8104</v>
      </c>
      <c r="J8113">
        <f t="shared" si="132"/>
        <v>105000</v>
      </c>
      <c r="K8113" t="e">
        <f>VLOOKUP(B8113,'REGISTRO ABONOS'!$B$8:$BC$10041,54,0)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hidden="1" x14ac:dyDescent="0.2">
      <c r="B8114" s="31">
        <v>8105</v>
      </c>
      <c r="J8114">
        <f t="shared" si="132"/>
        <v>105000</v>
      </c>
      <c r="K8114" t="e">
        <f>VLOOKUP(B8114,'REGISTRO ABONOS'!$B$8:$BC$10041,54,0)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hidden="1" x14ac:dyDescent="0.2">
      <c r="B8115" s="31">
        <v>8106</v>
      </c>
      <c r="J8115">
        <f t="shared" si="132"/>
        <v>105000</v>
      </c>
      <c r="K8115" t="e">
        <f>VLOOKUP(B8115,'REGISTRO ABONOS'!$B$8:$BC$10041,54,0)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hidden="1" x14ac:dyDescent="0.2">
      <c r="B8116" s="31">
        <v>8107</v>
      </c>
      <c r="J8116">
        <f t="shared" si="132"/>
        <v>105000</v>
      </c>
      <c r="K8116" t="e">
        <f>VLOOKUP(B8116,'REGISTRO ABONOS'!$B$8:$BC$10041,54,0)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hidden="1" x14ac:dyDescent="0.2">
      <c r="B8117" s="31">
        <v>8108</v>
      </c>
      <c r="J8117">
        <f t="shared" si="132"/>
        <v>105000</v>
      </c>
      <c r="K8117" t="e">
        <f>VLOOKUP(B8117,'REGISTRO ABONOS'!$B$8:$BC$10041,54,0)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hidden="1" x14ac:dyDescent="0.2">
      <c r="B8118" s="31">
        <v>8109</v>
      </c>
      <c r="J8118">
        <f t="shared" si="132"/>
        <v>105000</v>
      </c>
      <c r="K8118" t="e">
        <f>VLOOKUP(B8118,'REGISTRO ABONOS'!$B$8:$BC$10041,54,0)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hidden="1" x14ac:dyDescent="0.2">
      <c r="B8119" s="31">
        <v>8110</v>
      </c>
      <c r="J8119">
        <f t="shared" si="132"/>
        <v>105000</v>
      </c>
      <c r="K8119" t="e">
        <f>VLOOKUP(B8119,'REGISTRO ABONOS'!$B$8:$BC$10041,54,0)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hidden="1" x14ac:dyDescent="0.2">
      <c r="B8120" s="31">
        <v>8111</v>
      </c>
      <c r="J8120">
        <f t="shared" si="132"/>
        <v>105000</v>
      </c>
      <c r="K8120" t="e">
        <f>VLOOKUP(B8120,'REGISTRO ABONOS'!$B$8:$BC$10041,54,0)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hidden="1" x14ac:dyDescent="0.2">
      <c r="B8121" s="31">
        <v>8112</v>
      </c>
      <c r="J8121">
        <f t="shared" si="132"/>
        <v>105000</v>
      </c>
      <c r="K8121" t="e">
        <f>VLOOKUP(B8121,'REGISTRO ABONOS'!$B$8:$BC$10041,54,0)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hidden="1" x14ac:dyDescent="0.2">
      <c r="B8122" s="31">
        <v>8113</v>
      </c>
      <c r="J8122">
        <f t="shared" si="132"/>
        <v>105000</v>
      </c>
      <c r="K8122" t="e">
        <f>VLOOKUP(B8122,'REGISTRO ABONOS'!$B$8:$BC$10041,54,0)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hidden="1" x14ac:dyDescent="0.2">
      <c r="B8123" s="31">
        <v>8114</v>
      </c>
      <c r="J8123">
        <f t="shared" si="132"/>
        <v>105000</v>
      </c>
      <c r="K8123" t="e">
        <f>VLOOKUP(B8123,'REGISTRO ABONOS'!$B$8:$BC$10041,54,0)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hidden="1" x14ac:dyDescent="0.2">
      <c r="B8124" s="31">
        <v>8115</v>
      </c>
      <c r="J8124">
        <f t="shared" si="132"/>
        <v>105000</v>
      </c>
      <c r="K8124" t="e">
        <f>VLOOKUP(B8124,'REGISTRO ABONOS'!$B$8:$BC$10041,54,0)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hidden="1" x14ac:dyDescent="0.2">
      <c r="B8125" s="31">
        <v>8116</v>
      </c>
      <c r="J8125">
        <f t="shared" si="132"/>
        <v>105000</v>
      </c>
      <c r="K8125" t="e">
        <f>VLOOKUP(B8125,'REGISTRO ABONOS'!$B$8:$BC$10041,54,0)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hidden="1" x14ac:dyDescent="0.2">
      <c r="B8126" s="31">
        <v>8117</v>
      </c>
      <c r="J8126">
        <f t="shared" si="132"/>
        <v>105000</v>
      </c>
      <c r="K8126" t="e">
        <f>VLOOKUP(B8126,'REGISTRO ABONOS'!$B$8:$BC$10041,54,0)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hidden="1" x14ac:dyDescent="0.2">
      <c r="B8127" s="31">
        <v>8118</v>
      </c>
      <c r="J8127">
        <f t="shared" si="132"/>
        <v>105000</v>
      </c>
      <c r="K8127" t="e">
        <f>VLOOKUP(B8127,'REGISTRO ABONOS'!$B$8:$BC$10041,54,0)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hidden="1" x14ac:dyDescent="0.2">
      <c r="B8128" s="31">
        <v>8119</v>
      </c>
      <c r="J8128">
        <f t="shared" si="132"/>
        <v>105000</v>
      </c>
      <c r="K8128" t="e">
        <f>VLOOKUP(B8128,'REGISTRO ABONOS'!$B$8:$BC$10041,54,0)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hidden="1" x14ac:dyDescent="0.2">
      <c r="B8129" s="31">
        <v>8120</v>
      </c>
      <c r="J8129">
        <f t="shared" si="132"/>
        <v>105000</v>
      </c>
      <c r="K8129" t="e">
        <f>VLOOKUP(B8129,'REGISTRO ABONOS'!$B$8:$BC$10041,54,0)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hidden="1" x14ac:dyDescent="0.2">
      <c r="B8130" s="31">
        <v>8121</v>
      </c>
      <c r="J8130">
        <f t="shared" si="132"/>
        <v>105000</v>
      </c>
      <c r="K8130" t="e">
        <f>VLOOKUP(B8130,'REGISTRO ABONOS'!$B$8:$BC$10041,54,0)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hidden="1" x14ac:dyDescent="0.2">
      <c r="B8131" s="31">
        <v>8122</v>
      </c>
      <c r="J8131">
        <f t="shared" si="132"/>
        <v>105000</v>
      </c>
      <c r="K8131" t="e">
        <f>VLOOKUP(B8131,'REGISTRO ABONOS'!$B$8:$BC$10041,54,0)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hidden="1" x14ac:dyDescent="0.2">
      <c r="B8132" s="31">
        <v>8123</v>
      </c>
      <c r="J8132">
        <f t="shared" si="132"/>
        <v>105000</v>
      </c>
      <c r="K8132" t="e">
        <f>VLOOKUP(B8132,'REGISTRO ABONOS'!$B$8:$BC$10041,54,0)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hidden="1" x14ac:dyDescent="0.2">
      <c r="B8133" s="31">
        <v>8124</v>
      </c>
      <c r="J8133">
        <f t="shared" si="132"/>
        <v>105000</v>
      </c>
      <c r="K8133" t="e">
        <f>VLOOKUP(B8133,'REGISTRO ABONOS'!$B$8:$BC$10041,54,0)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hidden="1" x14ac:dyDescent="0.2">
      <c r="B8134" s="31">
        <v>8125</v>
      </c>
      <c r="J8134">
        <f t="shared" si="132"/>
        <v>105000</v>
      </c>
      <c r="K8134" t="e">
        <f>VLOOKUP(B8134,'REGISTRO ABONOS'!$B$8:$BC$10041,54,0)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hidden="1" x14ac:dyDescent="0.2">
      <c r="B8135" s="31">
        <v>8126</v>
      </c>
      <c r="J8135">
        <f t="shared" si="132"/>
        <v>105000</v>
      </c>
      <c r="K8135" t="e">
        <f>VLOOKUP(B8135,'REGISTRO ABONOS'!$B$8:$BC$10041,54,0)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hidden="1" x14ac:dyDescent="0.2">
      <c r="B8136" s="31">
        <v>8127</v>
      </c>
      <c r="J8136">
        <f t="shared" si="132"/>
        <v>105000</v>
      </c>
      <c r="K8136" t="e">
        <f>VLOOKUP(B8136,'REGISTRO ABONOS'!$B$8:$BC$10041,54,0)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hidden="1" x14ac:dyDescent="0.2">
      <c r="B8137" s="31">
        <v>8128</v>
      </c>
      <c r="J8137">
        <f t="shared" si="132"/>
        <v>105000</v>
      </c>
      <c r="K8137" t="e">
        <f>VLOOKUP(B8137,'REGISTRO ABONOS'!$B$8:$BC$10041,54,0)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hidden="1" x14ac:dyDescent="0.2">
      <c r="B8138" s="31">
        <v>8129</v>
      </c>
      <c r="J8138">
        <f t="shared" si="132"/>
        <v>105000</v>
      </c>
      <c r="K8138" t="e">
        <f>VLOOKUP(B8138,'REGISTRO ABONOS'!$B$8:$BC$10041,54,0)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hidden="1" x14ac:dyDescent="0.2">
      <c r="B8139" s="31">
        <v>8130</v>
      </c>
      <c r="J8139">
        <f t="shared" si="132"/>
        <v>105000</v>
      </c>
      <c r="K8139" t="e">
        <f>VLOOKUP(B8139,'REGISTRO ABONOS'!$B$8:$BC$10041,54,0)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hidden="1" x14ac:dyDescent="0.2">
      <c r="B8140" s="31">
        <v>8131</v>
      </c>
      <c r="J8140">
        <f t="shared" si="132"/>
        <v>105000</v>
      </c>
      <c r="K8140" t="e">
        <f>VLOOKUP(B8140,'REGISTRO ABONOS'!$B$8:$BC$10041,54,0)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hidden="1" x14ac:dyDescent="0.2">
      <c r="B8141" s="31">
        <v>8132</v>
      </c>
      <c r="J8141">
        <f t="shared" si="132"/>
        <v>105000</v>
      </c>
      <c r="K8141" t="e">
        <f>VLOOKUP(B8141,'REGISTRO ABONOS'!$B$8:$BC$10041,54,0)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hidden="1" x14ac:dyDescent="0.2">
      <c r="B8142" s="31">
        <v>8133</v>
      </c>
      <c r="J8142">
        <f t="shared" si="132"/>
        <v>105000</v>
      </c>
      <c r="K8142" t="e">
        <f>VLOOKUP(B8142,'REGISTRO ABONOS'!$B$8:$BC$10041,54,0)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hidden="1" x14ac:dyDescent="0.2">
      <c r="B8143" s="31">
        <v>8134</v>
      </c>
      <c r="J8143">
        <f t="shared" si="132"/>
        <v>105000</v>
      </c>
      <c r="K8143" t="e">
        <f>VLOOKUP(B8143,'REGISTRO ABONOS'!$B$8:$BC$10041,54,0)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hidden="1" x14ac:dyDescent="0.2">
      <c r="B8144" s="31">
        <v>8135</v>
      </c>
      <c r="J8144">
        <f t="shared" si="132"/>
        <v>105000</v>
      </c>
      <c r="K8144" t="e">
        <f>VLOOKUP(B8144,'REGISTRO ABONOS'!$B$8:$BC$10041,54,0)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hidden="1" x14ac:dyDescent="0.2">
      <c r="B8145" s="31">
        <v>8136</v>
      </c>
      <c r="J8145">
        <f t="shared" si="132"/>
        <v>105000</v>
      </c>
      <c r="K8145" t="e">
        <f>VLOOKUP(B8145,'REGISTRO ABONOS'!$B$8:$BC$10041,54,0)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hidden="1" x14ac:dyDescent="0.2">
      <c r="B8146" s="31">
        <v>8137</v>
      </c>
      <c r="J8146">
        <f t="shared" si="132"/>
        <v>105000</v>
      </c>
      <c r="K8146" t="e">
        <f>VLOOKUP(B8146,'REGISTRO ABONOS'!$B$8:$BC$10041,54,0)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hidden="1" x14ac:dyDescent="0.2">
      <c r="B8147" s="31">
        <v>8138</v>
      </c>
      <c r="J8147">
        <f t="shared" si="132"/>
        <v>105000</v>
      </c>
      <c r="K8147" t="e">
        <f>VLOOKUP(B8147,'REGISTRO ABONOS'!$B$8:$BC$10041,54,0)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hidden="1" x14ac:dyDescent="0.2">
      <c r="B8148" s="31">
        <v>8139</v>
      </c>
      <c r="J8148">
        <f t="shared" si="132"/>
        <v>105000</v>
      </c>
      <c r="K8148" t="e">
        <f>VLOOKUP(B8148,'REGISTRO ABONOS'!$B$8:$BC$10041,54,0)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hidden="1" x14ac:dyDescent="0.2">
      <c r="B8149" s="31">
        <v>8140</v>
      </c>
      <c r="J8149">
        <f t="shared" si="132"/>
        <v>105000</v>
      </c>
      <c r="K8149" t="e">
        <f>VLOOKUP(B8149,'REGISTRO ABONOS'!$B$8:$BC$10041,54,0)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hidden="1" x14ac:dyDescent="0.2">
      <c r="B8150" s="31">
        <v>8141</v>
      </c>
      <c r="J8150">
        <f t="shared" si="132"/>
        <v>105000</v>
      </c>
      <c r="K8150" t="e">
        <f>VLOOKUP(B8150,'REGISTRO ABONOS'!$B$8:$BC$10041,54,0)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hidden="1" x14ac:dyDescent="0.2">
      <c r="B8151" s="31">
        <v>8142</v>
      </c>
      <c r="J8151">
        <f t="shared" si="132"/>
        <v>105000</v>
      </c>
      <c r="K8151" t="e">
        <f>VLOOKUP(B8151,'REGISTRO ABONOS'!$B$8:$BC$10041,54,0)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hidden="1" x14ac:dyDescent="0.2">
      <c r="B8152" s="31">
        <v>8143</v>
      </c>
      <c r="J8152">
        <f t="shared" si="132"/>
        <v>105000</v>
      </c>
      <c r="K8152" t="e">
        <f>VLOOKUP(B8152,'REGISTRO ABONOS'!$B$8:$BC$10041,54,0)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hidden="1" x14ac:dyDescent="0.2">
      <c r="B8153" s="31">
        <v>8144</v>
      </c>
      <c r="J8153">
        <f t="shared" si="132"/>
        <v>105000</v>
      </c>
      <c r="K8153" t="e">
        <f>VLOOKUP(B8153,'REGISTRO ABONOS'!$B$8:$BC$10041,54,0)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hidden="1" x14ac:dyDescent="0.2">
      <c r="B8154" s="31">
        <v>8145</v>
      </c>
      <c r="J8154">
        <f t="shared" si="132"/>
        <v>105000</v>
      </c>
      <c r="K8154" t="e">
        <f>VLOOKUP(B8154,'REGISTRO ABONOS'!$B$8:$BC$10041,54,0)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hidden="1" x14ac:dyDescent="0.2">
      <c r="B8155" s="31">
        <v>8146</v>
      </c>
      <c r="J8155">
        <f t="shared" si="132"/>
        <v>105000</v>
      </c>
      <c r="K8155" t="e">
        <f>VLOOKUP(B8155,'REGISTRO ABONOS'!$B$8:$BC$10041,54,0)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hidden="1" x14ac:dyDescent="0.2">
      <c r="B8156" s="31">
        <v>8147</v>
      </c>
      <c r="J8156">
        <f t="shared" si="132"/>
        <v>105000</v>
      </c>
      <c r="K8156" t="e">
        <f>VLOOKUP(B8156,'REGISTRO ABONOS'!$B$8:$BC$10041,54,0)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hidden="1" x14ac:dyDescent="0.2">
      <c r="B8157" s="31">
        <v>8148</v>
      </c>
      <c r="J8157">
        <f t="shared" si="132"/>
        <v>105000</v>
      </c>
      <c r="K8157" t="e">
        <f>VLOOKUP(B8157,'REGISTRO ABONOS'!$B$8:$BC$10041,54,0)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hidden="1" x14ac:dyDescent="0.2">
      <c r="B8158" s="31">
        <v>8149</v>
      </c>
      <c r="J8158">
        <f t="shared" si="132"/>
        <v>105000</v>
      </c>
      <c r="K8158" t="e">
        <f>VLOOKUP(B8158,'REGISTRO ABONOS'!$B$8:$BC$10041,54,0)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hidden="1" x14ac:dyDescent="0.2">
      <c r="B8159" s="31">
        <v>8150</v>
      </c>
      <c r="J8159">
        <f t="shared" si="132"/>
        <v>105000</v>
      </c>
      <c r="K8159" t="e">
        <f>VLOOKUP(B8159,'REGISTRO ABONOS'!$B$8:$BC$10041,54,0)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hidden="1" x14ac:dyDescent="0.2">
      <c r="B8160" s="31">
        <v>8151</v>
      </c>
      <c r="J8160">
        <f t="shared" si="132"/>
        <v>105000</v>
      </c>
      <c r="K8160" t="e">
        <f>VLOOKUP(B8160,'REGISTRO ABONOS'!$B$8:$BC$10041,54,0)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hidden="1" x14ac:dyDescent="0.2">
      <c r="B8161" s="31">
        <v>8152</v>
      </c>
      <c r="J8161">
        <f t="shared" si="132"/>
        <v>105000</v>
      </c>
      <c r="K8161" t="e">
        <f>VLOOKUP(B8161,'REGISTRO ABONOS'!$B$8:$BC$10041,54,0)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hidden="1" x14ac:dyDescent="0.2">
      <c r="B8162" s="31">
        <v>8153</v>
      </c>
      <c r="J8162">
        <f t="shared" si="132"/>
        <v>105000</v>
      </c>
      <c r="K8162" t="e">
        <f>VLOOKUP(B8162,'REGISTRO ABONOS'!$B$8:$BC$10041,54,0)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hidden="1" x14ac:dyDescent="0.2">
      <c r="B8163" s="31">
        <v>8154</v>
      </c>
      <c r="J8163">
        <f t="shared" si="132"/>
        <v>105000</v>
      </c>
      <c r="K8163" t="e">
        <f>VLOOKUP(B8163,'REGISTRO ABONOS'!$B$8:$BC$10041,54,0)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hidden="1" x14ac:dyDescent="0.2">
      <c r="B8164" s="31">
        <v>8155</v>
      </c>
      <c r="J8164">
        <f t="shared" si="132"/>
        <v>105000</v>
      </c>
      <c r="K8164" t="e">
        <f>VLOOKUP(B8164,'REGISTRO ABONOS'!$B$8:$BC$10041,54,0)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hidden="1" x14ac:dyDescent="0.2">
      <c r="B8165" s="31">
        <v>8156</v>
      </c>
      <c r="J8165">
        <f t="shared" si="132"/>
        <v>105000</v>
      </c>
      <c r="K8165" t="e">
        <f>VLOOKUP(B8165,'REGISTRO ABONOS'!$B$8:$BC$10041,54,0)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hidden="1" x14ac:dyDescent="0.2">
      <c r="B8166" s="31">
        <v>8157</v>
      </c>
      <c r="J8166">
        <f t="shared" si="132"/>
        <v>105000</v>
      </c>
      <c r="K8166" t="e">
        <f>VLOOKUP(B8166,'REGISTRO ABONOS'!$B$8:$BC$10041,54,0)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hidden="1" x14ac:dyDescent="0.2">
      <c r="B8167" s="31">
        <v>8158</v>
      </c>
      <c r="J8167">
        <f t="shared" si="132"/>
        <v>105000</v>
      </c>
      <c r="K8167" t="e">
        <f>VLOOKUP(B8167,'REGISTRO ABONOS'!$B$8:$BC$10041,54,0)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hidden="1" x14ac:dyDescent="0.2">
      <c r="B8168" s="31">
        <v>8159</v>
      </c>
      <c r="J8168">
        <f t="shared" si="132"/>
        <v>105000</v>
      </c>
      <c r="K8168" t="e">
        <f>VLOOKUP(B8168,'REGISTRO ABONOS'!$B$8:$BC$10041,54,0)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hidden="1" x14ac:dyDescent="0.2">
      <c r="B8169" s="31">
        <v>8160</v>
      </c>
      <c r="J8169">
        <f t="shared" si="132"/>
        <v>105000</v>
      </c>
      <c r="K8169" t="e">
        <f>VLOOKUP(B8169,'REGISTRO ABONOS'!$B$8:$BC$10041,54,0)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hidden="1" x14ac:dyDescent="0.2">
      <c r="B8170" s="31">
        <v>8161</v>
      </c>
      <c r="J8170">
        <f t="shared" si="132"/>
        <v>105000</v>
      </c>
      <c r="K8170" t="e">
        <f>VLOOKUP(B8170,'REGISTRO ABONOS'!$B$8:$BC$10041,54,0)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hidden="1" x14ac:dyDescent="0.2">
      <c r="B8171" s="31">
        <v>8162</v>
      </c>
      <c r="J8171">
        <f t="shared" si="132"/>
        <v>105000</v>
      </c>
      <c r="K8171" t="e">
        <f>VLOOKUP(B8171,'REGISTRO ABONOS'!$B$8:$BC$10041,54,0)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hidden="1" x14ac:dyDescent="0.2">
      <c r="B8172" s="31">
        <v>8163</v>
      </c>
      <c r="J8172">
        <f t="shared" si="132"/>
        <v>105000</v>
      </c>
      <c r="K8172" t="e">
        <f>VLOOKUP(B8172,'REGISTRO ABONOS'!$B$8:$BC$10041,54,0)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hidden="1" x14ac:dyDescent="0.2">
      <c r="B8173" s="31">
        <v>8164</v>
      </c>
      <c r="J8173">
        <f t="shared" si="132"/>
        <v>105000</v>
      </c>
      <c r="K8173" t="e">
        <f>VLOOKUP(B8173,'REGISTRO ABONOS'!$B$8:$BC$10041,54,0)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hidden="1" x14ac:dyDescent="0.2">
      <c r="B8174" s="31">
        <v>8165</v>
      </c>
      <c r="J8174">
        <f t="shared" si="132"/>
        <v>105000</v>
      </c>
      <c r="K8174" t="e">
        <f>VLOOKUP(B8174,'REGISTRO ABONOS'!$B$8:$BC$10041,54,0)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hidden="1" x14ac:dyDescent="0.2">
      <c r="B8175" s="31">
        <v>8166</v>
      </c>
      <c r="J8175">
        <f t="shared" si="132"/>
        <v>105000</v>
      </c>
      <c r="K8175" t="e">
        <f>VLOOKUP(B8175,'REGISTRO ABONOS'!$B$8:$BC$10041,54,0)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hidden="1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ABONOS'!$B$8:$BC$10041,54,0)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hidden="1" x14ac:dyDescent="0.2">
      <c r="B8177" s="31">
        <v>8168</v>
      </c>
      <c r="J8177">
        <f t="shared" si="133"/>
        <v>105000</v>
      </c>
      <c r="K8177" t="e">
        <f>VLOOKUP(B8177,'REGISTRO ABONOS'!$B$8:$BC$10041,54,0)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hidden="1" x14ac:dyDescent="0.2">
      <c r="B8178" s="31">
        <v>8169</v>
      </c>
      <c r="J8178">
        <f t="shared" si="133"/>
        <v>105000</v>
      </c>
      <c r="K8178" t="e">
        <f>VLOOKUP(B8178,'REGISTRO ABONOS'!$B$8:$BC$10041,54,0)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hidden="1" x14ac:dyDescent="0.2">
      <c r="B8179" s="31">
        <v>8170</v>
      </c>
      <c r="J8179">
        <f t="shared" si="133"/>
        <v>105000</v>
      </c>
      <c r="K8179" t="e">
        <f>VLOOKUP(B8179,'REGISTRO ABONOS'!$B$8:$BC$10041,54,0)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hidden="1" x14ac:dyDescent="0.2">
      <c r="B8180" s="31">
        <v>8171</v>
      </c>
      <c r="J8180">
        <f t="shared" si="133"/>
        <v>105000</v>
      </c>
      <c r="K8180" t="e">
        <f>VLOOKUP(B8180,'REGISTRO ABONOS'!$B$8:$BC$10041,54,0)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hidden="1" x14ac:dyDescent="0.2">
      <c r="B8181" s="31">
        <v>8172</v>
      </c>
      <c r="J8181">
        <f t="shared" si="133"/>
        <v>105000</v>
      </c>
      <c r="K8181" t="e">
        <f>VLOOKUP(B8181,'REGISTRO ABONOS'!$B$8:$BC$10041,54,0)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hidden="1" x14ac:dyDescent="0.2">
      <c r="B8182" s="31">
        <v>8173</v>
      </c>
      <c r="J8182">
        <f t="shared" si="133"/>
        <v>105000</v>
      </c>
      <c r="K8182" t="e">
        <f>VLOOKUP(B8182,'REGISTRO ABONOS'!$B$8:$BC$10041,54,0)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hidden="1" x14ac:dyDescent="0.2">
      <c r="B8183" s="31">
        <v>8174</v>
      </c>
      <c r="J8183">
        <f t="shared" si="133"/>
        <v>105000</v>
      </c>
      <c r="K8183" t="e">
        <f>VLOOKUP(B8183,'REGISTRO ABONOS'!$B$8:$BC$10041,54,0)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hidden="1" x14ac:dyDescent="0.2">
      <c r="B8184" s="31">
        <v>8175</v>
      </c>
      <c r="J8184">
        <f t="shared" si="133"/>
        <v>105000</v>
      </c>
      <c r="K8184" t="e">
        <f>VLOOKUP(B8184,'REGISTRO ABONOS'!$B$8:$BC$10041,54,0)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hidden="1" x14ac:dyDescent="0.2">
      <c r="B8185" s="31">
        <v>8176</v>
      </c>
      <c r="J8185">
        <f t="shared" si="133"/>
        <v>105000</v>
      </c>
      <c r="K8185" t="e">
        <f>VLOOKUP(B8185,'REGISTRO ABONOS'!$B$8:$BC$10041,54,0)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hidden="1" x14ac:dyDescent="0.2">
      <c r="B8186" s="31">
        <v>8177</v>
      </c>
      <c r="J8186">
        <f t="shared" si="133"/>
        <v>105000</v>
      </c>
      <c r="K8186" t="e">
        <f>VLOOKUP(B8186,'REGISTRO ABONOS'!$B$8:$BC$10041,54,0)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hidden="1" x14ac:dyDescent="0.2">
      <c r="B8187" s="31">
        <v>8178</v>
      </c>
      <c r="J8187">
        <f t="shared" si="133"/>
        <v>105000</v>
      </c>
      <c r="K8187" t="e">
        <f>VLOOKUP(B8187,'REGISTRO ABONOS'!$B$8:$BC$10041,54,0)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hidden="1" x14ac:dyDescent="0.2">
      <c r="B8188" s="31">
        <v>8179</v>
      </c>
      <c r="J8188">
        <f t="shared" si="133"/>
        <v>105000</v>
      </c>
      <c r="K8188" t="e">
        <f>VLOOKUP(B8188,'REGISTRO ABONOS'!$B$8:$BC$10041,54,0)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hidden="1" x14ac:dyDescent="0.2">
      <c r="B8189" s="31">
        <v>8180</v>
      </c>
      <c r="J8189">
        <f t="shared" si="133"/>
        <v>105000</v>
      </c>
      <c r="K8189" t="e">
        <f>VLOOKUP(B8189,'REGISTRO ABONOS'!$B$8:$BC$10041,54,0)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hidden="1" x14ac:dyDescent="0.2">
      <c r="B8190" s="31">
        <v>8181</v>
      </c>
      <c r="J8190">
        <f t="shared" si="133"/>
        <v>105000</v>
      </c>
      <c r="K8190" t="e">
        <f>VLOOKUP(B8190,'REGISTRO ABONOS'!$B$8:$BC$10041,54,0)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hidden="1" x14ac:dyDescent="0.2">
      <c r="B8191" s="31">
        <v>8182</v>
      </c>
      <c r="J8191">
        <f t="shared" si="133"/>
        <v>105000</v>
      </c>
      <c r="K8191" t="e">
        <f>VLOOKUP(B8191,'REGISTRO ABONOS'!$B$8:$BC$10041,54,0)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hidden="1" x14ac:dyDescent="0.2">
      <c r="B8192" s="31">
        <v>8183</v>
      </c>
      <c r="J8192">
        <f t="shared" si="133"/>
        <v>105000</v>
      </c>
      <c r="K8192" t="e">
        <f>VLOOKUP(B8192,'REGISTRO ABONOS'!$B$8:$BC$10041,54,0)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hidden="1" x14ac:dyDescent="0.2">
      <c r="B8193" s="31">
        <v>8184</v>
      </c>
      <c r="J8193">
        <f t="shared" si="133"/>
        <v>105000</v>
      </c>
      <c r="K8193" t="e">
        <f>VLOOKUP(B8193,'REGISTRO ABONOS'!$B$8:$BC$10041,54,0)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hidden="1" x14ac:dyDescent="0.2">
      <c r="B8194" s="31">
        <v>8185</v>
      </c>
      <c r="J8194">
        <f t="shared" si="133"/>
        <v>105000</v>
      </c>
      <c r="K8194" t="e">
        <f>VLOOKUP(B8194,'REGISTRO ABONOS'!$B$8:$BC$10041,54,0)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hidden="1" x14ac:dyDescent="0.2">
      <c r="B8195" s="31">
        <v>8186</v>
      </c>
      <c r="J8195">
        <f t="shared" si="133"/>
        <v>105000</v>
      </c>
      <c r="K8195" t="e">
        <f>VLOOKUP(B8195,'REGISTRO ABONOS'!$B$8:$BC$10041,54,0)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hidden="1" x14ac:dyDescent="0.2">
      <c r="B8196" s="31">
        <v>8187</v>
      </c>
      <c r="J8196">
        <f t="shared" si="133"/>
        <v>105000</v>
      </c>
      <c r="K8196" t="e">
        <f>VLOOKUP(B8196,'REGISTRO ABONOS'!$B$8:$BC$10041,54,0)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hidden="1" x14ac:dyDescent="0.2">
      <c r="B8197" s="31">
        <v>8188</v>
      </c>
      <c r="J8197">
        <f t="shared" si="133"/>
        <v>105000</v>
      </c>
      <c r="K8197" t="e">
        <f>VLOOKUP(B8197,'REGISTRO ABONOS'!$B$8:$BC$10041,54,0)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hidden="1" x14ac:dyDescent="0.2">
      <c r="B8198" s="31">
        <v>8189</v>
      </c>
      <c r="J8198">
        <f t="shared" si="133"/>
        <v>105000</v>
      </c>
      <c r="K8198" t="e">
        <f>VLOOKUP(B8198,'REGISTRO ABONOS'!$B$8:$BC$10041,54,0)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hidden="1" x14ac:dyDescent="0.2">
      <c r="B8199" s="31">
        <v>8190</v>
      </c>
      <c r="J8199">
        <f t="shared" si="133"/>
        <v>105000</v>
      </c>
      <c r="K8199" t="e">
        <f>VLOOKUP(B8199,'REGISTRO ABONOS'!$B$8:$BC$10041,54,0)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hidden="1" x14ac:dyDescent="0.2">
      <c r="B8200" s="31">
        <v>8191</v>
      </c>
      <c r="J8200">
        <f t="shared" si="133"/>
        <v>105000</v>
      </c>
      <c r="K8200" t="e">
        <f>VLOOKUP(B8200,'REGISTRO ABONOS'!$B$8:$BC$10041,54,0)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hidden="1" x14ac:dyDescent="0.2">
      <c r="B8201" s="31">
        <v>8192</v>
      </c>
      <c r="J8201">
        <f t="shared" si="133"/>
        <v>105000</v>
      </c>
      <c r="K8201" t="e">
        <f>VLOOKUP(B8201,'REGISTRO ABONOS'!$B$8:$BC$10041,54,0)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hidden="1" x14ac:dyDescent="0.2">
      <c r="B8202" s="31">
        <v>8193</v>
      </c>
      <c r="J8202">
        <f t="shared" si="133"/>
        <v>105000</v>
      </c>
      <c r="K8202" t="e">
        <f>VLOOKUP(B8202,'REGISTRO ABONOS'!$B$8:$BC$10041,54,0)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hidden="1" x14ac:dyDescent="0.2">
      <c r="B8203" s="31">
        <v>8194</v>
      </c>
      <c r="J8203">
        <f t="shared" si="133"/>
        <v>105000</v>
      </c>
      <c r="K8203" t="e">
        <f>VLOOKUP(B8203,'REGISTRO ABONOS'!$B$8:$BC$10041,54,0)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hidden="1" x14ac:dyDescent="0.2">
      <c r="B8204" s="31">
        <v>8195</v>
      </c>
      <c r="J8204">
        <f t="shared" si="133"/>
        <v>105000</v>
      </c>
      <c r="K8204" t="e">
        <f>VLOOKUP(B8204,'REGISTRO ABONOS'!$B$8:$BC$10041,54,0)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hidden="1" x14ac:dyDescent="0.2">
      <c r="B8205" s="31">
        <v>8196</v>
      </c>
      <c r="J8205">
        <f t="shared" si="133"/>
        <v>105000</v>
      </c>
      <c r="K8205" t="e">
        <f>VLOOKUP(B8205,'REGISTRO ABONOS'!$B$8:$BC$10041,54,0)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hidden="1" x14ac:dyDescent="0.2">
      <c r="B8206" s="31">
        <v>8197</v>
      </c>
      <c r="J8206">
        <f t="shared" si="133"/>
        <v>105000</v>
      </c>
      <c r="K8206" t="e">
        <f>VLOOKUP(B8206,'REGISTRO ABONOS'!$B$8:$BC$10041,54,0)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hidden="1" x14ac:dyDescent="0.2">
      <c r="B8207" s="31">
        <v>8198</v>
      </c>
      <c r="J8207">
        <f t="shared" si="133"/>
        <v>105000</v>
      </c>
      <c r="K8207" t="e">
        <f>VLOOKUP(B8207,'REGISTRO ABONOS'!$B$8:$BC$10041,54,0)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hidden="1" x14ac:dyDescent="0.2">
      <c r="B8208" s="31">
        <v>8199</v>
      </c>
      <c r="J8208">
        <f t="shared" si="133"/>
        <v>105000</v>
      </c>
      <c r="K8208" t="e">
        <f>VLOOKUP(B8208,'REGISTRO ABONOS'!$B$8:$BC$10041,54,0)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hidden="1" x14ac:dyDescent="0.2">
      <c r="B8209" s="31">
        <v>8200</v>
      </c>
      <c r="J8209">
        <f t="shared" si="133"/>
        <v>105000</v>
      </c>
      <c r="K8209" t="e">
        <f>VLOOKUP(B8209,'REGISTRO ABONOS'!$B$8:$BC$10041,54,0)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hidden="1" x14ac:dyDescent="0.2">
      <c r="B8210" s="31">
        <v>8201</v>
      </c>
      <c r="J8210">
        <f t="shared" si="133"/>
        <v>105000</v>
      </c>
      <c r="K8210" t="e">
        <f>VLOOKUP(B8210,'REGISTRO ABONOS'!$B$8:$BC$10041,54,0)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hidden="1" x14ac:dyDescent="0.2">
      <c r="B8211" s="31">
        <v>8202</v>
      </c>
      <c r="J8211">
        <f t="shared" si="133"/>
        <v>105000</v>
      </c>
      <c r="K8211" t="e">
        <f>VLOOKUP(B8211,'REGISTRO ABONOS'!$B$8:$BC$10041,54,0)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hidden="1" x14ac:dyDescent="0.2">
      <c r="B8212" s="31">
        <v>8203</v>
      </c>
      <c r="J8212">
        <f t="shared" si="133"/>
        <v>105000</v>
      </c>
      <c r="K8212" t="e">
        <f>VLOOKUP(B8212,'REGISTRO ABONOS'!$B$8:$BC$10041,54,0)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hidden="1" x14ac:dyDescent="0.2">
      <c r="B8213" s="31">
        <v>8204</v>
      </c>
      <c r="J8213">
        <f t="shared" si="133"/>
        <v>105000</v>
      </c>
      <c r="K8213" t="e">
        <f>VLOOKUP(B8213,'REGISTRO ABONOS'!$B$8:$BC$10041,54,0)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hidden="1" x14ac:dyDescent="0.2">
      <c r="B8214" s="31">
        <v>8205</v>
      </c>
      <c r="J8214">
        <f t="shared" si="133"/>
        <v>105000</v>
      </c>
      <c r="K8214" t="e">
        <f>VLOOKUP(B8214,'REGISTRO ABONOS'!$B$8:$BC$10041,54,0)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hidden="1" x14ac:dyDescent="0.2">
      <c r="B8215" s="31">
        <v>8206</v>
      </c>
      <c r="J8215">
        <f t="shared" si="133"/>
        <v>105000</v>
      </c>
      <c r="K8215" t="e">
        <f>VLOOKUP(B8215,'REGISTRO ABONOS'!$B$8:$BC$10041,54,0)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hidden="1" x14ac:dyDescent="0.2">
      <c r="B8216" s="31">
        <v>8207</v>
      </c>
      <c r="J8216">
        <f t="shared" si="133"/>
        <v>105000</v>
      </c>
      <c r="K8216" t="e">
        <f>VLOOKUP(B8216,'REGISTRO ABONOS'!$B$8:$BC$10041,54,0)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hidden="1" x14ac:dyDescent="0.2">
      <c r="B8217" s="31">
        <v>8208</v>
      </c>
      <c r="J8217">
        <f t="shared" si="133"/>
        <v>105000</v>
      </c>
      <c r="K8217" t="e">
        <f>VLOOKUP(B8217,'REGISTRO ABONOS'!$B$8:$BC$10041,54,0)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hidden="1" x14ac:dyDescent="0.2">
      <c r="B8218" s="31">
        <v>8209</v>
      </c>
      <c r="J8218">
        <f t="shared" si="133"/>
        <v>105000</v>
      </c>
      <c r="K8218" t="e">
        <f>VLOOKUP(B8218,'REGISTRO ABONOS'!$B$8:$BC$10041,54,0)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hidden="1" x14ac:dyDescent="0.2">
      <c r="B8219" s="31">
        <v>8210</v>
      </c>
      <c r="J8219">
        <f t="shared" si="133"/>
        <v>105000</v>
      </c>
      <c r="K8219" t="e">
        <f>VLOOKUP(B8219,'REGISTRO ABONOS'!$B$8:$BC$10041,54,0)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hidden="1" x14ac:dyDescent="0.2">
      <c r="B8220" s="31">
        <v>8211</v>
      </c>
      <c r="J8220">
        <f t="shared" si="133"/>
        <v>105000</v>
      </c>
      <c r="K8220" t="e">
        <f>VLOOKUP(B8220,'REGISTRO ABONOS'!$B$8:$BC$10041,54,0)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hidden="1" x14ac:dyDescent="0.2">
      <c r="B8221" s="31">
        <v>8212</v>
      </c>
      <c r="J8221">
        <f t="shared" si="133"/>
        <v>105000</v>
      </c>
      <c r="K8221" t="e">
        <f>VLOOKUP(B8221,'REGISTRO ABONOS'!$B$8:$BC$10041,54,0)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hidden="1" x14ac:dyDescent="0.2">
      <c r="B8222" s="31">
        <v>8213</v>
      </c>
      <c r="J8222">
        <f t="shared" si="133"/>
        <v>105000</v>
      </c>
      <c r="K8222" t="e">
        <f>VLOOKUP(B8222,'REGISTRO ABONOS'!$B$8:$BC$10041,54,0)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hidden="1" x14ac:dyDescent="0.2">
      <c r="B8223" s="31">
        <v>8214</v>
      </c>
      <c r="J8223">
        <f t="shared" si="133"/>
        <v>105000</v>
      </c>
      <c r="K8223" t="e">
        <f>VLOOKUP(B8223,'REGISTRO ABONOS'!$B$8:$BC$10041,54,0)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hidden="1" x14ac:dyDescent="0.2">
      <c r="B8224" s="31">
        <v>8215</v>
      </c>
      <c r="J8224">
        <f t="shared" si="133"/>
        <v>105000</v>
      </c>
      <c r="K8224" t="e">
        <f>VLOOKUP(B8224,'REGISTRO ABONOS'!$B$8:$BC$10041,54,0)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hidden="1" x14ac:dyDescent="0.2">
      <c r="B8225" s="31">
        <v>8216</v>
      </c>
      <c r="J8225">
        <f t="shared" si="133"/>
        <v>105000</v>
      </c>
      <c r="K8225" t="e">
        <f>VLOOKUP(B8225,'REGISTRO ABONOS'!$B$8:$BC$10041,54,0)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hidden="1" x14ac:dyDescent="0.2">
      <c r="B8226" s="31">
        <v>8217</v>
      </c>
      <c r="J8226">
        <f t="shared" si="133"/>
        <v>105000</v>
      </c>
      <c r="K8226" t="e">
        <f>VLOOKUP(B8226,'REGISTRO ABONOS'!$B$8:$BC$10041,54,0)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3"/>
        <v>105000</v>
      </c>
      <c r="K8227" t="e">
        <f>VLOOKUP(B8227,'REGISTRO ABONOS'!$B$8:$BC$10041,54,0)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hidden="1" x14ac:dyDescent="0.2">
      <c r="B8228" s="31">
        <v>8219</v>
      </c>
      <c r="J8228">
        <f t="shared" si="133"/>
        <v>105000</v>
      </c>
      <c r="K8228" t="e">
        <f>VLOOKUP(B8228,'REGISTRO ABONOS'!$B$8:$BC$10041,54,0)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hidden="1" x14ac:dyDescent="0.2">
      <c r="B8229" s="31">
        <v>8220</v>
      </c>
      <c r="J8229">
        <f t="shared" si="133"/>
        <v>105000</v>
      </c>
      <c r="K8229" t="e">
        <f>VLOOKUP(B8229,'REGISTRO ABONOS'!$B$8:$BC$10041,54,0)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hidden="1" x14ac:dyDescent="0.2">
      <c r="B8230" s="31">
        <v>8221</v>
      </c>
      <c r="J8230">
        <f t="shared" si="133"/>
        <v>105000</v>
      </c>
      <c r="K8230" t="e">
        <f>VLOOKUP(B8230,'REGISTRO ABONOS'!$B$8:$BC$10041,54,0)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hidden="1" x14ac:dyDescent="0.2">
      <c r="B8231" s="31">
        <v>8222</v>
      </c>
      <c r="J8231">
        <f t="shared" si="133"/>
        <v>105000</v>
      </c>
      <c r="K8231" t="e">
        <f>VLOOKUP(B8231,'REGISTRO ABONOS'!$B$8:$BC$10041,54,0)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hidden="1" x14ac:dyDescent="0.2">
      <c r="B8232" s="31">
        <v>8223</v>
      </c>
      <c r="J8232">
        <f t="shared" si="133"/>
        <v>105000</v>
      </c>
      <c r="K8232" t="e">
        <f>VLOOKUP(B8232,'REGISTRO ABONOS'!$B$8:$BC$10041,54,0)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hidden="1" x14ac:dyDescent="0.2">
      <c r="B8233" s="31">
        <v>8224</v>
      </c>
      <c r="J8233">
        <f t="shared" si="133"/>
        <v>105000</v>
      </c>
      <c r="K8233" t="e">
        <f>VLOOKUP(B8233,'REGISTRO ABONOS'!$B$8:$BC$10041,54,0)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hidden="1" x14ac:dyDescent="0.2">
      <c r="B8234" s="31">
        <v>8225</v>
      </c>
      <c r="J8234">
        <f t="shared" si="133"/>
        <v>105000</v>
      </c>
      <c r="K8234" t="e">
        <f>VLOOKUP(B8234,'REGISTRO ABONOS'!$B$8:$BC$10041,54,0)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hidden="1" x14ac:dyDescent="0.2">
      <c r="B8235" s="31">
        <v>8226</v>
      </c>
      <c r="J8235">
        <f t="shared" si="133"/>
        <v>105000</v>
      </c>
      <c r="K8235" t="e">
        <f>VLOOKUP(B8235,'REGISTRO ABONOS'!$B$8:$BC$10041,54,0)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hidden="1" x14ac:dyDescent="0.2">
      <c r="B8236" s="31">
        <v>8227</v>
      </c>
      <c r="J8236">
        <f t="shared" si="133"/>
        <v>105000</v>
      </c>
      <c r="K8236" t="e">
        <f>VLOOKUP(B8236,'REGISTRO ABONOS'!$B$8:$BC$10041,54,0)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hidden="1" x14ac:dyDescent="0.2">
      <c r="B8237" s="31">
        <v>8228</v>
      </c>
      <c r="J8237">
        <f t="shared" si="133"/>
        <v>105000</v>
      </c>
      <c r="K8237" t="e">
        <f>VLOOKUP(B8237,'REGISTRO ABONOS'!$B$8:$BC$10041,54,0)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hidden="1" x14ac:dyDescent="0.2">
      <c r="B8238" s="31">
        <v>8229</v>
      </c>
      <c r="J8238">
        <f t="shared" si="133"/>
        <v>105000</v>
      </c>
      <c r="K8238" t="e">
        <f>VLOOKUP(B8238,'REGISTRO ABONOS'!$B$8:$BC$10041,54,0)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hidden="1" x14ac:dyDescent="0.2">
      <c r="B8239" s="31">
        <v>8230</v>
      </c>
      <c r="J8239">
        <f t="shared" si="133"/>
        <v>105000</v>
      </c>
      <c r="K8239" t="e">
        <f>VLOOKUP(B8239,'REGISTRO ABONOS'!$B$8:$BC$10041,54,0)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hidden="1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ABONOS'!$B$8:$BC$10041,54,0)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hidden="1" x14ac:dyDescent="0.2">
      <c r="B8241" s="31">
        <v>8232</v>
      </c>
      <c r="J8241">
        <f t="shared" si="134"/>
        <v>105000</v>
      </c>
      <c r="K8241" t="e">
        <f>VLOOKUP(B8241,'REGISTRO ABONOS'!$B$8:$BC$10041,54,0)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hidden="1" x14ac:dyDescent="0.2">
      <c r="B8242" s="31">
        <v>8233</v>
      </c>
      <c r="J8242">
        <f t="shared" si="134"/>
        <v>105000</v>
      </c>
      <c r="K8242" t="e">
        <f>VLOOKUP(B8242,'REGISTRO ABONOS'!$B$8:$BC$10041,54,0)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hidden="1" x14ac:dyDescent="0.2">
      <c r="B8243" s="31">
        <v>8234</v>
      </c>
      <c r="J8243">
        <f t="shared" si="134"/>
        <v>105000</v>
      </c>
      <c r="K8243" t="e">
        <f>VLOOKUP(B8243,'REGISTRO ABONOS'!$B$8:$BC$10041,54,0)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hidden="1" x14ac:dyDescent="0.2">
      <c r="B8244" s="31">
        <v>8235</v>
      </c>
      <c r="J8244">
        <f t="shared" si="134"/>
        <v>105000</v>
      </c>
      <c r="K8244" t="e">
        <f>VLOOKUP(B8244,'REGISTRO ABONOS'!$B$8:$BC$10041,54,0)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hidden="1" x14ac:dyDescent="0.2">
      <c r="B8245" s="31">
        <v>8236</v>
      </c>
      <c r="J8245">
        <f t="shared" si="134"/>
        <v>105000</v>
      </c>
      <c r="K8245" t="e">
        <f>VLOOKUP(B8245,'REGISTRO ABONOS'!$B$8:$BC$10041,54,0)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hidden="1" x14ac:dyDescent="0.2">
      <c r="B8246" s="31">
        <v>8237</v>
      </c>
      <c r="J8246">
        <f t="shared" si="134"/>
        <v>105000</v>
      </c>
      <c r="K8246" t="e">
        <f>VLOOKUP(B8246,'REGISTRO ABONOS'!$B$8:$BC$10041,54,0)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hidden="1" x14ac:dyDescent="0.2">
      <c r="B8247" s="31">
        <v>8238</v>
      </c>
      <c r="J8247">
        <f t="shared" si="134"/>
        <v>105000</v>
      </c>
      <c r="K8247" t="e">
        <f>VLOOKUP(B8247,'REGISTRO ABONOS'!$B$8:$BC$10041,54,0)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hidden="1" x14ac:dyDescent="0.2">
      <c r="B8248" s="31">
        <v>8239</v>
      </c>
      <c r="J8248">
        <f t="shared" si="134"/>
        <v>105000</v>
      </c>
      <c r="K8248" t="e">
        <f>VLOOKUP(B8248,'REGISTRO ABONOS'!$B$8:$BC$10041,54,0)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hidden="1" x14ac:dyDescent="0.2">
      <c r="B8249" s="31">
        <v>8240</v>
      </c>
      <c r="J8249">
        <f t="shared" si="134"/>
        <v>105000</v>
      </c>
      <c r="K8249" t="e">
        <f>VLOOKUP(B8249,'REGISTRO ABONOS'!$B$8:$BC$10041,54,0)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hidden="1" x14ac:dyDescent="0.2">
      <c r="B8250" s="31">
        <v>8241</v>
      </c>
      <c r="J8250">
        <f t="shared" si="134"/>
        <v>105000</v>
      </c>
      <c r="K8250" t="e">
        <f>VLOOKUP(B8250,'REGISTRO ABONOS'!$B$8:$BC$10041,54,0)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hidden="1" x14ac:dyDescent="0.2">
      <c r="B8251" s="31">
        <v>8242</v>
      </c>
      <c r="J8251">
        <f t="shared" si="134"/>
        <v>105000</v>
      </c>
      <c r="K8251" t="e">
        <f>VLOOKUP(B8251,'REGISTRO ABONOS'!$B$8:$BC$10041,54,0)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hidden="1" x14ac:dyDescent="0.2">
      <c r="B8252" s="31">
        <v>8243</v>
      </c>
      <c r="J8252">
        <f t="shared" si="134"/>
        <v>105000</v>
      </c>
      <c r="K8252" t="e">
        <f>VLOOKUP(B8252,'REGISTRO ABONOS'!$B$8:$BC$10041,54,0)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hidden="1" x14ac:dyDescent="0.2">
      <c r="B8253" s="31">
        <v>8244</v>
      </c>
      <c r="J8253">
        <f t="shared" si="134"/>
        <v>105000</v>
      </c>
      <c r="K8253" t="e">
        <f>VLOOKUP(B8253,'REGISTRO ABONOS'!$B$8:$BC$10041,54,0)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hidden="1" x14ac:dyDescent="0.2">
      <c r="B8254" s="31">
        <v>8245</v>
      </c>
      <c r="J8254">
        <f t="shared" si="134"/>
        <v>105000</v>
      </c>
      <c r="K8254" t="e">
        <f>VLOOKUP(B8254,'REGISTRO ABONOS'!$B$8:$BC$10041,54,0)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hidden="1" x14ac:dyDescent="0.2">
      <c r="B8255" s="31">
        <v>8246</v>
      </c>
      <c r="J8255">
        <f t="shared" si="134"/>
        <v>105000</v>
      </c>
      <c r="K8255" t="e">
        <f>VLOOKUP(B8255,'REGISTRO ABONOS'!$B$8:$BC$10041,54,0)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hidden="1" x14ac:dyDescent="0.2">
      <c r="B8256" s="31">
        <v>8247</v>
      </c>
      <c r="J8256">
        <f t="shared" si="134"/>
        <v>105000</v>
      </c>
      <c r="K8256" t="e">
        <f>VLOOKUP(B8256,'REGISTRO ABONOS'!$B$8:$BC$10041,54,0)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hidden="1" x14ac:dyDescent="0.2">
      <c r="B8257" s="31">
        <v>8248</v>
      </c>
      <c r="J8257">
        <f t="shared" si="134"/>
        <v>105000</v>
      </c>
      <c r="K8257" t="e">
        <f>VLOOKUP(B8257,'REGISTRO ABONOS'!$B$8:$BC$10041,54,0)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hidden="1" x14ac:dyDescent="0.2">
      <c r="B8258" s="31">
        <v>8249</v>
      </c>
      <c r="J8258">
        <f t="shared" si="134"/>
        <v>105000</v>
      </c>
      <c r="K8258" t="e">
        <f>VLOOKUP(B8258,'REGISTRO ABONOS'!$B$8:$BC$10041,54,0)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hidden="1" x14ac:dyDescent="0.2">
      <c r="B8259" s="31">
        <v>8250</v>
      </c>
      <c r="J8259">
        <f t="shared" si="134"/>
        <v>105000</v>
      </c>
      <c r="K8259" t="e">
        <f>VLOOKUP(B8259,'REGISTRO ABONOS'!$B$8:$BC$10041,54,0)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hidden="1" x14ac:dyDescent="0.2">
      <c r="B8260" s="31">
        <v>8251</v>
      </c>
      <c r="J8260">
        <f t="shared" si="134"/>
        <v>105000</v>
      </c>
      <c r="K8260" t="e">
        <f>VLOOKUP(B8260,'REGISTRO ABONOS'!$B$8:$BC$10041,54,0)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hidden="1" x14ac:dyDescent="0.2">
      <c r="B8261" s="31">
        <v>8252</v>
      </c>
      <c r="J8261">
        <f t="shared" si="134"/>
        <v>105000</v>
      </c>
      <c r="K8261" t="e">
        <f>VLOOKUP(B8261,'REGISTRO ABONOS'!$B$8:$BC$10041,54,0)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hidden="1" x14ac:dyDescent="0.2">
      <c r="B8262" s="31">
        <v>8253</v>
      </c>
      <c r="J8262">
        <f t="shared" si="134"/>
        <v>105000</v>
      </c>
      <c r="K8262" t="e">
        <f>VLOOKUP(B8262,'REGISTRO ABONOS'!$B$8:$BC$10041,54,0)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hidden="1" x14ac:dyDescent="0.2">
      <c r="B8263" s="31">
        <v>8254</v>
      </c>
      <c r="J8263">
        <f t="shared" si="134"/>
        <v>105000</v>
      </c>
      <c r="K8263" t="e">
        <f>VLOOKUP(B8263,'REGISTRO ABONOS'!$B$8:$BC$10041,54,0)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hidden="1" x14ac:dyDescent="0.2">
      <c r="B8264" s="31">
        <v>8255</v>
      </c>
      <c r="J8264">
        <f t="shared" si="134"/>
        <v>105000</v>
      </c>
      <c r="K8264" t="e">
        <f>VLOOKUP(B8264,'REGISTRO ABONOS'!$B$8:$BC$10041,54,0)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hidden="1" x14ac:dyDescent="0.2">
      <c r="B8265" s="31">
        <v>8256</v>
      </c>
      <c r="J8265">
        <f t="shared" si="134"/>
        <v>105000</v>
      </c>
      <c r="K8265" t="e">
        <f>VLOOKUP(B8265,'REGISTRO ABONOS'!$B$8:$BC$10041,54,0)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hidden="1" x14ac:dyDescent="0.2">
      <c r="B8266" s="31">
        <v>8257</v>
      </c>
      <c r="J8266">
        <f t="shared" si="134"/>
        <v>105000</v>
      </c>
      <c r="K8266" t="e">
        <f>VLOOKUP(B8266,'REGISTRO ABONOS'!$B$8:$BC$10041,54,0)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hidden="1" x14ac:dyDescent="0.2">
      <c r="B8267" s="31">
        <v>8258</v>
      </c>
      <c r="J8267">
        <f t="shared" si="134"/>
        <v>105000</v>
      </c>
      <c r="K8267" t="e">
        <f>VLOOKUP(B8267,'REGISTRO ABONOS'!$B$8:$BC$10041,54,0)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hidden="1" x14ac:dyDescent="0.2">
      <c r="B8268" s="31">
        <v>8259</v>
      </c>
      <c r="J8268">
        <f t="shared" si="134"/>
        <v>105000</v>
      </c>
      <c r="K8268" t="e">
        <f>VLOOKUP(B8268,'REGISTRO ABONOS'!$B$8:$BC$10041,54,0)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hidden="1" x14ac:dyDescent="0.2">
      <c r="B8269" s="31">
        <v>8260</v>
      </c>
      <c r="J8269">
        <f t="shared" si="134"/>
        <v>105000</v>
      </c>
      <c r="K8269" t="e">
        <f>VLOOKUP(B8269,'REGISTRO ABONOS'!$B$8:$BC$10041,54,0)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hidden="1" x14ac:dyDescent="0.2">
      <c r="B8270" s="31">
        <v>8261</v>
      </c>
      <c r="J8270">
        <f t="shared" si="134"/>
        <v>105000</v>
      </c>
      <c r="K8270" t="e">
        <f>VLOOKUP(B8270,'REGISTRO ABONOS'!$B$8:$BC$10041,54,0)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hidden="1" x14ac:dyDescent="0.2">
      <c r="B8271" s="31">
        <v>8262</v>
      </c>
      <c r="J8271">
        <f t="shared" si="134"/>
        <v>105000</v>
      </c>
      <c r="K8271" t="e">
        <f>VLOOKUP(B8271,'REGISTRO ABONOS'!$B$8:$BC$10041,54,0)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hidden="1" x14ac:dyDescent="0.2">
      <c r="B8272" s="31">
        <v>8263</v>
      </c>
      <c r="J8272">
        <f t="shared" si="134"/>
        <v>105000</v>
      </c>
      <c r="K8272" t="e">
        <f>VLOOKUP(B8272,'REGISTRO ABONOS'!$B$8:$BC$10041,54,0)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hidden="1" x14ac:dyDescent="0.2">
      <c r="B8273" s="31">
        <v>8264</v>
      </c>
      <c r="J8273">
        <f t="shared" si="134"/>
        <v>105000</v>
      </c>
      <c r="K8273" t="e">
        <f>VLOOKUP(B8273,'REGISTRO ABONOS'!$B$8:$BC$10041,54,0)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hidden="1" x14ac:dyDescent="0.2">
      <c r="B8274" s="31">
        <v>8265</v>
      </c>
      <c r="J8274">
        <f t="shared" si="134"/>
        <v>105000</v>
      </c>
      <c r="K8274" t="e">
        <f>VLOOKUP(B8274,'REGISTRO ABONOS'!$B$8:$BC$10041,54,0)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hidden="1" x14ac:dyDescent="0.2">
      <c r="B8275" s="31">
        <v>8266</v>
      </c>
      <c r="J8275">
        <f t="shared" si="134"/>
        <v>105000</v>
      </c>
      <c r="K8275" t="e">
        <f>VLOOKUP(B8275,'REGISTRO ABONOS'!$B$8:$BC$10041,54,0)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hidden="1" x14ac:dyDescent="0.2">
      <c r="B8276" s="31">
        <v>8267</v>
      </c>
      <c r="J8276">
        <f t="shared" si="134"/>
        <v>105000</v>
      </c>
      <c r="K8276" t="e">
        <f>VLOOKUP(B8276,'REGISTRO ABONOS'!$B$8:$BC$10041,54,0)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hidden="1" x14ac:dyDescent="0.2">
      <c r="B8277" s="31">
        <v>8268</v>
      </c>
      <c r="J8277">
        <f t="shared" si="134"/>
        <v>105000</v>
      </c>
      <c r="K8277" t="e">
        <f>VLOOKUP(B8277,'REGISTRO ABONOS'!$B$8:$BC$10041,54,0)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hidden="1" x14ac:dyDescent="0.2">
      <c r="B8278" s="31">
        <v>8269</v>
      </c>
      <c r="J8278">
        <f t="shared" si="134"/>
        <v>105000</v>
      </c>
      <c r="K8278" t="e">
        <f>VLOOKUP(B8278,'REGISTRO ABONOS'!$B$8:$BC$10041,54,0)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hidden="1" x14ac:dyDescent="0.2">
      <c r="B8279" s="31">
        <v>8270</v>
      </c>
      <c r="J8279">
        <f t="shared" si="134"/>
        <v>105000</v>
      </c>
      <c r="K8279" t="e">
        <f>VLOOKUP(B8279,'REGISTRO ABONOS'!$B$8:$BC$10041,54,0)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hidden="1" x14ac:dyDescent="0.2">
      <c r="B8280" s="31">
        <v>8271</v>
      </c>
      <c r="J8280">
        <f t="shared" si="134"/>
        <v>105000</v>
      </c>
      <c r="K8280" t="e">
        <f>VLOOKUP(B8280,'REGISTRO ABONOS'!$B$8:$BC$10041,54,0)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hidden="1" x14ac:dyDescent="0.2">
      <c r="B8281" s="31">
        <v>8272</v>
      </c>
      <c r="J8281">
        <f t="shared" si="134"/>
        <v>105000</v>
      </c>
      <c r="K8281" t="e">
        <f>VLOOKUP(B8281,'REGISTRO ABONOS'!$B$8:$BC$10041,54,0)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hidden="1" x14ac:dyDescent="0.2">
      <c r="B8282" s="31">
        <v>8273</v>
      </c>
      <c r="J8282">
        <f t="shared" si="134"/>
        <v>105000</v>
      </c>
      <c r="K8282" t="e">
        <f>VLOOKUP(B8282,'REGISTRO ABONOS'!$B$8:$BC$10041,54,0)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hidden="1" x14ac:dyDescent="0.2">
      <c r="B8283" s="31">
        <v>8274</v>
      </c>
      <c r="J8283">
        <f t="shared" si="134"/>
        <v>105000</v>
      </c>
      <c r="K8283" t="e">
        <f>VLOOKUP(B8283,'REGISTRO ABONOS'!$B$8:$BC$10041,54,0)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hidden="1" x14ac:dyDescent="0.2">
      <c r="B8284" s="31">
        <v>8275</v>
      </c>
      <c r="J8284">
        <f t="shared" si="134"/>
        <v>105000</v>
      </c>
      <c r="K8284" t="e">
        <f>VLOOKUP(B8284,'REGISTRO ABONOS'!$B$8:$BC$10041,54,0)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hidden="1" x14ac:dyDescent="0.2">
      <c r="B8285" s="31">
        <v>8276</v>
      </c>
      <c r="J8285">
        <f t="shared" si="134"/>
        <v>105000</v>
      </c>
      <c r="K8285" t="e">
        <f>VLOOKUP(B8285,'REGISTRO ABONOS'!$B$8:$BC$10041,54,0)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hidden="1" x14ac:dyDescent="0.2">
      <c r="B8286" s="31">
        <v>8277</v>
      </c>
      <c r="J8286">
        <f t="shared" si="134"/>
        <v>105000</v>
      </c>
      <c r="K8286" t="e">
        <f>VLOOKUP(B8286,'REGISTRO ABONOS'!$B$8:$BC$10041,54,0)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hidden="1" x14ac:dyDescent="0.2">
      <c r="B8287" s="31">
        <v>8278</v>
      </c>
      <c r="J8287">
        <f t="shared" si="134"/>
        <v>105000</v>
      </c>
      <c r="K8287" t="e">
        <f>VLOOKUP(B8287,'REGISTRO ABONOS'!$B$8:$BC$10041,54,0)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hidden="1" x14ac:dyDescent="0.2">
      <c r="B8288" s="31">
        <v>8279</v>
      </c>
      <c r="J8288">
        <f t="shared" si="134"/>
        <v>105000</v>
      </c>
      <c r="K8288" t="e">
        <f>VLOOKUP(B8288,'REGISTRO ABONOS'!$B$8:$BC$10041,54,0)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hidden="1" x14ac:dyDescent="0.2">
      <c r="B8289" s="31">
        <v>8280</v>
      </c>
      <c r="J8289">
        <f t="shared" si="134"/>
        <v>105000</v>
      </c>
      <c r="K8289" t="e">
        <f>VLOOKUP(B8289,'REGISTRO ABONOS'!$B$8:$BC$10041,54,0)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hidden="1" x14ac:dyDescent="0.2">
      <c r="B8290" s="31">
        <v>8281</v>
      </c>
      <c r="J8290">
        <f t="shared" si="134"/>
        <v>105000</v>
      </c>
      <c r="K8290" t="e">
        <f>VLOOKUP(B8290,'REGISTRO ABONOS'!$B$8:$BC$10041,54,0)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hidden="1" x14ac:dyDescent="0.2">
      <c r="B8291" s="31">
        <v>8282</v>
      </c>
      <c r="J8291">
        <f t="shared" si="134"/>
        <v>105000</v>
      </c>
      <c r="K8291" t="e">
        <f>VLOOKUP(B8291,'REGISTRO ABONOS'!$B$8:$BC$10041,54,0)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hidden="1" x14ac:dyDescent="0.2">
      <c r="B8292" s="31">
        <v>8283</v>
      </c>
      <c r="J8292">
        <f t="shared" si="134"/>
        <v>105000</v>
      </c>
      <c r="K8292" t="e">
        <f>VLOOKUP(B8292,'REGISTRO ABONOS'!$B$8:$BC$10041,54,0)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hidden="1" x14ac:dyDescent="0.2">
      <c r="B8293" s="31">
        <v>8284</v>
      </c>
      <c r="J8293">
        <f t="shared" si="134"/>
        <v>105000</v>
      </c>
      <c r="K8293" t="e">
        <f>VLOOKUP(B8293,'REGISTRO ABONOS'!$B$8:$BC$10041,54,0)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hidden="1" x14ac:dyDescent="0.2">
      <c r="B8294" s="31">
        <v>8285</v>
      </c>
      <c r="J8294">
        <f t="shared" si="134"/>
        <v>105000</v>
      </c>
      <c r="K8294" t="e">
        <f>VLOOKUP(B8294,'REGISTRO ABONOS'!$B$8:$BC$10041,54,0)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hidden="1" x14ac:dyDescent="0.2">
      <c r="B8295" s="31">
        <v>8286</v>
      </c>
      <c r="J8295">
        <f t="shared" si="134"/>
        <v>105000</v>
      </c>
      <c r="K8295" t="e">
        <f>VLOOKUP(B8295,'REGISTRO ABONOS'!$B$8:$BC$10041,54,0)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hidden="1" x14ac:dyDescent="0.2">
      <c r="B8296" s="31">
        <v>8287</v>
      </c>
      <c r="J8296">
        <f t="shared" si="134"/>
        <v>105000</v>
      </c>
      <c r="K8296" t="e">
        <f>VLOOKUP(B8296,'REGISTRO ABONOS'!$B$8:$BC$10041,54,0)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hidden="1" x14ac:dyDescent="0.2">
      <c r="B8297" s="31">
        <v>8288</v>
      </c>
      <c r="J8297">
        <f t="shared" si="134"/>
        <v>105000</v>
      </c>
      <c r="K8297" t="e">
        <f>VLOOKUP(B8297,'REGISTRO ABONOS'!$B$8:$BC$10041,54,0)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hidden="1" x14ac:dyDescent="0.2">
      <c r="B8298" s="31">
        <v>8289</v>
      </c>
      <c r="J8298">
        <f t="shared" si="134"/>
        <v>105000</v>
      </c>
      <c r="K8298" t="e">
        <f>VLOOKUP(B8298,'REGISTRO ABONOS'!$B$8:$BC$10041,54,0)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hidden="1" x14ac:dyDescent="0.2">
      <c r="B8299" s="31">
        <v>8290</v>
      </c>
      <c r="J8299">
        <f t="shared" si="134"/>
        <v>105000</v>
      </c>
      <c r="K8299" t="e">
        <f>VLOOKUP(B8299,'REGISTRO ABONOS'!$B$8:$BC$10041,54,0)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hidden="1" x14ac:dyDescent="0.2">
      <c r="B8300" s="31">
        <v>8291</v>
      </c>
      <c r="J8300">
        <f t="shared" si="134"/>
        <v>105000</v>
      </c>
      <c r="K8300" t="e">
        <f>VLOOKUP(B8300,'REGISTRO ABONOS'!$B$8:$BC$10041,54,0)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hidden="1" x14ac:dyDescent="0.2">
      <c r="B8301" s="31">
        <v>8292</v>
      </c>
      <c r="J8301">
        <f t="shared" si="134"/>
        <v>105000</v>
      </c>
      <c r="K8301" t="e">
        <f>VLOOKUP(B8301,'REGISTRO ABONOS'!$B$8:$BC$10041,54,0)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hidden="1" x14ac:dyDescent="0.2">
      <c r="B8302" s="31">
        <v>8293</v>
      </c>
      <c r="J8302">
        <f t="shared" si="134"/>
        <v>105000</v>
      </c>
      <c r="K8302" t="e">
        <f>VLOOKUP(B8302,'REGISTRO ABONOS'!$B$8:$BC$10041,54,0)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hidden="1" x14ac:dyDescent="0.2">
      <c r="B8303" s="31">
        <v>8294</v>
      </c>
      <c r="J8303">
        <f t="shared" si="134"/>
        <v>105000</v>
      </c>
      <c r="K8303" t="e">
        <f>VLOOKUP(B8303,'REGISTRO ABONOS'!$B$8:$BC$10041,54,0)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5">IF(C8304&gt;43607,130000,105000)</f>
        <v>105000</v>
      </c>
      <c r="K8304" t="e">
        <f>VLOOKUP(B8304,'REGISTRO ABONOS'!$B$8:$BC$10041,54,0)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hidden="1" x14ac:dyDescent="0.2">
      <c r="B8305" s="31">
        <v>8296</v>
      </c>
      <c r="J8305">
        <f t="shared" si="135"/>
        <v>105000</v>
      </c>
      <c r="K8305" t="e">
        <f>VLOOKUP(B8305,'REGISTRO ABONOS'!$B$8:$BC$10041,54,0)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hidden="1" x14ac:dyDescent="0.2">
      <c r="B8306" s="31">
        <v>8297</v>
      </c>
      <c r="J8306">
        <f t="shared" si="135"/>
        <v>105000</v>
      </c>
      <c r="K8306" t="e">
        <f>VLOOKUP(B8306,'REGISTRO ABONOS'!$B$8:$BC$10041,54,0)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hidden="1" x14ac:dyDescent="0.2">
      <c r="B8307" s="31">
        <v>8298</v>
      </c>
      <c r="J8307">
        <f t="shared" si="135"/>
        <v>105000</v>
      </c>
      <c r="K8307" t="e">
        <f>VLOOKUP(B8307,'REGISTRO ABONOS'!$B$8:$BC$10041,54,0)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hidden="1" x14ac:dyDescent="0.2">
      <c r="B8308" s="31">
        <v>8299</v>
      </c>
      <c r="J8308">
        <f t="shared" si="135"/>
        <v>105000</v>
      </c>
      <c r="K8308" t="e">
        <f>VLOOKUP(B8308,'REGISTRO ABONOS'!$B$8:$BC$10041,54,0)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hidden="1" x14ac:dyDescent="0.2">
      <c r="B8309" s="31">
        <v>8300</v>
      </c>
      <c r="J8309">
        <f t="shared" si="135"/>
        <v>105000</v>
      </c>
      <c r="K8309" t="e">
        <f>VLOOKUP(B8309,'REGISTRO ABONOS'!$B$8:$BC$10041,54,0)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hidden="1" x14ac:dyDescent="0.2">
      <c r="B8310" s="31">
        <v>8301</v>
      </c>
      <c r="J8310">
        <f t="shared" si="135"/>
        <v>105000</v>
      </c>
      <c r="K8310" t="e">
        <f>VLOOKUP(B8310,'REGISTRO ABONOS'!$B$8:$BC$10041,54,0)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hidden="1" x14ac:dyDescent="0.2">
      <c r="B8311" s="31">
        <v>8302</v>
      </c>
      <c r="J8311">
        <f t="shared" si="135"/>
        <v>105000</v>
      </c>
      <c r="K8311" t="e">
        <f>VLOOKUP(B8311,'REGISTRO ABONOS'!$B$8:$BC$10041,54,0)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hidden="1" x14ac:dyDescent="0.2">
      <c r="B8312" s="31">
        <v>8303</v>
      </c>
      <c r="J8312">
        <f t="shared" si="135"/>
        <v>105000</v>
      </c>
      <c r="K8312" t="e">
        <f>VLOOKUP(B8312,'REGISTRO ABONOS'!$B$8:$BC$10041,54,0)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hidden="1" x14ac:dyDescent="0.2">
      <c r="B8313" s="31">
        <v>8304</v>
      </c>
      <c r="J8313">
        <f t="shared" si="135"/>
        <v>105000</v>
      </c>
      <c r="K8313" t="e">
        <f>VLOOKUP(B8313,'REGISTRO ABONOS'!$B$8:$BC$10041,54,0)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hidden="1" x14ac:dyDescent="0.2">
      <c r="B8314" s="31">
        <v>8305</v>
      </c>
      <c r="J8314">
        <f t="shared" si="135"/>
        <v>105000</v>
      </c>
      <c r="K8314" t="e">
        <f>VLOOKUP(B8314,'REGISTRO ABONOS'!$B$8:$BC$10041,54,0)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hidden="1" x14ac:dyDescent="0.2">
      <c r="B8315" s="31">
        <v>8306</v>
      </c>
      <c r="J8315">
        <f t="shared" si="135"/>
        <v>105000</v>
      </c>
      <c r="K8315" t="e">
        <f>VLOOKUP(B8315,'REGISTRO ABONOS'!$B$8:$BC$10041,54,0)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hidden="1" x14ac:dyDescent="0.2">
      <c r="B8316" s="31">
        <v>8307</v>
      </c>
      <c r="J8316">
        <f t="shared" si="135"/>
        <v>105000</v>
      </c>
      <c r="K8316" t="e">
        <f>VLOOKUP(B8316,'REGISTRO ABONOS'!$B$8:$BC$10041,54,0)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hidden="1" x14ac:dyDescent="0.2">
      <c r="B8317" s="31">
        <v>8308</v>
      </c>
      <c r="J8317">
        <f t="shared" si="135"/>
        <v>105000</v>
      </c>
      <c r="K8317" t="e">
        <f>VLOOKUP(B8317,'REGISTRO ABONOS'!$B$8:$BC$10041,54,0)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hidden="1" x14ac:dyDescent="0.2">
      <c r="B8318" s="31">
        <v>8309</v>
      </c>
      <c r="J8318">
        <f t="shared" si="135"/>
        <v>105000</v>
      </c>
      <c r="K8318" t="e">
        <f>VLOOKUP(B8318,'REGISTRO ABONOS'!$B$8:$BC$10041,54,0)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hidden="1" x14ac:dyDescent="0.2">
      <c r="B8319" s="31">
        <v>8310</v>
      </c>
      <c r="C8319" s="10">
        <v>43571</v>
      </c>
      <c r="D8319" t="s">
        <v>487</v>
      </c>
      <c r="H8319" t="s">
        <v>487</v>
      </c>
      <c r="I8319" t="s">
        <v>322</v>
      </c>
      <c r="J8319">
        <f t="shared" si="135"/>
        <v>105000</v>
      </c>
      <c r="K8319" t="e">
        <f>VLOOKUP(B8319,'REGISTRO ABONOS'!$B$8:$BC$10041,54,0)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hidden="1" x14ac:dyDescent="0.2">
      <c r="B8320" s="31">
        <v>8311</v>
      </c>
      <c r="J8320">
        <f t="shared" si="135"/>
        <v>105000</v>
      </c>
      <c r="K8320" t="e">
        <f>VLOOKUP(B8320,'REGISTRO ABONOS'!$B$8:$BC$10041,54,0)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hidden="1" x14ac:dyDescent="0.2">
      <c r="B8321" s="31">
        <v>8312</v>
      </c>
      <c r="J8321">
        <f t="shared" si="135"/>
        <v>105000</v>
      </c>
      <c r="K8321" t="e">
        <f>VLOOKUP(B8321,'REGISTRO ABONOS'!$B$8:$BC$10041,54,0)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hidden="1" x14ac:dyDescent="0.2">
      <c r="B8322" s="31">
        <v>8313</v>
      </c>
      <c r="J8322">
        <f t="shared" si="135"/>
        <v>105000</v>
      </c>
      <c r="K8322" t="e">
        <f>VLOOKUP(B8322,'REGISTRO ABONOS'!$B$8:$BC$10041,54,0)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hidden="1" x14ac:dyDescent="0.2">
      <c r="B8323" s="31">
        <v>8314</v>
      </c>
      <c r="J8323">
        <f t="shared" si="135"/>
        <v>105000</v>
      </c>
      <c r="K8323" t="e">
        <f>VLOOKUP(B8323,'REGISTRO ABONOS'!$B$8:$BC$10041,54,0)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hidden="1" x14ac:dyDescent="0.2">
      <c r="B8324" s="31">
        <v>8315</v>
      </c>
      <c r="J8324">
        <f t="shared" si="135"/>
        <v>105000</v>
      </c>
      <c r="K8324" t="e">
        <f>VLOOKUP(B8324,'REGISTRO ABONOS'!$B$8:$BC$10041,54,0)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hidden="1" x14ac:dyDescent="0.2">
      <c r="B8325" s="31">
        <v>8316</v>
      </c>
      <c r="J8325">
        <f t="shared" si="135"/>
        <v>105000</v>
      </c>
      <c r="K8325" t="e">
        <f>VLOOKUP(B8325,'REGISTRO ABONOS'!$B$8:$BC$10041,54,0)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hidden="1" x14ac:dyDescent="0.2">
      <c r="B8326" s="31">
        <v>8317</v>
      </c>
      <c r="J8326">
        <f t="shared" si="135"/>
        <v>105000</v>
      </c>
      <c r="K8326" t="e">
        <f>VLOOKUP(B8326,'REGISTRO ABONOS'!$B$8:$BC$10041,54,0)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hidden="1" x14ac:dyDescent="0.2">
      <c r="B8327" s="31">
        <v>8318</v>
      </c>
      <c r="J8327">
        <f t="shared" si="135"/>
        <v>105000</v>
      </c>
      <c r="K8327" t="e">
        <f>VLOOKUP(B8327,'REGISTRO ABONOS'!$B$8:$BC$10041,54,0)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5"/>
        <v>105000</v>
      </c>
      <c r="K8328" t="e">
        <f>VLOOKUP(B8328,'REGISTRO ABONOS'!$B$8:$BC$10041,54,0)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hidden="1" x14ac:dyDescent="0.2">
      <c r="B8329" s="31">
        <v>8320</v>
      </c>
      <c r="J8329">
        <f t="shared" si="135"/>
        <v>105000</v>
      </c>
      <c r="K8329" t="e">
        <f>VLOOKUP(B8329,'REGISTRO ABONOS'!$B$8:$BC$10041,54,0)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hidden="1" x14ac:dyDescent="0.2">
      <c r="B8330" s="31">
        <v>8321</v>
      </c>
      <c r="J8330">
        <f t="shared" si="135"/>
        <v>105000</v>
      </c>
      <c r="K8330" t="e">
        <f>VLOOKUP(B8330,'REGISTRO ABONOS'!$B$8:$BC$10041,54,0)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hidden="1" x14ac:dyDescent="0.2">
      <c r="B8331" s="31">
        <v>8322</v>
      </c>
      <c r="J8331">
        <f t="shared" si="135"/>
        <v>105000</v>
      </c>
      <c r="K8331" t="e">
        <f>VLOOKUP(B8331,'REGISTRO ABONOS'!$B$8:$BC$10041,54,0)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hidden="1" x14ac:dyDescent="0.2">
      <c r="B8332" s="31">
        <v>8323</v>
      </c>
      <c r="J8332">
        <f t="shared" si="135"/>
        <v>105000</v>
      </c>
      <c r="K8332" t="e">
        <f>VLOOKUP(B8332,'REGISTRO ABONOS'!$B$8:$BC$10041,54,0)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hidden="1" x14ac:dyDescent="0.2">
      <c r="B8333" s="31">
        <v>8324</v>
      </c>
      <c r="J8333">
        <f t="shared" si="135"/>
        <v>105000</v>
      </c>
      <c r="K8333" t="e">
        <f>VLOOKUP(B8333,'REGISTRO ABONOS'!$B$8:$BC$10041,54,0)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hidden="1" x14ac:dyDescent="0.2">
      <c r="B8334" s="31">
        <v>8325</v>
      </c>
      <c r="J8334">
        <f t="shared" si="135"/>
        <v>105000</v>
      </c>
      <c r="K8334" t="e">
        <f>VLOOKUP(B8334,'REGISTRO ABONOS'!$B$8:$BC$10041,54,0)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hidden="1" x14ac:dyDescent="0.2">
      <c r="B8335" s="31">
        <v>8326</v>
      </c>
      <c r="J8335">
        <f t="shared" si="135"/>
        <v>105000</v>
      </c>
      <c r="K8335" t="e">
        <f>VLOOKUP(B8335,'REGISTRO ABONOS'!$B$8:$BC$10041,54,0)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hidden="1" x14ac:dyDescent="0.2">
      <c r="B8336" s="31">
        <v>8327</v>
      </c>
      <c r="J8336">
        <f t="shared" si="135"/>
        <v>105000</v>
      </c>
      <c r="K8336" t="e">
        <f>VLOOKUP(B8336,'REGISTRO ABONOS'!$B$8:$BC$10041,54,0)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hidden="1" x14ac:dyDescent="0.2">
      <c r="B8337" s="31">
        <v>8328</v>
      </c>
      <c r="J8337">
        <f t="shared" si="135"/>
        <v>105000</v>
      </c>
      <c r="K8337" t="e">
        <f>VLOOKUP(B8337,'REGISTRO ABONOS'!$B$8:$BC$10041,54,0)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hidden="1" x14ac:dyDescent="0.2">
      <c r="B8338" s="31">
        <v>8329</v>
      </c>
      <c r="J8338">
        <f t="shared" si="135"/>
        <v>105000</v>
      </c>
      <c r="K8338" t="e">
        <f>VLOOKUP(B8338,'REGISTRO ABONOS'!$B$8:$BC$10041,54,0)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hidden="1" x14ac:dyDescent="0.2">
      <c r="B8339" s="31">
        <v>8330</v>
      </c>
      <c r="J8339">
        <f t="shared" si="135"/>
        <v>105000</v>
      </c>
      <c r="K8339" t="e">
        <f>VLOOKUP(B8339,'REGISTRO ABONOS'!$B$8:$BC$10041,54,0)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hidden="1" x14ac:dyDescent="0.2">
      <c r="B8340" s="31">
        <v>8331</v>
      </c>
      <c r="J8340">
        <f t="shared" si="135"/>
        <v>105000</v>
      </c>
      <c r="K8340" t="e">
        <f>VLOOKUP(B8340,'REGISTRO ABONOS'!$B$8:$BC$10041,54,0)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hidden="1" x14ac:dyDescent="0.2">
      <c r="B8341" s="31">
        <v>8332</v>
      </c>
      <c r="J8341">
        <f t="shared" si="135"/>
        <v>105000</v>
      </c>
      <c r="K8341" t="e">
        <f>VLOOKUP(B8341,'REGISTRO ABONOS'!$B$8:$BC$10041,54,0)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hidden="1" x14ac:dyDescent="0.2">
      <c r="B8342" s="31">
        <v>8333</v>
      </c>
      <c r="J8342">
        <f t="shared" si="135"/>
        <v>105000</v>
      </c>
      <c r="K8342" t="e">
        <f>VLOOKUP(B8342,'REGISTRO ABONOS'!$B$8:$BC$10041,54,0)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hidden="1" x14ac:dyDescent="0.2">
      <c r="B8343" s="31">
        <v>8334</v>
      </c>
      <c r="J8343">
        <f t="shared" si="135"/>
        <v>105000</v>
      </c>
      <c r="K8343" t="e">
        <f>VLOOKUP(B8343,'REGISTRO ABONOS'!$B$8:$BC$10041,54,0)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hidden="1" x14ac:dyDescent="0.2">
      <c r="B8344" s="31">
        <v>8335</v>
      </c>
      <c r="J8344">
        <f t="shared" si="135"/>
        <v>105000</v>
      </c>
      <c r="K8344" t="e">
        <f>VLOOKUP(B8344,'REGISTRO ABONOS'!$B$8:$BC$10041,54,0)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hidden="1" x14ac:dyDescent="0.2">
      <c r="B8345" s="31">
        <v>8336</v>
      </c>
      <c r="J8345">
        <f t="shared" si="135"/>
        <v>105000</v>
      </c>
      <c r="K8345" t="e">
        <f>VLOOKUP(B8345,'REGISTRO ABONOS'!$B$8:$BC$10041,54,0)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hidden="1" x14ac:dyDescent="0.2">
      <c r="B8346" s="31">
        <v>8337</v>
      </c>
      <c r="J8346">
        <f t="shared" si="135"/>
        <v>105000</v>
      </c>
      <c r="K8346" t="e">
        <f>VLOOKUP(B8346,'REGISTRO ABONOS'!$B$8:$BC$10041,54,0)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hidden="1" x14ac:dyDescent="0.2">
      <c r="B8347" s="31">
        <v>8338</v>
      </c>
      <c r="J8347">
        <f t="shared" si="135"/>
        <v>105000</v>
      </c>
      <c r="K8347" t="e">
        <f>VLOOKUP(B8347,'REGISTRO ABONOS'!$B$8:$BC$10041,54,0)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hidden="1" x14ac:dyDescent="0.2">
      <c r="B8348" s="31">
        <v>8339</v>
      </c>
      <c r="J8348">
        <f t="shared" si="135"/>
        <v>105000</v>
      </c>
      <c r="K8348" t="e">
        <f>VLOOKUP(B8348,'REGISTRO ABONOS'!$B$8:$BC$10041,54,0)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hidden="1" x14ac:dyDescent="0.2">
      <c r="B8349" s="31">
        <v>8340</v>
      </c>
      <c r="J8349">
        <f t="shared" si="135"/>
        <v>105000</v>
      </c>
      <c r="K8349" t="e">
        <f>VLOOKUP(B8349,'REGISTRO ABONOS'!$B$8:$BC$10041,54,0)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hidden="1" x14ac:dyDescent="0.2">
      <c r="B8350" s="31">
        <v>8341</v>
      </c>
      <c r="J8350">
        <f t="shared" si="135"/>
        <v>105000</v>
      </c>
      <c r="K8350" t="e">
        <f>VLOOKUP(B8350,'REGISTRO ABONOS'!$B$8:$BC$10041,54,0)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hidden="1" x14ac:dyDescent="0.2">
      <c r="B8351" s="31">
        <v>8342</v>
      </c>
      <c r="J8351">
        <f t="shared" si="135"/>
        <v>105000</v>
      </c>
      <c r="K8351" t="e">
        <f>VLOOKUP(B8351,'REGISTRO ABONOS'!$B$8:$BC$10041,54,0)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hidden="1" x14ac:dyDescent="0.2">
      <c r="B8352" s="31">
        <v>8343</v>
      </c>
      <c r="J8352">
        <f t="shared" si="135"/>
        <v>105000</v>
      </c>
      <c r="K8352" t="e">
        <f>VLOOKUP(B8352,'REGISTRO ABONOS'!$B$8:$BC$10041,54,0)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hidden="1" x14ac:dyDescent="0.2">
      <c r="B8353" s="31">
        <v>8344</v>
      </c>
      <c r="J8353">
        <f t="shared" si="135"/>
        <v>105000</v>
      </c>
      <c r="K8353" t="e">
        <f>VLOOKUP(B8353,'REGISTRO ABONOS'!$B$8:$BC$10041,54,0)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hidden="1" x14ac:dyDescent="0.2">
      <c r="B8354" s="31">
        <v>8345</v>
      </c>
      <c r="J8354">
        <f t="shared" si="135"/>
        <v>105000</v>
      </c>
      <c r="K8354" t="e">
        <f>VLOOKUP(B8354,'REGISTRO ABONOS'!$B$8:$BC$10041,54,0)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hidden="1" x14ac:dyDescent="0.2">
      <c r="B8355" s="31">
        <v>8346</v>
      </c>
      <c r="J8355">
        <f t="shared" si="135"/>
        <v>105000</v>
      </c>
      <c r="K8355" t="e">
        <f>VLOOKUP(B8355,'REGISTRO ABONOS'!$B$8:$BC$10041,54,0)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hidden="1" x14ac:dyDescent="0.2">
      <c r="B8356" s="31">
        <v>8347</v>
      </c>
      <c r="J8356">
        <f t="shared" si="135"/>
        <v>105000</v>
      </c>
      <c r="K8356" t="e">
        <f>VLOOKUP(B8356,'REGISTRO ABONOS'!$B$8:$BC$10041,54,0)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hidden="1" x14ac:dyDescent="0.2">
      <c r="B8357" s="31">
        <v>8348</v>
      </c>
      <c r="J8357">
        <f t="shared" si="135"/>
        <v>105000</v>
      </c>
      <c r="K8357" t="e">
        <f>VLOOKUP(B8357,'REGISTRO ABONOS'!$B$8:$BC$10041,54,0)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hidden="1" x14ac:dyDescent="0.2">
      <c r="B8358" s="31">
        <v>8349</v>
      </c>
      <c r="J8358">
        <f t="shared" si="135"/>
        <v>105000</v>
      </c>
      <c r="K8358" t="e">
        <f>VLOOKUP(B8358,'REGISTRO ABONOS'!$B$8:$BC$10041,54,0)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hidden="1" x14ac:dyDescent="0.2">
      <c r="B8359" s="31">
        <v>8350</v>
      </c>
      <c r="J8359">
        <f t="shared" si="135"/>
        <v>105000</v>
      </c>
      <c r="K8359" t="e">
        <f>VLOOKUP(B8359,'REGISTRO ABONOS'!$B$8:$BC$10041,54,0)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hidden="1" x14ac:dyDescent="0.2">
      <c r="B8360" s="31">
        <v>8351</v>
      </c>
      <c r="J8360">
        <f t="shared" si="135"/>
        <v>105000</v>
      </c>
      <c r="K8360" t="e">
        <f>VLOOKUP(B8360,'REGISTRO ABONOS'!$B$8:$BC$10041,54,0)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hidden="1" x14ac:dyDescent="0.2">
      <c r="B8361" s="31">
        <v>8352</v>
      </c>
      <c r="J8361">
        <f t="shared" si="135"/>
        <v>105000</v>
      </c>
      <c r="K8361" t="e">
        <f>VLOOKUP(B8361,'REGISTRO ABONOS'!$B$8:$BC$10041,54,0)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hidden="1" x14ac:dyDescent="0.2">
      <c r="B8362" s="31">
        <v>8353</v>
      </c>
      <c r="J8362">
        <f t="shared" si="135"/>
        <v>105000</v>
      </c>
      <c r="K8362" t="e">
        <f>VLOOKUP(B8362,'REGISTRO ABONOS'!$B$8:$BC$10041,54,0)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hidden="1" x14ac:dyDescent="0.2">
      <c r="B8363" s="31">
        <v>8354</v>
      </c>
      <c r="J8363">
        <f t="shared" si="135"/>
        <v>105000</v>
      </c>
      <c r="K8363" t="e">
        <f>VLOOKUP(B8363,'REGISTRO ABONOS'!$B$8:$BC$10041,54,0)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hidden="1" x14ac:dyDescent="0.2">
      <c r="B8364" s="31">
        <v>8355</v>
      </c>
      <c r="J8364">
        <f t="shared" si="135"/>
        <v>105000</v>
      </c>
      <c r="K8364" t="e">
        <f>VLOOKUP(B8364,'REGISTRO ABONOS'!$B$8:$BC$10041,54,0)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hidden="1" x14ac:dyDescent="0.2">
      <c r="B8365" s="31">
        <v>8356</v>
      </c>
      <c r="J8365">
        <f t="shared" si="135"/>
        <v>105000</v>
      </c>
      <c r="K8365" t="e">
        <f>VLOOKUP(B8365,'REGISTRO ABONOS'!$B$8:$BC$10041,54,0)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hidden="1" x14ac:dyDescent="0.2">
      <c r="B8366" s="31">
        <v>8357</v>
      </c>
      <c r="J8366">
        <f t="shared" si="135"/>
        <v>105000</v>
      </c>
      <c r="K8366" t="e">
        <f>VLOOKUP(B8366,'REGISTRO ABONOS'!$B$8:$BC$10041,54,0)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5"/>
        <v>105000</v>
      </c>
      <c r="K8367" t="e">
        <f>VLOOKUP(B8367,'REGISTRO ABONOS'!$B$8:$BC$10041,54,0)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hidden="1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ABONOS'!$B$8:$BC$10041,54,0)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hidden="1" x14ac:dyDescent="0.2">
      <c r="B8369" s="31">
        <v>8360</v>
      </c>
      <c r="J8369">
        <f t="shared" si="136"/>
        <v>105000</v>
      </c>
      <c r="K8369" t="e">
        <f>VLOOKUP(B8369,'REGISTRO ABONOS'!$B$8:$BC$10041,54,0)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hidden="1" x14ac:dyDescent="0.2">
      <c r="B8370" s="31">
        <v>8361</v>
      </c>
      <c r="J8370">
        <f t="shared" si="136"/>
        <v>105000</v>
      </c>
      <c r="K8370" t="e">
        <f>VLOOKUP(B8370,'REGISTRO ABONOS'!$B$8:$BC$10041,54,0)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hidden="1" x14ac:dyDescent="0.2">
      <c r="B8371" s="31">
        <v>8362</v>
      </c>
      <c r="J8371">
        <f t="shared" si="136"/>
        <v>105000</v>
      </c>
      <c r="K8371" t="e">
        <f>VLOOKUP(B8371,'REGISTRO ABONOS'!$B$8:$BC$10041,54,0)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hidden="1" x14ac:dyDescent="0.2">
      <c r="B8372" s="31">
        <v>8363</v>
      </c>
      <c r="J8372">
        <f t="shared" si="136"/>
        <v>105000</v>
      </c>
      <c r="K8372" t="e">
        <f>VLOOKUP(B8372,'REGISTRO ABONOS'!$B$8:$BC$10041,54,0)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hidden="1" x14ac:dyDescent="0.2">
      <c r="B8373" s="31">
        <v>8364</v>
      </c>
      <c r="J8373">
        <f t="shared" si="136"/>
        <v>105000</v>
      </c>
      <c r="K8373" t="e">
        <f>VLOOKUP(B8373,'REGISTRO ABONOS'!$B$8:$BC$10041,54,0)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hidden="1" x14ac:dyDescent="0.2">
      <c r="B8374" s="31">
        <v>8365</v>
      </c>
      <c r="J8374">
        <f t="shared" si="136"/>
        <v>105000</v>
      </c>
      <c r="K8374" t="e">
        <f>VLOOKUP(B8374,'REGISTRO ABONOS'!$B$8:$BC$10041,54,0)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hidden="1" x14ac:dyDescent="0.2">
      <c r="B8375" s="31">
        <v>8366</v>
      </c>
      <c r="J8375">
        <f t="shared" si="136"/>
        <v>105000</v>
      </c>
      <c r="K8375" t="e">
        <f>VLOOKUP(B8375,'REGISTRO ABONOS'!$B$8:$BC$10041,54,0)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hidden="1" x14ac:dyDescent="0.2">
      <c r="B8376" s="31">
        <v>8367</v>
      </c>
      <c r="J8376">
        <f t="shared" si="136"/>
        <v>105000</v>
      </c>
      <c r="K8376" t="e">
        <f>VLOOKUP(B8376,'REGISTRO ABONOS'!$B$8:$BC$10041,54,0)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hidden="1" x14ac:dyDescent="0.2">
      <c r="B8377" s="31">
        <v>8368</v>
      </c>
      <c r="J8377">
        <f t="shared" si="136"/>
        <v>105000</v>
      </c>
      <c r="K8377" t="e">
        <f>VLOOKUP(B8377,'REGISTRO ABONOS'!$B$8:$BC$10041,54,0)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hidden="1" x14ac:dyDescent="0.2">
      <c r="B8378" s="31">
        <v>8369</v>
      </c>
      <c r="J8378">
        <f t="shared" si="136"/>
        <v>105000</v>
      </c>
      <c r="K8378" t="e">
        <f>VLOOKUP(B8378,'REGISTRO ABONOS'!$B$8:$BC$10041,54,0)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hidden="1" x14ac:dyDescent="0.2">
      <c r="B8379" s="31">
        <v>8370</v>
      </c>
      <c r="J8379">
        <f t="shared" si="136"/>
        <v>105000</v>
      </c>
      <c r="K8379" t="e">
        <f>VLOOKUP(B8379,'REGISTRO ABONOS'!$B$8:$BC$10041,54,0)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hidden="1" x14ac:dyDescent="0.2">
      <c r="B8380" s="31">
        <v>8371</v>
      </c>
      <c r="J8380">
        <f t="shared" si="136"/>
        <v>105000</v>
      </c>
      <c r="K8380" t="e">
        <f>VLOOKUP(B8380,'REGISTRO ABONOS'!$B$8:$BC$10041,54,0)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hidden="1" x14ac:dyDescent="0.2">
      <c r="B8381" s="31">
        <v>8372</v>
      </c>
      <c r="J8381">
        <f t="shared" si="136"/>
        <v>105000</v>
      </c>
      <c r="K8381" t="e">
        <f>VLOOKUP(B8381,'REGISTRO ABONOS'!$B$8:$BC$10041,54,0)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hidden="1" x14ac:dyDescent="0.2">
      <c r="B8382" s="31">
        <v>8373</v>
      </c>
      <c r="J8382">
        <f t="shared" si="136"/>
        <v>105000</v>
      </c>
      <c r="K8382" t="e">
        <f>VLOOKUP(B8382,'REGISTRO ABONOS'!$B$8:$BC$10041,54,0)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hidden="1" x14ac:dyDescent="0.2">
      <c r="B8383" s="31">
        <v>8374</v>
      </c>
      <c r="J8383">
        <f t="shared" si="136"/>
        <v>105000</v>
      </c>
      <c r="K8383" t="e">
        <f>VLOOKUP(B8383,'REGISTRO ABONOS'!$B$8:$BC$10041,54,0)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hidden="1" x14ac:dyDescent="0.2">
      <c r="B8384" s="31">
        <v>8375</v>
      </c>
      <c r="J8384">
        <f t="shared" si="136"/>
        <v>105000</v>
      </c>
      <c r="K8384" t="e">
        <f>VLOOKUP(B8384,'REGISTRO ABONOS'!$B$8:$BC$10041,54,0)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hidden="1" x14ac:dyDescent="0.2">
      <c r="B8385" s="31">
        <v>8376</v>
      </c>
      <c r="J8385">
        <f t="shared" si="136"/>
        <v>105000</v>
      </c>
      <c r="K8385" t="e">
        <f>VLOOKUP(B8385,'REGISTRO ABONOS'!$B$8:$BC$10041,54,0)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hidden="1" x14ac:dyDescent="0.2">
      <c r="B8386" s="31">
        <v>8377</v>
      </c>
      <c r="J8386">
        <f t="shared" si="136"/>
        <v>105000</v>
      </c>
      <c r="K8386" t="e">
        <f>VLOOKUP(B8386,'REGISTRO ABONOS'!$B$8:$BC$10041,54,0)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hidden="1" x14ac:dyDescent="0.2">
      <c r="B8387" s="31">
        <v>8378</v>
      </c>
      <c r="J8387">
        <f t="shared" si="136"/>
        <v>105000</v>
      </c>
      <c r="K8387" t="e">
        <f>VLOOKUP(B8387,'REGISTRO ABONOS'!$B$8:$BC$10041,54,0)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hidden="1" x14ac:dyDescent="0.2">
      <c r="B8388" s="31">
        <v>8379</v>
      </c>
      <c r="J8388">
        <f t="shared" si="136"/>
        <v>105000</v>
      </c>
      <c r="K8388" t="e">
        <f>VLOOKUP(B8388,'REGISTRO ABONOS'!$B$8:$BC$10041,54,0)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hidden="1" x14ac:dyDescent="0.2">
      <c r="B8389" s="31">
        <v>8380</v>
      </c>
      <c r="J8389">
        <f t="shared" si="136"/>
        <v>105000</v>
      </c>
      <c r="K8389" t="e">
        <f>VLOOKUP(B8389,'REGISTRO ABONOS'!$B$8:$BC$10041,54,0)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hidden="1" x14ac:dyDescent="0.2">
      <c r="B8390" s="31">
        <v>8381</v>
      </c>
      <c r="J8390">
        <f t="shared" si="136"/>
        <v>105000</v>
      </c>
      <c r="K8390" t="e">
        <f>VLOOKUP(B8390,'REGISTRO ABONOS'!$B$8:$BC$10041,54,0)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hidden="1" x14ac:dyDescent="0.2">
      <c r="B8391" s="31">
        <v>8382</v>
      </c>
      <c r="J8391">
        <f t="shared" si="136"/>
        <v>105000</v>
      </c>
      <c r="K8391" t="e">
        <f>VLOOKUP(B8391,'REGISTRO ABONOS'!$B$8:$BC$10041,54,0)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hidden="1" x14ac:dyDescent="0.2">
      <c r="B8392" s="31">
        <v>8383</v>
      </c>
      <c r="J8392">
        <f t="shared" si="136"/>
        <v>105000</v>
      </c>
      <c r="K8392" t="e">
        <f>VLOOKUP(B8392,'REGISTRO ABONOS'!$B$8:$BC$10041,54,0)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hidden="1" x14ac:dyDescent="0.2">
      <c r="B8393" s="31">
        <v>8384</v>
      </c>
      <c r="J8393">
        <f t="shared" si="136"/>
        <v>105000</v>
      </c>
      <c r="K8393" t="e">
        <f>VLOOKUP(B8393,'REGISTRO ABONOS'!$B$8:$BC$10041,54,0)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hidden="1" x14ac:dyDescent="0.2">
      <c r="B8394" s="31">
        <v>8385</v>
      </c>
      <c r="J8394">
        <f t="shared" si="136"/>
        <v>105000</v>
      </c>
      <c r="K8394" t="e">
        <f>VLOOKUP(B8394,'REGISTRO ABONOS'!$B$8:$BC$10041,54,0)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hidden="1" x14ac:dyDescent="0.2">
      <c r="B8395" s="31">
        <v>8386</v>
      </c>
      <c r="J8395">
        <f t="shared" si="136"/>
        <v>105000</v>
      </c>
      <c r="K8395" t="e">
        <f>VLOOKUP(B8395,'REGISTRO ABONOS'!$B$8:$BC$10041,54,0)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hidden="1" x14ac:dyDescent="0.2">
      <c r="B8396" s="31">
        <v>8387</v>
      </c>
      <c r="J8396">
        <f t="shared" si="136"/>
        <v>105000</v>
      </c>
      <c r="K8396" t="e">
        <f>VLOOKUP(B8396,'REGISTRO ABONOS'!$B$8:$BC$10041,54,0)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hidden="1" x14ac:dyDescent="0.2">
      <c r="B8397" s="31">
        <v>8388</v>
      </c>
      <c r="J8397">
        <f t="shared" si="136"/>
        <v>105000</v>
      </c>
      <c r="K8397" t="e">
        <f>VLOOKUP(B8397,'REGISTRO ABONOS'!$B$8:$BC$10041,54,0)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hidden="1" x14ac:dyDescent="0.2">
      <c r="B8398" s="31">
        <v>8389</v>
      </c>
      <c r="J8398">
        <f t="shared" si="136"/>
        <v>105000</v>
      </c>
      <c r="K8398" t="e">
        <f>VLOOKUP(B8398,'REGISTRO ABONOS'!$B$8:$BC$10041,54,0)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hidden="1" x14ac:dyDescent="0.2">
      <c r="B8399" s="31">
        <v>8390</v>
      </c>
      <c r="J8399">
        <f t="shared" si="136"/>
        <v>105000</v>
      </c>
      <c r="K8399" t="e">
        <f>VLOOKUP(B8399,'REGISTRO ABONOS'!$B$8:$BC$10041,54,0)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hidden="1" x14ac:dyDescent="0.2">
      <c r="B8400" s="31">
        <v>8391</v>
      </c>
      <c r="J8400">
        <f t="shared" si="136"/>
        <v>105000</v>
      </c>
      <c r="K8400" t="e">
        <f>VLOOKUP(B8400,'REGISTRO ABONOS'!$B$8:$BC$10041,54,0)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hidden="1" x14ac:dyDescent="0.2">
      <c r="B8401" s="31">
        <v>8392</v>
      </c>
      <c r="J8401">
        <f t="shared" si="136"/>
        <v>105000</v>
      </c>
      <c r="K8401" t="e">
        <f>VLOOKUP(B8401,'REGISTRO ABONOS'!$B$8:$BC$10041,54,0)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hidden="1" x14ac:dyDescent="0.2">
      <c r="B8402" s="31">
        <v>8393</v>
      </c>
      <c r="J8402">
        <f t="shared" si="136"/>
        <v>105000</v>
      </c>
      <c r="K8402" t="e">
        <f>VLOOKUP(B8402,'REGISTRO ABONOS'!$B$8:$BC$10041,54,0)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hidden="1" x14ac:dyDescent="0.2">
      <c r="B8403" s="31">
        <v>8394</v>
      </c>
      <c r="J8403">
        <f t="shared" si="136"/>
        <v>105000</v>
      </c>
      <c r="K8403" t="e">
        <f>VLOOKUP(B8403,'REGISTRO ABONOS'!$B$8:$BC$10041,54,0)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hidden="1" x14ac:dyDescent="0.2">
      <c r="B8404" s="31">
        <v>8395</v>
      </c>
      <c r="J8404">
        <f t="shared" si="136"/>
        <v>105000</v>
      </c>
      <c r="K8404" t="e">
        <f>VLOOKUP(B8404,'REGISTRO ABONOS'!$B$8:$BC$10041,54,0)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hidden="1" x14ac:dyDescent="0.2">
      <c r="B8405" s="31">
        <v>8396</v>
      </c>
      <c r="J8405">
        <f t="shared" si="136"/>
        <v>105000</v>
      </c>
      <c r="K8405" t="e">
        <f>VLOOKUP(B8405,'REGISTRO ABONOS'!$B$8:$BC$10041,54,0)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hidden="1" x14ac:dyDescent="0.2">
      <c r="B8406" s="31">
        <v>8397</v>
      </c>
      <c r="J8406">
        <f t="shared" si="136"/>
        <v>105000</v>
      </c>
      <c r="K8406" t="e">
        <f>VLOOKUP(B8406,'REGISTRO ABONOS'!$B$8:$BC$10041,54,0)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hidden="1" x14ac:dyDescent="0.2">
      <c r="B8407" s="31">
        <v>8398</v>
      </c>
      <c r="J8407">
        <f t="shared" si="136"/>
        <v>105000</v>
      </c>
      <c r="K8407" t="e">
        <f>VLOOKUP(B8407,'REGISTRO ABONOS'!$B$8:$BC$10041,54,0)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hidden="1" x14ac:dyDescent="0.2">
      <c r="B8408" s="31">
        <v>8399</v>
      </c>
      <c r="J8408">
        <f t="shared" si="136"/>
        <v>105000</v>
      </c>
      <c r="K8408" t="e">
        <f>VLOOKUP(B8408,'REGISTRO ABONOS'!$B$8:$BC$10041,54,0)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hidden="1" x14ac:dyDescent="0.2">
      <c r="B8409" s="31">
        <v>8400</v>
      </c>
      <c r="J8409">
        <f t="shared" si="136"/>
        <v>105000</v>
      </c>
      <c r="K8409" t="e">
        <f>VLOOKUP(B8409,'REGISTRO ABONOS'!$B$8:$BC$10041,54,0)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hidden="1" x14ac:dyDescent="0.2">
      <c r="B8410" s="31">
        <v>8401</v>
      </c>
      <c r="J8410">
        <f t="shared" si="136"/>
        <v>105000</v>
      </c>
      <c r="K8410" t="e">
        <f>VLOOKUP(B8410,'REGISTRO ABONOS'!$B$8:$BC$10041,54,0)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hidden="1" x14ac:dyDescent="0.2">
      <c r="B8411" s="31">
        <v>8402</v>
      </c>
      <c r="J8411">
        <f t="shared" si="136"/>
        <v>105000</v>
      </c>
      <c r="K8411" t="e">
        <f>VLOOKUP(B8411,'REGISTRO ABONOS'!$B$8:$BC$10041,54,0)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hidden="1" x14ac:dyDescent="0.2">
      <c r="B8412" s="31">
        <v>8403</v>
      </c>
      <c r="J8412">
        <f t="shared" si="136"/>
        <v>105000</v>
      </c>
      <c r="K8412" t="e">
        <f>VLOOKUP(B8412,'REGISTRO ABONOS'!$B$8:$BC$10041,54,0)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hidden="1" x14ac:dyDescent="0.2">
      <c r="B8413" s="31">
        <v>8404</v>
      </c>
      <c r="J8413">
        <f t="shared" si="136"/>
        <v>105000</v>
      </c>
      <c r="K8413" t="e">
        <f>VLOOKUP(B8413,'REGISTRO ABONOS'!$B$8:$BC$10041,54,0)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hidden="1" x14ac:dyDescent="0.2">
      <c r="B8414" s="31">
        <v>8405</v>
      </c>
      <c r="J8414">
        <f t="shared" si="136"/>
        <v>105000</v>
      </c>
      <c r="K8414" t="e">
        <f>VLOOKUP(B8414,'REGISTRO ABONOS'!$B$8:$BC$10041,54,0)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hidden="1" x14ac:dyDescent="0.2">
      <c r="B8415" s="31">
        <v>8406</v>
      </c>
      <c r="J8415">
        <f t="shared" si="136"/>
        <v>105000</v>
      </c>
      <c r="K8415" t="e">
        <f>VLOOKUP(B8415,'REGISTRO ABONOS'!$B$8:$BC$10041,54,0)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hidden="1" x14ac:dyDescent="0.2">
      <c r="B8416" s="31">
        <v>8407</v>
      </c>
      <c r="J8416">
        <f t="shared" si="136"/>
        <v>105000</v>
      </c>
      <c r="K8416" t="e">
        <f>VLOOKUP(B8416,'REGISTRO ABONOS'!$B$8:$BC$10041,54,0)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hidden="1" x14ac:dyDescent="0.2">
      <c r="B8417" s="31">
        <v>8408</v>
      </c>
      <c r="J8417">
        <f t="shared" si="136"/>
        <v>105000</v>
      </c>
      <c r="K8417" t="e">
        <f>VLOOKUP(B8417,'REGISTRO ABONOS'!$B$8:$BC$10041,54,0)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hidden="1" x14ac:dyDescent="0.2">
      <c r="B8418" s="31">
        <v>8409</v>
      </c>
      <c r="J8418">
        <f t="shared" si="136"/>
        <v>105000</v>
      </c>
      <c r="K8418" t="e">
        <f>VLOOKUP(B8418,'REGISTRO ABONOS'!$B$8:$BC$10041,54,0)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hidden="1" x14ac:dyDescent="0.2">
      <c r="B8419" s="31">
        <v>8410</v>
      </c>
      <c r="J8419">
        <f t="shared" si="136"/>
        <v>105000</v>
      </c>
      <c r="K8419" t="e">
        <f>VLOOKUP(B8419,'REGISTRO ABONOS'!$B$8:$BC$10041,54,0)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hidden="1" x14ac:dyDescent="0.2">
      <c r="B8420" s="31">
        <v>8411</v>
      </c>
      <c r="J8420">
        <f t="shared" si="136"/>
        <v>105000</v>
      </c>
      <c r="K8420" t="e">
        <f>VLOOKUP(B8420,'REGISTRO ABONOS'!$B$8:$BC$10041,54,0)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hidden="1" x14ac:dyDescent="0.2">
      <c r="B8421" s="31">
        <v>8412</v>
      </c>
      <c r="J8421">
        <f t="shared" si="136"/>
        <v>105000</v>
      </c>
      <c r="K8421" t="e">
        <f>VLOOKUP(B8421,'REGISTRO ABONOS'!$B$8:$BC$10041,54,0)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hidden="1" x14ac:dyDescent="0.2">
      <c r="B8422" s="31">
        <v>8413</v>
      </c>
      <c r="J8422">
        <f t="shared" si="136"/>
        <v>105000</v>
      </c>
      <c r="K8422" t="e">
        <f>VLOOKUP(B8422,'REGISTRO ABONOS'!$B$8:$BC$10041,54,0)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hidden="1" x14ac:dyDescent="0.2">
      <c r="B8423" s="31">
        <v>8414</v>
      </c>
      <c r="J8423">
        <f t="shared" si="136"/>
        <v>105000</v>
      </c>
      <c r="K8423" t="e">
        <f>VLOOKUP(B8423,'REGISTRO ABONOS'!$B$8:$BC$10041,54,0)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hidden="1" x14ac:dyDescent="0.2">
      <c r="B8424" s="31">
        <v>8415</v>
      </c>
      <c r="J8424">
        <f t="shared" si="136"/>
        <v>105000</v>
      </c>
      <c r="K8424" t="e">
        <f>VLOOKUP(B8424,'REGISTRO ABONOS'!$B$8:$BC$10041,54,0)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hidden="1" x14ac:dyDescent="0.2">
      <c r="B8425" s="31">
        <v>8416</v>
      </c>
      <c r="J8425">
        <f t="shared" si="136"/>
        <v>105000</v>
      </c>
      <c r="K8425" t="e">
        <f>VLOOKUP(B8425,'REGISTRO ABONOS'!$B$8:$BC$10041,54,0)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hidden="1" x14ac:dyDescent="0.2">
      <c r="B8426" s="31">
        <v>8417</v>
      </c>
      <c r="J8426">
        <f t="shared" si="136"/>
        <v>105000</v>
      </c>
      <c r="K8426" t="e">
        <f>VLOOKUP(B8426,'REGISTRO ABONOS'!$B$8:$BC$10041,54,0)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hidden="1" x14ac:dyDescent="0.2">
      <c r="B8427" s="31">
        <v>8418</v>
      </c>
      <c r="J8427">
        <f t="shared" si="136"/>
        <v>105000</v>
      </c>
      <c r="K8427" t="e">
        <f>VLOOKUP(B8427,'REGISTRO ABONOS'!$B$8:$BC$10041,54,0)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hidden="1" x14ac:dyDescent="0.2">
      <c r="B8428" s="31">
        <v>8419</v>
      </c>
      <c r="J8428">
        <f t="shared" si="136"/>
        <v>105000</v>
      </c>
      <c r="K8428" t="e">
        <f>VLOOKUP(B8428,'REGISTRO ABONOS'!$B$8:$BC$10041,54,0)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hidden="1" x14ac:dyDescent="0.2">
      <c r="B8429" s="31">
        <v>8420</v>
      </c>
      <c r="J8429">
        <f t="shared" si="136"/>
        <v>105000</v>
      </c>
      <c r="K8429" t="e">
        <f>VLOOKUP(B8429,'REGISTRO ABONOS'!$B$8:$BC$10041,54,0)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hidden="1" x14ac:dyDescent="0.2">
      <c r="B8430" s="31">
        <v>8421</v>
      </c>
      <c r="J8430">
        <f t="shared" si="136"/>
        <v>105000</v>
      </c>
      <c r="K8430" t="e">
        <f>VLOOKUP(B8430,'REGISTRO ABONOS'!$B$8:$BC$10041,54,0)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hidden="1" x14ac:dyDescent="0.2">
      <c r="B8431" s="31">
        <v>8422</v>
      </c>
      <c r="J8431">
        <f t="shared" si="136"/>
        <v>105000</v>
      </c>
      <c r="K8431" t="e">
        <f>VLOOKUP(B8431,'REGISTRO ABONOS'!$B$8:$BC$10041,54,0)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hidden="1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ABONOS'!$B$8:$BC$10041,54,0)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hidden="1" x14ac:dyDescent="0.2">
      <c r="B8433" s="31">
        <v>8424</v>
      </c>
      <c r="J8433">
        <f t="shared" si="137"/>
        <v>105000</v>
      </c>
      <c r="K8433" t="e">
        <f>VLOOKUP(B8433,'REGISTRO ABONOS'!$B$8:$BC$10041,54,0)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hidden="1" x14ac:dyDescent="0.2">
      <c r="B8434" s="31">
        <v>8425</v>
      </c>
      <c r="J8434">
        <f t="shared" si="137"/>
        <v>105000</v>
      </c>
      <c r="K8434" t="e">
        <f>VLOOKUP(B8434,'REGISTRO ABONOS'!$B$8:$BC$10041,54,0)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hidden="1" x14ac:dyDescent="0.2">
      <c r="B8435" s="31">
        <v>8426</v>
      </c>
      <c r="J8435">
        <f t="shared" si="137"/>
        <v>105000</v>
      </c>
      <c r="K8435" t="e">
        <f>VLOOKUP(B8435,'REGISTRO ABONOS'!$B$8:$BC$10041,54,0)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7"/>
        <v>105000</v>
      </c>
      <c r="K8436" t="e">
        <f>VLOOKUP(B8436,'REGISTRO ABONOS'!$B$8:$BC$10041,54,0)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hidden="1" x14ac:dyDescent="0.2">
      <c r="B8437" s="31">
        <v>8428</v>
      </c>
      <c r="J8437">
        <f t="shared" si="137"/>
        <v>105000</v>
      </c>
      <c r="K8437" t="e">
        <f>VLOOKUP(B8437,'REGISTRO ABONOS'!$B$8:$BC$10041,54,0)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hidden="1" x14ac:dyDescent="0.2">
      <c r="B8438" s="31">
        <v>8429</v>
      </c>
      <c r="J8438">
        <f t="shared" si="137"/>
        <v>105000</v>
      </c>
      <c r="K8438" t="e">
        <f>VLOOKUP(B8438,'REGISTRO ABONOS'!$B$8:$BC$10041,54,0)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hidden="1" x14ac:dyDescent="0.2">
      <c r="B8439" s="31">
        <v>8430</v>
      </c>
      <c r="J8439">
        <f t="shared" si="137"/>
        <v>105000</v>
      </c>
      <c r="K8439" t="e">
        <f>VLOOKUP(B8439,'REGISTRO ABONOS'!$B$8:$BC$10041,54,0)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hidden="1" x14ac:dyDescent="0.2">
      <c r="B8440" s="31">
        <v>8431</v>
      </c>
      <c r="J8440">
        <f t="shared" si="137"/>
        <v>105000</v>
      </c>
      <c r="K8440" t="e">
        <f>VLOOKUP(B8440,'REGISTRO ABONOS'!$B$8:$BC$10041,54,0)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hidden="1" x14ac:dyDescent="0.2">
      <c r="B8441" s="31">
        <v>8432</v>
      </c>
      <c r="J8441">
        <f t="shared" si="137"/>
        <v>105000</v>
      </c>
      <c r="K8441" t="e">
        <f>VLOOKUP(B8441,'REGISTRO ABONOS'!$B$8:$BC$10041,54,0)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hidden="1" x14ac:dyDescent="0.2">
      <c r="B8442" s="31">
        <v>8433</v>
      </c>
      <c r="J8442">
        <f t="shared" si="137"/>
        <v>105000</v>
      </c>
      <c r="K8442" t="e">
        <f>VLOOKUP(B8442,'REGISTRO ABONOS'!$B$8:$BC$10041,54,0)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hidden="1" x14ac:dyDescent="0.2">
      <c r="B8443" s="31">
        <v>8434</v>
      </c>
      <c r="J8443">
        <f t="shared" si="137"/>
        <v>105000</v>
      </c>
      <c r="K8443" t="e">
        <f>VLOOKUP(B8443,'REGISTRO ABONOS'!$B$8:$BC$10041,54,0)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7"/>
        <v>105000</v>
      </c>
      <c r="K8444" t="e">
        <f>VLOOKUP(B8444,'REGISTRO ABONOS'!$B$8:$BC$10041,54,0)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hidden="1" x14ac:dyDescent="0.2">
      <c r="B8445" s="31">
        <v>8436</v>
      </c>
      <c r="J8445">
        <f t="shared" si="137"/>
        <v>105000</v>
      </c>
      <c r="K8445" t="e">
        <f>VLOOKUP(B8445,'REGISTRO ABONOS'!$B$8:$BC$10041,54,0)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hidden="1" x14ac:dyDescent="0.2">
      <c r="B8446" s="31">
        <v>8437</v>
      </c>
      <c r="J8446">
        <f t="shared" si="137"/>
        <v>105000</v>
      </c>
      <c r="K8446" t="e">
        <f>VLOOKUP(B8446,'REGISTRO ABONOS'!$B$8:$BC$10041,54,0)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hidden="1" x14ac:dyDescent="0.2">
      <c r="B8447" s="31">
        <v>8438</v>
      </c>
      <c r="J8447">
        <f t="shared" si="137"/>
        <v>105000</v>
      </c>
      <c r="K8447" t="e">
        <f>VLOOKUP(B8447,'REGISTRO ABONOS'!$B$8:$BC$10041,54,0)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hidden="1" x14ac:dyDescent="0.2">
      <c r="B8448" s="31">
        <v>8439</v>
      </c>
      <c r="J8448">
        <f t="shared" si="137"/>
        <v>105000</v>
      </c>
      <c r="K8448" t="e">
        <f>VLOOKUP(B8448,'REGISTRO ABONOS'!$B$8:$BC$10041,54,0)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hidden="1" x14ac:dyDescent="0.2">
      <c r="B8449" s="31">
        <v>8440</v>
      </c>
      <c r="J8449">
        <f t="shared" si="137"/>
        <v>105000</v>
      </c>
      <c r="K8449" t="e">
        <f>VLOOKUP(B8449,'REGISTRO ABONOS'!$B$8:$BC$10041,54,0)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hidden="1" x14ac:dyDescent="0.2">
      <c r="B8450" s="31">
        <v>8441</v>
      </c>
      <c r="J8450">
        <f t="shared" si="137"/>
        <v>105000</v>
      </c>
      <c r="K8450" t="e">
        <f>VLOOKUP(B8450,'REGISTRO ABONOS'!$B$8:$BC$10041,54,0)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hidden="1" x14ac:dyDescent="0.2">
      <c r="B8451" s="31">
        <v>8442</v>
      </c>
      <c r="J8451">
        <f t="shared" si="137"/>
        <v>105000</v>
      </c>
      <c r="K8451" t="e">
        <f>VLOOKUP(B8451,'REGISTRO ABONOS'!$B$8:$BC$10041,54,0)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hidden="1" x14ac:dyDescent="0.2">
      <c r="B8452" s="31">
        <v>8443</v>
      </c>
      <c r="J8452">
        <f t="shared" si="137"/>
        <v>105000</v>
      </c>
      <c r="K8452" t="e">
        <f>VLOOKUP(B8452,'REGISTRO ABONOS'!$B$8:$BC$10041,54,0)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hidden="1" x14ac:dyDescent="0.2">
      <c r="B8453" s="31">
        <v>8444</v>
      </c>
      <c r="J8453">
        <f t="shared" si="137"/>
        <v>105000</v>
      </c>
      <c r="K8453" t="e">
        <f>VLOOKUP(B8453,'REGISTRO ABONOS'!$B$8:$BC$10041,54,0)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hidden="1" x14ac:dyDescent="0.2">
      <c r="B8454" s="31">
        <v>8445</v>
      </c>
      <c r="J8454">
        <f t="shared" si="137"/>
        <v>105000</v>
      </c>
      <c r="K8454" t="e">
        <f>VLOOKUP(B8454,'REGISTRO ABONOS'!$B$8:$BC$10041,54,0)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hidden="1" x14ac:dyDescent="0.2">
      <c r="B8455" s="31">
        <v>8446</v>
      </c>
      <c r="J8455">
        <f t="shared" si="137"/>
        <v>105000</v>
      </c>
      <c r="K8455" t="e">
        <f>VLOOKUP(B8455,'REGISTRO ABONOS'!$B$8:$BC$10041,54,0)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hidden="1" x14ac:dyDescent="0.2">
      <c r="B8456" s="31">
        <v>8447</v>
      </c>
      <c r="J8456">
        <f t="shared" si="137"/>
        <v>105000</v>
      </c>
      <c r="K8456" t="e">
        <f>VLOOKUP(B8456,'REGISTRO ABONOS'!$B$8:$BC$10041,54,0)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hidden="1" x14ac:dyDescent="0.2">
      <c r="B8457" s="31">
        <v>8448</v>
      </c>
      <c r="J8457">
        <f t="shared" si="137"/>
        <v>105000</v>
      </c>
      <c r="K8457" t="e">
        <f>VLOOKUP(B8457,'REGISTRO ABONOS'!$B$8:$BC$10041,54,0)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hidden="1" x14ac:dyDescent="0.2">
      <c r="B8458" s="31">
        <v>8449</v>
      </c>
      <c r="J8458">
        <f t="shared" si="137"/>
        <v>105000</v>
      </c>
      <c r="K8458" t="e">
        <f>VLOOKUP(B8458,'REGISTRO ABONOS'!$B$8:$BC$10041,54,0)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hidden="1" x14ac:dyDescent="0.2">
      <c r="B8459" s="31">
        <v>8450</v>
      </c>
      <c r="J8459">
        <f t="shared" si="137"/>
        <v>105000</v>
      </c>
      <c r="K8459" t="e">
        <f>VLOOKUP(B8459,'REGISTRO ABONOS'!$B$8:$BC$10041,54,0)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hidden="1" x14ac:dyDescent="0.2">
      <c r="B8460" s="31">
        <v>8451</v>
      </c>
      <c r="J8460">
        <f t="shared" si="137"/>
        <v>105000</v>
      </c>
      <c r="K8460" t="e">
        <f>VLOOKUP(B8460,'REGISTRO ABONOS'!$B$8:$BC$10041,54,0)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hidden="1" x14ac:dyDescent="0.2">
      <c r="B8461" s="31">
        <v>8452</v>
      </c>
      <c r="J8461">
        <f t="shared" si="137"/>
        <v>105000</v>
      </c>
      <c r="K8461" t="e">
        <f>VLOOKUP(B8461,'REGISTRO ABONOS'!$B$8:$BC$10041,54,0)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hidden="1" x14ac:dyDescent="0.2">
      <c r="B8462" s="31">
        <v>8453</v>
      </c>
      <c r="J8462">
        <f t="shared" si="137"/>
        <v>105000</v>
      </c>
      <c r="K8462" t="e">
        <f>VLOOKUP(B8462,'REGISTRO ABONOS'!$B$8:$BC$10041,54,0)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hidden="1" x14ac:dyDescent="0.2">
      <c r="B8463" s="31">
        <v>8454</v>
      </c>
      <c r="J8463">
        <f t="shared" si="137"/>
        <v>105000</v>
      </c>
      <c r="K8463" t="e">
        <f>VLOOKUP(B8463,'REGISTRO ABONOS'!$B$8:$BC$10041,54,0)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hidden="1" x14ac:dyDescent="0.2">
      <c r="B8464" s="31">
        <v>8455</v>
      </c>
      <c r="J8464">
        <f t="shared" si="137"/>
        <v>105000</v>
      </c>
      <c r="K8464" t="e">
        <f>VLOOKUP(B8464,'REGISTRO ABONOS'!$B$8:$BC$10041,54,0)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hidden="1" x14ac:dyDescent="0.2">
      <c r="B8465" s="31">
        <v>8456</v>
      </c>
      <c r="J8465">
        <f t="shared" si="137"/>
        <v>105000</v>
      </c>
      <c r="K8465" t="e">
        <f>VLOOKUP(B8465,'REGISTRO ABONOS'!$B$8:$BC$10041,54,0)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hidden="1" x14ac:dyDescent="0.2">
      <c r="B8466" s="31">
        <v>8457</v>
      </c>
      <c r="J8466">
        <f t="shared" si="137"/>
        <v>105000</v>
      </c>
      <c r="K8466" t="e">
        <f>VLOOKUP(B8466,'REGISTRO ABONOS'!$B$8:$BC$10041,54,0)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hidden="1" x14ac:dyDescent="0.2">
      <c r="B8467" s="31">
        <v>8458</v>
      </c>
      <c r="J8467">
        <f t="shared" si="137"/>
        <v>105000</v>
      </c>
      <c r="K8467" t="e">
        <f>VLOOKUP(B8467,'REGISTRO ABONOS'!$B$8:$BC$10041,54,0)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hidden="1" x14ac:dyDescent="0.2">
      <c r="B8468" s="31">
        <v>8459</v>
      </c>
      <c r="J8468">
        <f t="shared" si="137"/>
        <v>105000</v>
      </c>
      <c r="K8468" t="e">
        <f>VLOOKUP(B8468,'REGISTRO ABONOS'!$B$8:$BC$10041,54,0)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hidden="1" x14ac:dyDescent="0.2">
      <c r="B8469" s="31">
        <v>8460</v>
      </c>
      <c r="J8469">
        <f t="shared" si="137"/>
        <v>105000</v>
      </c>
      <c r="K8469" t="e">
        <f>VLOOKUP(B8469,'REGISTRO ABONOS'!$B$8:$BC$10041,54,0)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hidden="1" x14ac:dyDescent="0.2">
      <c r="B8470" s="31">
        <v>8461</v>
      </c>
      <c r="J8470">
        <f t="shared" si="137"/>
        <v>105000</v>
      </c>
      <c r="K8470" t="e">
        <f>VLOOKUP(B8470,'REGISTRO ABONOS'!$B$8:$BC$10041,54,0)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hidden="1" x14ac:dyDescent="0.2">
      <c r="B8471" s="31">
        <v>8462</v>
      </c>
      <c r="J8471">
        <f t="shared" si="137"/>
        <v>105000</v>
      </c>
      <c r="K8471" t="e">
        <f>VLOOKUP(B8471,'REGISTRO ABONOS'!$B$8:$BC$10041,54,0)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hidden="1" x14ac:dyDescent="0.2">
      <c r="B8472" s="31">
        <v>8463</v>
      </c>
      <c r="J8472">
        <f t="shared" si="137"/>
        <v>105000</v>
      </c>
      <c r="K8472" t="e">
        <f>VLOOKUP(B8472,'REGISTRO ABONOS'!$B$8:$BC$10041,54,0)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hidden="1" x14ac:dyDescent="0.2">
      <c r="B8473" s="31">
        <v>8464</v>
      </c>
      <c r="J8473">
        <f t="shared" si="137"/>
        <v>105000</v>
      </c>
      <c r="K8473" t="e">
        <f>VLOOKUP(B8473,'REGISTRO ABONOS'!$B$8:$BC$10041,54,0)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hidden="1" x14ac:dyDescent="0.2">
      <c r="B8474" s="31">
        <v>8465</v>
      </c>
      <c r="J8474">
        <f t="shared" si="137"/>
        <v>105000</v>
      </c>
      <c r="K8474" t="e">
        <f>VLOOKUP(B8474,'REGISTRO ABONOS'!$B$8:$BC$10041,54,0)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hidden="1" x14ac:dyDescent="0.2">
      <c r="B8475" s="31">
        <v>8466</v>
      </c>
      <c r="J8475">
        <f t="shared" si="137"/>
        <v>105000</v>
      </c>
      <c r="K8475" t="e">
        <f>VLOOKUP(B8475,'REGISTRO ABONOS'!$B$8:$BC$10041,54,0)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hidden="1" x14ac:dyDescent="0.2">
      <c r="B8476" s="31">
        <v>8467</v>
      </c>
      <c r="J8476">
        <f t="shared" si="137"/>
        <v>105000</v>
      </c>
      <c r="K8476" t="e">
        <f>VLOOKUP(B8476,'REGISTRO ABONOS'!$B$8:$BC$10041,54,0)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hidden="1" x14ac:dyDescent="0.2">
      <c r="B8477" s="31">
        <v>8468</v>
      </c>
      <c r="J8477">
        <f t="shared" si="137"/>
        <v>105000</v>
      </c>
      <c r="K8477" t="e">
        <f>VLOOKUP(B8477,'REGISTRO ABONOS'!$B$8:$BC$10041,54,0)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hidden="1" x14ac:dyDescent="0.2">
      <c r="B8478" s="31">
        <v>8469</v>
      </c>
      <c r="J8478">
        <f t="shared" si="137"/>
        <v>105000</v>
      </c>
      <c r="K8478" t="e">
        <f>VLOOKUP(B8478,'REGISTRO ABONOS'!$B$8:$BC$10041,54,0)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hidden="1" x14ac:dyDescent="0.2">
      <c r="B8479" s="31">
        <v>8470</v>
      </c>
      <c r="J8479">
        <f t="shared" si="137"/>
        <v>105000</v>
      </c>
      <c r="K8479" t="e">
        <f>VLOOKUP(B8479,'REGISTRO ABONOS'!$B$8:$BC$10041,54,0)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hidden="1" x14ac:dyDescent="0.2">
      <c r="B8480" s="31">
        <v>8471</v>
      </c>
      <c r="J8480">
        <f t="shared" si="137"/>
        <v>105000</v>
      </c>
      <c r="K8480" t="e">
        <f>VLOOKUP(B8480,'REGISTRO ABONOS'!$B$8:$BC$10041,54,0)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hidden="1" x14ac:dyDescent="0.2">
      <c r="B8481" s="31">
        <v>8472</v>
      </c>
      <c r="J8481">
        <f t="shared" si="137"/>
        <v>105000</v>
      </c>
      <c r="K8481" t="e">
        <f>VLOOKUP(B8481,'REGISTRO ABONOS'!$B$8:$BC$10041,54,0)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hidden="1" x14ac:dyDescent="0.2">
      <c r="B8482" s="31">
        <v>8473</v>
      </c>
      <c r="J8482">
        <f t="shared" si="137"/>
        <v>105000</v>
      </c>
      <c r="K8482" t="e">
        <f>VLOOKUP(B8482,'REGISTRO ABONOS'!$B$8:$BC$10041,54,0)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hidden="1" x14ac:dyDescent="0.2">
      <c r="B8483" s="31">
        <v>8474</v>
      </c>
      <c r="J8483">
        <f t="shared" si="137"/>
        <v>105000</v>
      </c>
      <c r="K8483" t="e">
        <f>VLOOKUP(B8483,'REGISTRO ABONOS'!$B$8:$BC$10041,54,0)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hidden="1" x14ac:dyDescent="0.2">
      <c r="B8484" s="31">
        <v>8475</v>
      </c>
      <c r="J8484">
        <f t="shared" si="137"/>
        <v>105000</v>
      </c>
      <c r="K8484" t="e">
        <f>VLOOKUP(B8484,'REGISTRO ABONOS'!$B$8:$BC$10041,54,0)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hidden="1" x14ac:dyDescent="0.2">
      <c r="B8485" s="31">
        <v>8476</v>
      </c>
      <c r="J8485">
        <f t="shared" si="137"/>
        <v>105000</v>
      </c>
      <c r="K8485" t="e">
        <f>VLOOKUP(B8485,'REGISTRO ABONOS'!$B$8:$BC$10041,54,0)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hidden="1" x14ac:dyDescent="0.2">
      <c r="B8486" s="31">
        <v>8477</v>
      </c>
      <c r="J8486">
        <f t="shared" si="137"/>
        <v>105000</v>
      </c>
      <c r="K8486" t="e">
        <f>VLOOKUP(B8486,'REGISTRO ABONOS'!$B$8:$BC$10041,54,0)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hidden="1" x14ac:dyDescent="0.2">
      <c r="B8487" s="31">
        <v>8478</v>
      </c>
      <c r="J8487">
        <f t="shared" si="137"/>
        <v>105000</v>
      </c>
      <c r="K8487" t="e">
        <f>VLOOKUP(B8487,'REGISTRO ABONOS'!$B$8:$BC$10041,54,0)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hidden="1" x14ac:dyDescent="0.2">
      <c r="B8488" s="31">
        <v>8479</v>
      </c>
      <c r="J8488">
        <f t="shared" si="137"/>
        <v>105000</v>
      </c>
      <c r="K8488" t="e">
        <f>VLOOKUP(B8488,'REGISTRO ABONOS'!$B$8:$BC$10041,54,0)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hidden="1" x14ac:dyDescent="0.2">
      <c r="B8489" s="31">
        <v>8480</v>
      </c>
      <c r="J8489">
        <f t="shared" si="137"/>
        <v>105000</v>
      </c>
      <c r="K8489" t="e">
        <f>VLOOKUP(B8489,'REGISTRO ABONOS'!$B$8:$BC$10041,54,0)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hidden="1" x14ac:dyDescent="0.2">
      <c r="B8490" s="31">
        <v>8481</v>
      </c>
      <c r="J8490">
        <f t="shared" si="137"/>
        <v>105000</v>
      </c>
      <c r="K8490" t="e">
        <f>VLOOKUP(B8490,'REGISTRO ABONOS'!$B$8:$BC$10041,54,0)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hidden="1" x14ac:dyDescent="0.2">
      <c r="B8491" s="31">
        <v>8482</v>
      </c>
      <c r="J8491">
        <f t="shared" si="137"/>
        <v>105000</v>
      </c>
      <c r="K8491" t="e">
        <f>VLOOKUP(B8491,'REGISTRO ABONOS'!$B$8:$BC$10041,54,0)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hidden="1" x14ac:dyDescent="0.2">
      <c r="B8492" s="31">
        <v>8483</v>
      </c>
      <c r="J8492">
        <f t="shared" si="137"/>
        <v>105000</v>
      </c>
      <c r="K8492" t="e">
        <f>VLOOKUP(B8492,'REGISTRO ABONOS'!$B$8:$BC$10041,54,0)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hidden="1" x14ac:dyDescent="0.2">
      <c r="B8493" s="31">
        <v>8484</v>
      </c>
      <c r="J8493">
        <f t="shared" si="137"/>
        <v>105000</v>
      </c>
      <c r="K8493" t="e">
        <f>VLOOKUP(B8493,'REGISTRO ABONOS'!$B$8:$BC$10041,54,0)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hidden="1" x14ac:dyDescent="0.2">
      <c r="B8494" s="31">
        <v>8485</v>
      </c>
      <c r="J8494">
        <f t="shared" si="137"/>
        <v>105000</v>
      </c>
      <c r="K8494" t="e">
        <f>VLOOKUP(B8494,'REGISTRO ABONOS'!$B$8:$BC$10041,54,0)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hidden="1" x14ac:dyDescent="0.2">
      <c r="B8495" s="31">
        <v>8486</v>
      </c>
      <c r="J8495">
        <f t="shared" si="137"/>
        <v>105000</v>
      </c>
      <c r="K8495" t="e">
        <f>VLOOKUP(B8495,'REGISTRO ABONOS'!$B$8:$BC$10041,54,0)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hidden="1" x14ac:dyDescent="0.2">
      <c r="B8496" s="31">
        <v>8487</v>
      </c>
      <c r="J8496">
        <f t="shared" ref="J8496:J8553" si="138">IF(C8496&gt;43607,130000,105000)</f>
        <v>105000</v>
      </c>
      <c r="K8496" t="e">
        <f>VLOOKUP(B8496,'REGISTRO ABONOS'!$B$8:$BC$10041,54,0)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hidden="1" x14ac:dyDescent="0.2">
      <c r="B8497" s="31">
        <v>8488</v>
      </c>
      <c r="J8497">
        <f t="shared" si="138"/>
        <v>105000</v>
      </c>
      <c r="K8497" t="e">
        <f>VLOOKUP(B8497,'REGISTRO ABONOS'!$B$8:$BC$10041,54,0)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hidden="1" x14ac:dyDescent="0.2">
      <c r="B8498" s="31">
        <v>8489</v>
      </c>
      <c r="J8498">
        <f t="shared" si="138"/>
        <v>105000</v>
      </c>
      <c r="K8498" t="e">
        <f>VLOOKUP(B8498,'REGISTRO ABONOS'!$B$8:$BC$10041,54,0)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hidden="1" x14ac:dyDescent="0.2">
      <c r="B8499" s="31">
        <v>8490</v>
      </c>
      <c r="J8499">
        <f t="shared" si="138"/>
        <v>105000</v>
      </c>
      <c r="K8499" t="e">
        <f>VLOOKUP(B8499,'REGISTRO ABONOS'!$B$8:$BC$10041,54,0)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hidden="1" x14ac:dyDescent="0.2">
      <c r="B8500" s="31">
        <v>8491</v>
      </c>
      <c r="J8500">
        <f t="shared" si="138"/>
        <v>105000</v>
      </c>
      <c r="K8500" t="e">
        <f>VLOOKUP(B8500,'REGISTRO ABONOS'!$B$8:$BC$10041,54,0)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hidden="1" x14ac:dyDescent="0.2">
      <c r="B8501" s="31">
        <v>8492</v>
      </c>
      <c r="J8501">
        <f t="shared" si="138"/>
        <v>105000</v>
      </c>
      <c r="K8501" t="e">
        <f>VLOOKUP(B8501,'REGISTRO ABONOS'!$B$8:$BC$10041,54,0)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hidden="1" x14ac:dyDescent="0.2">
      <c r="B8502" s="31">
        <v>8493</v>
      </c>
      <c r="J8502">
        <f t="shared" si="138"/>
        <v>105000</v>
      </c>
      <c r="K8502" t="e">
        <f>VLOOKUP(B8502,'REGISTRO ABONOS'!$B$8:$BC$10041,54,0)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hidden="1" x14ac:dyDescent="0.2">
      <c r="B8503" s="31">
        <v>8494</v>
      </c>
      <c r="J8503">
        <f t="shared" si="138"/>
        <v>105000</v>
      </c>
      <c r="K8503" t="e">
        <f>VLOOKUP(B8503,'REGISTRO ABONOS'!$B$8:$BC$10041,54,0)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hidden="1" x14ac:dyDescent="0.2">
      <c r="B8504" s="31">
        <v>8495</v>
      </c>
      <c r="J8504">
        <f t="shared" si="138"/>
        <v>105000</v>
      </c>
      <c r="K8504" t="e">
        <f>VLOOKUP(B8504,'REGISTRO ABONOS'!$B$8:$BC$10041,54,0)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hidden="1" x14ac:dyDescent="0.2">
      <c r="B8505" s="31">
        <v>8496</v>
      </c>
      <c r="J8505">
        <f t="shared" si="138"/>
        <v>105000</v>
      </c>
      <c r="K8505" t="e">
        <f>VLOOKUP(B8505,'REGISTRO ABONOS'!$B$8:$BC$10041,54,0)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hidden="1" x14ac:dyDescent="0.2">
      <c r="B8506" s="31">
        <v>8497</v>
      </c>
      <c r="J8506">
        <f t="shared" si="138"/>
        <v>105000</v>
      </c>
      <c r="K8506" t="e">
        <f>VLOOKUP(B8506,'REGISTRO ABONOS'!$B$8:$BC$10041,54,0)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hidden="1" x14ac:dyDescent="0.2">
      <c r="B8507" s="31">
        <v>8498</v>
      </c>
      <c r="J8507">
        <f t="shared" si="138"/>
        <v>105000</v>
      </c>
      <c r="K8507" t="e">
        <f>VLOOKUP(B8507,'REGISTRO ABONOS'!$B$8:$BC$10041,54,0)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8"/>
        <v>130000</v>
      </c>
      <c r="K8508">
        <f>VLOOKUP(B8508,'REGISTRO ABONOS'!$B$8:$BC$10041,54,0)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hidden="1" x14ac:dyDescent="0.2">
      <c r="B8509" s="31">
        <v>8500</v>
      </c>
      <c r="J8509">
        <f t="shared" si="138"/>
        <v>105000</v>
      </c>
      <c r="K8509" t="e">
        <f>VLOOKUP(B8509,'REGISTRO ABONOS'!$B$8:$BC$10041,54,0)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hidden="1" x14ac:dyDescent="0.2">
      <c r="B8510" s="31">
        <v>8501</v>
      </c>
      <c r="J8510">
        <f t="shared" si="138"/>
        <v>105000</v>
      </c>
      <c r="K8510" t="e">
        <f>VLOOKUP(B8510,'REGISTRO ABONOS'!$B$8:$BC$10041,54,0)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hidden="1" x14ac:dyDescent="0.2">
      <c r="B8511" s="31">
        <v>8502</v>
      </c>
      <c r="J8511">
        <f t="shared" si="138"/>
        <v>105000</v>
      </c>
      <c r="K8511" t="e">
        <f>VLOOKUP(B8511,'REGISTRO ABONOS'!$B$8:$BC$10041,54,0)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hidden="1" x14ac:dyDescent="0.2">
      <c r="B8512" s="31">
        <v>8503</v>
      </c>
      <c r="J8512">
        <f t="shared" si="138"/>
        <v>105000</v>
      </c>
      <c r="K8512" t="e">
        <f>VLOOKUP(B8512,'REGISTRO ABONOS'!$B$8:$BC$10041,54,0)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hidden="1" x14ac:dyDescent="0.2">
      <c r="B8513" s="31">
        <v>8504</v>
      </c>
      <c r="J8513">
        <f t="shared" si="138"/>
        <v>105000</v>
      </c>
      <c r="K8513" t="e">
        <f>VLOOKUP(B8513,'REGISTRO ABONOS'!$B$8:$BC$10041,54,0)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hidden="1" x14ac:dyDescent="0.2">
      <c r="B8514" s="31">
        <v>8505</v>
      </c>
      <c r="J8514">
        <f t="shared" si="138"/>
        <v>105000</v>
      </c>
      <c r="K8514" t="e">
        <f>VLOOKUP(B8514,'REGISTRO ABONOS'!$B$8:$BC$10041,54,0)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hidden="1" x14ac:dyDescent="0.2">
      <c r="B8515" s="31">
        <v>8506</v>
      </c>
      <c r="J8515">
        <f t="shared" si="138"/>
        <v>105000</v>
      </c>
      <c r="K8515" t="e">
        <f>VLOOKUP(B8515,'REGISTRO ABONOS'!$B$8:$BC$10041,54,0)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hidden="1" x14ac:dyDescent="0.2">
      <c r="B8516" s="31">
        <v>8507</v>
      </c>
      <c r="J8516">
        <f t="shared" si="138"/>
        <v>105000</v>
      </c>
      <c r="K8516" t="e">
        <f>VLOOKUP(B8516,'REGISTRO ABONOS'!$B$8:$BC$10041,54,0)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hidden="1" x14ac:dyDescent="0.2">
      <c r="B8517" s="31">
        <v>8508</v>
      </c>
      <c r="J8517">
        <f t="shared" si="138"/>
        <v>105000</v>
      </c>
      <c r="K8517" t="e">
        <f>VLOOKUP(B8517,'REGISTRO ABONOS'!$B$8:$BC$10041,54,0)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hidden="1" x14ac:dyDescent="0.2">
      <c r="B8518" s="31">
        <v>8509</v>
      </c>
      <c r="J8518">
        <f t="shared" si="138"/>
        <v>105000</v>
      </c>
      <c r="K8518" t="e">
        <f>VLOOKUP(B8518,'REGISTRO ABONOS'!$B$8:$BC$10041,54,0)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hidden="1" x14ac:dyDescent="0.2">
      <c r="B8519" s="31">
        <v>8510</v>
      </c>
      <c r="J8519">
        <f t="shared" si="138"/>
        <v>105000</v>
      </c>
      <c r="K8519" t="e">
        <f>VLOOKUP(B8519,'REGISTRO ABONOS'!$B$8:$BC$10041,54,0)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hidden="1" x14ac:dyDescent="0.2">
      <c r="B8520" s="31">
        <v>8511</v>
      </c>
      <c r="J8520">
        <f t="shared" si="138"/>
        <v>105000</v>
      </c>
      <c r="K8520" t="e">
        <f>VLOOKUP(B8520,'REGISTRO ABONOS'!$B$8:$BC$10041,54,0)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hidden="1" x14ac:dyDescent="0.2">
      <c r="B8521" s="31">
        <v>8512</v>
      </c>
      <c r="J8521">
        <f t="shared" si="138"/>
        <v>105000</v>
      </c>
      <c r="K8521" t="e">
        <f>VLOOKUP(B8521,'REGISTRO ABONOS'!$B$8:$BC$10041,54,0)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hidden="1" x14ac:dyDescent="0.2">
      <c r="B8522" s="31">
        <v>8513</v>
      </c>
      <c r="J8522">
        <f t="shared" si="138"/>
        <v>105000</v>
      </c>
      <c r="K8522" t="e">
        <f>VLOOKUP(B8522,'REGISTRO ABONOS'!$B$8:$BC$10041,54,0)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hidden="1" x14ac:dyDescent="0.2">
      <c r="B8523" s="31">
        <v>8514</v>
      </c>
      <c r="J8523">
        <f t="shared" si="138"/>
        <v>105000</v>
      </c>
      <c r="K8523" t="e">
        <f>VLOOKUP(B8523,'REGISTRO ABONOS'!$B$8:$BC$10041,54,0)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hidden="1" x14ac:dyDescent="0.2">
      <c r="B8524" s="31">
        <v>8515</v>
      </c>
      <c r="J8524">
        <f t="shared" si="138"/>
        <v>105000</v>
      </c>
      <c r="K8524" t="e">
        <f>VLOOKUP(B8524,'REGISTRO ABONOS'!$B$8:$BC$10041,54,0)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hidden="1" x14ac:dyDescent="0.2">
      <c r="B8525" s="31">
        <v>8516</v>
      </c>
      <c r="J8525">
        <f t="shared" si="138"/>
        <v>105000</v>
      </c>
      <c r="K8525" t="e">
        <f>VLOOKUP(B8525,'REGISTRO ABONOS'!$B$8:$BC$10041,54,0)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hidden="1" x14ac:dyDescent="0.2">
      <c r="B8526" s="31">
        <v>8517</v>
      </c>
      <c r="J8526">
        <f t="shared" si="138"/>
        <v>105000</v>
      </c>
      <c r="K8526" t="e">
        <f>VLOOKUP(B8526,'REGISTRO ABONOS'!$B$8:$BC$10041,54,0)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hidden="1" x14ac:dyDescent="0.2">
      <c r="B8527" s="31">
        <v>8518</v>
      </c>
      <c r="J8527">
        <f t="shared" si="138"/>
        <v>105000</v>
      </c>
      <c r="K8527" t="e">
        <f>VLOOKUP(B8527,'REGISTRO ABONOS'!$B$8:$BC$10041,54,0)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hidden="1" x14ac:dyDescent="0.2">
      <c r="B8528" s="31">
        <v>8519</v>
      </c>
      <c r="J8528">
        <f t="shared" si="138"/>
        <v>105000</v>
      </c>
      <c r="K8528" t="e">
        <f>VLOOKUP(B8528,'REGISTRO ABONOS'!$B$8:$BC$10041,54,0)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8"/>
        <v>105000</v>
      </c>
      <c r="K8529" t="e">
        <f>VLOOKUP(B8529,'REGISTRO ABONOS'!$B$8:$BC$10041,54,0)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hidden="1" x14ac:dyDescent="0.2">
      <c r="B8530" s="31">
        <v>8521</v>
      </c>
      <c r="J8530">
        <f t="shared" si="138"/>
        <v>105000</v>
      </c>
      <c r="K8530" t="e">
        <f>VLOOKUP(B8530,'REGISTRO ABONOS'!$B$8:$BC$10041,54,0)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hidden="1" x14ac:dyDescent="0.2">
      <c r="B8531" s="31">
        <v>8522</v>
      </c>
      <c r="J8531">
        <f t="shared" si="138"/>
        <v>105000</v>
      </c>
      <c r="K8531" t="e">
        <f>VLOOKUP(B8531,'REGISTRO ABONOS'!$B$8:$BC$10041,54,0)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hidden="1" x14ac:dyDescent="0.2">
      <c r="B8532" s="31">
        <v>8523</v>
      </c>
      <c r="J8532">
        <f t="shared" si="138"/>
        <v>105000</v>
      </c>
      <c r="K8532" t="e">
        <f>VLOOKUP(B8532,'REGISTRO ABONOS'!$B$8:$BC$10041,54,0)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hidden="1" x14ac:dyDescent="0.2">
      <c r="B8533" s="31">
        <v>8524</v>
      </c>
      <c r="J8533">
        <f t="shared" si="138"/>
        <v>105000</v>
      </c>
      <c r="K8533" t="e">
        <f>VLOOKUP(B8533,'REGISTRO ABONOS'!$B$8:$BC$10041,54,0)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hidden="1" x14ac:dyDescent="0.2">
      <c r="B8534" s="31">
        <v>8525</v>
      </c>
      <c r="J8534">
        <f t="shared" si="138"/>
        <v>105000</v>
      </c>
      <c r="K8534" t="e">
        <f>VLOOKUP(B8534,'REGISTRO ABONOS'!$B$8:$BC$10041,54,0)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hidden="1" x14ac:dyDescent="0.2">
      <c r="B8535" s="31">
        <v>8526</v>
      </c>
      <c r="J8535">
        <f t="shared" si="138"/>
        <v>105000</v>
      </c>
      <c r="K8535" t="e">
        <f>VLOOKUP(B8535,'REGISTRO ABONOS'!$B$8:$BC$10041,54,0)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hidden="1" x14ac:dyDescent="0.2">
      <c r="B8536" s="31">
        <v>8527</v>
      </c>
      <c r="J8536">
        <f t="shared" si="138"/>
        <v>105000</v>
      </c>
      <c r="K8536" t="e">
        <f>VLOOKUP(B8536,'REGISTRO ABONOS'!$B$8:$BC$10041,54,0)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hidden="1" x14ac:dyDescent="0.2">
      <c r="B8537" s="31">
        <v>8528</v>
      </c>
      <c r="J8537">
        <f t="shared" si="138"/>
        <v>105000</v>
      </c>
      <c r="K8537" t="e">
        <f>VLOOKUP(B8537,'REGISTRO ABONOS'!$B$8:$BC$10041,54,0)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hidden="1" x14ac:dyDescent="0.2">
      <c r="B8538" s="31">
        <v>8529</v>
      </c>
      <c r="J8538">
        <f t="shared" si="138"/>
        <v>105000</v>
      </c>
      <c r="K8538" t="e">
        <f>VLOOKUP(B8538,'REGISTRO ABONOS'!$B$8:$BC$10041,54,0)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hidden="1" x14ac:dyDescent="0.2">
      <c r="B8539" s="31">
        <v>8530</v>
      </c>
      <c r="J8539">
        <f t="shared" si="138"/>
        <v>105000</v>
      </c>
      <c r="K8539" t="e">
        <f>VLOOKUP(B8539,'REGISTRO ABONOS'!$B$8:$BC$10041,54,0)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hidden="1" x14ac:dyDescent="0.2">
      <c r="B8540" s="31">
        <v>8531</v>
      </c>
      <c r="J8540">
        <f t="shared" si="138"/>
        <v>105000</v>
      </c>
      <c r="K8540" t="e">
        <f>VLOOKUP(B8540,'REGISTRO ABONOS'!$B$8:$BC$10041,54,0)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8"/>
        <v>105000</v>
      </c>
      <c r="K8541" t="e">
        <f>VLOOKUP(B8541,'REGISTRO ABONOS'!$B$8:$BC$10041,54,0)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hidden="1" x14ac:dyDescent="0.2">
      <c r="B8542" s="31">
        <v>8533</v>
      </c>
      <c r="J8542">
        <f t="shared" si="138"/>
        <v>105000</v>
      </c>
      <c r="K8542" t="e">
        <f>VLOOKUP(B8542,'REGISTRO ABONOS'!$B$8:$BC$10041,54,0)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hidden="1" x14ac:dyDescent="0.2">
      <c r="B8543" s="31">
        <v>8534</v>
      </c>
      <c r="J8543">
        <f t="shared" si="138"/>
        <v>105000</v>
      </c>
      <c r="K8543" t="e">
        <f>VLOOKUP(B8543,'REGISTRO ABONOS'!$B$8:$BC$10041,54,0)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hidden="1" x14ac:dyDescent="0.2">
      <c r="B8544" s="31">
        <v>8535</v>
      </c>
      <c r="J8544">
        <f t="shared" si="138"/>
        <v>105000</v>
      </c>
      <c r="K8544" t="e">
        <f>VLOOKUP(B8544,'REGISTRO ABONOS'!$B$8:$BC$10041,54,0)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hidden="1" x14ac:dyDescent="0.2">
      <c r="B8545" s="31">
        <v>8536</v>
      </c>
      <c r="J8545">
        <f t="shared" si="138"/>
        <v>105000</v>
      </c>
      <c r="K8545" t="e">
        <f>VLOOKUP(B8545,'REGISTRO ABONOS'!$B$8:$BC$10041,54,0)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hidden="1" x14ac:dyDescent="0.2">
      <c r="B8546" s="31">
        <v>8537</v>
      </c>
      <c r="J8546">
        <f t="shared" si="138"/>
        <v>105000</v>
      </c>
      <c r="K8546" t="e">
        <f>VLOOKUP(B8546,'REGISTRO ABONOS'!$B$8:$BC$10041,54,0)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hidden="1" x14ac:dyDescent="0.2">
      <c r="B8547" s="31">
        <v>8538</v>
      </c>
      <c r="J8547">
        <f t="shared" si="138"/>
        <v>105000</v>
      </c>
      <c r="K8547" t="e">
        <f>VLOOKUP(B8547,'REGISTRO ABONOS'!$B$8:$BC$10041,54,0)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hidden="1" x14ac:dyDescent="0.2">
      <c r="B8548" s="31">
        <v>8539</v>
      </c>
      <c r="J8548">
        <f t="shared" si="138"/>
        <v>105000</v>
      </c>
      <c r="K8548" t="e">
        <f>VLOOKUP(B8548,'REGISTRO ABONOS'!$B$8:$BC$10041,54,0)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hidden="1" x14ac:dyDescent="0.2">
      <c r="B8549" s="31">
        <v>8540</v>
      </c>
      <c r="J8549">
        <f t="shared" si="138"/>
        <v>105000</v>
      </c>
      <c r="K8549" t="e">
        <f>VLOOKUP(B8549,'REGISTRO ABONOS'!$B$8:$BC$10041,54,0)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hidden="1" x14ac:dyDescent="0.2">
      <c r="B8550" s="31">
        <v>8541</v>
      </c>
      <c r="J8550">
        <f t="shared" si="138"/>
        <v>105000</v>
      </c>
      <c r="K8550" t="e">
        <f>VLOOKUP(B8550,'REGISTRO ABONOS'!$B$8:$BC$10041,54,0)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hidden="1" x14ac:dyDescent="0.2">
      <c r="B8551" s="31">
        <v>8542</v>
      </c>
      <c r="J8551">
        <f t="shared" si="138"/>
        <v>105000</v>
      </c>
      <c r="K8551" t="e">
        <f>VLOOKUP(B8551,'REGISTRO ABONOS'!$B$8:$BC$10041,54,0)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hidden="1" x14ac:dyDescent="0.2">
      <c r="B8552" s="31">
        <v>8543</v>
      </c>
      <c r="J8552">
        <f t="shared" si="138"/>
        <v>105000</v>
      </c>
      <c r="K8552" t="e">
        <f>VLOOKUP(B8552,'REGISTRO ABONOS'!$B$8:$BC$10041,54,0)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hidden="1" x14ac:dyDescent="0.2">
      <c r="B8553" s="31">
        <v>8544</v>
      </c>
      <c r="J8553">
        <f t="shared" si="138"/>
        <v>105000</v>
      </c>
      <c r="K8553" t="e">
        <f>VLOOKUP(B8553,'REGISTRO ABONOS'!$B$8:$BC$10041,54,0)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hidden="1" x14ac:dyDescent="0.2">
      <c r="B8554" s="31"/>
      <c r="J8554">
        <f t="shared" ref="J8554:J8617" si="139">IF(C8554&gt;43607,130000,105000)</f>
        <v>105000</v>
      </c>
      <c r="K8554" t="e">
        <f>VLOOKUP(B8554,'REGISTRO ABONOS'!$B$8:$BC$10041,54,0)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hidden="1" x14ac:dyDescent="0.2">
      <c r="B8555" s="31">
        <v>8546</v>
      </c>
      <c r="J8555">
        <f t="shared" si="139"/>
        <v>105000</v>
      </c>
      <c r="K8555" t="e">
        <f>VLOOKUP(B8555,'REGISTRO ABONOS'!$B$8:$BC$10041,54,0)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hidden="1" x14ac:dyDescent="0.2">
      <c r="B8556" s="31">
        <v>8547</v>
      </c>
      <c r="J8556">
        <f t="shared" si="139"/>
        <v>105000</v>
      </c>
      <c r="K8556" t="e">
        <f>VLOOKUP(B8556,'REGISTRO ABONOS'!$B$8:$BC$10041,54,0)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hidden="1" x14ac:dyDescent="0.2">
      <c r="B8557" s="31">
        <v>8548</v>
      </c>
      <c r="J8557">
        <f t="shared" si="139"/>
        <v>105000</v>
      </c>
      <c r="K8557" t="e">
        <f>VLOOKUP(B8557,'REGISTRO ABONOS'!$B$8:$BC$10041,54,0)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hidden="1" x14ac:dyDescent="0.2">
      <c r="B8558" s="31">
        <v>8549</v>
      </c>
      <c r="J8558">
        <f t="shared" si="139"/>
        <v>105000</v>
      </c>
      <c r="K8558" t="e">
        <f>VLOOKUP(B8558,'REGISTRO ABONOS'!$B$8:$BC$10041,54,0)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hidden="1" x14ac:dyDescent="0.2">
      <c r="B8559" s="31">
        <v>8550</v>
      </c>
      <c r="J8559">
        <f t="shared" si="139"/>
        <v>105000</v>
      </c>
      <c r="K8559" t="e">
        <f>VLOOKUP(B8559,'REGISTRO ABONOS'!$B$8:$BC$10041,54,0)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hidden="1" x14ac:dyDescent="0.2">
      <c r="B8560" s="31">
        <v>8551</v>
      </c>
      <c r="J8560">
        <f t="shared" si="139"/>
        <v>105000</v>
      </c>
      <c r="K8560" t="e">
        <f>VLOOKUP(B8560,'REGISTRO ABONOS'!$B$8:$BC$10041,54,0)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hidden="1" x14ac:dyDescent="0.2">
      <c r="B8561" s="31">
        <v>8552</v>
      </c>
      <c r="J8561">
        <f t="shared" si="139"/>
        <v>105000</v>
      </c>
      <c r="K8561" t="e">
        <f>VLOOKUP(B8561,'REGISTRO ABONOS'!$B$8:$BC$10041,54,0)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hidden="1" x14ac:dyDescent="0.2">
      <c r="B8562" s="31">
        <v>8553</v>
      </c>
      <c r="J8562">
        <f t="shared" si="139"/>
        <v>105000</v>
      </c>
      <c r="K8562" t="e">
        <f>VLOOKUP(B8562,'REGISTRO ABONOS'!$B$8:$BC$10041,54,0)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hidden="1" x14ac:dyDescent="0.2">
      <c r="B8563" s="31">
        <v>8554</v>
      </c>
      <c r="J8563">
        <f t="shared" si="139"/>
        <v>105000</v>
      </c>
      <c r="K8563" t="e">
        <f>VLOOKUP(B8563,'REGISTRO ABONOS'!$B$8:$BC$10041,54,0)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hidden="1" x14ac:dyDescent="0.2">
      <c r="B8564" s="31">
        <v>8555</v>
      </c>
      <c r="J8564">
        <f t="shared" si="139"/>
        <v>105000</v>
      </c>
      <c r="K8564" t="e">
        <f>VLOOKUP(B8564,'REGISTRO ABONOS'!$B$8:$BC$10041,54,0)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hidden="1" x14ac:dyDescent="0.2">
      <c r="B8565" s="31">
        <v>8556</v>
      </c>
      <c r="J8565">
        <f t="shared" si="139"/>
        <v>105000</v>
      </c>
      <c r="K8565" t="e">
        <f>VLOOKUP(B8565,'REGISTRO ABONOS'!$B$8:$BC$10041,54,0)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hidden="1" x14ac:dyDescent="0.2">
      <c r="B8566" s="31">
        <v>8557</v>
      </c>
      <c r="J8566">
        <f t="shared" si="139"/>
        <v>105000</v>
      </c>
      <c r="K8566" t="e">
        <f>VLOOKUP(B8566,'REGISTRO ABONOS'!$B$8:$BC$10041,54,0)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hidden="1" x14ac:dyDescent="0.2">
      <c r="B8567" s="31">
        <v>8558</v>
      </c>
      <c r="J8567">
        <f t="shared" si="139"/>
        <v>105000</v>
      </c>
      <c r="K8567" t="e">
        <f>VLOOKUP(B8567,'REGISTRO ABONOS'!$B$8:$BC$10041,54,0)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hidden="1" x14ac:dyDescent="0.2">
      <c r="B8568" s="31">
        <v>8559</v>
      </c>
      <c r="J8568">
        <f t="shared" si="139"/>
        <v>105000</v>
      </c>
      <c r="K8568" t="e">
        <f>VLOOKUP(B8568,'REGISTRO ABONOS'!$B$8:$BC$10041,54,0)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hidden="1" x14ac:dyDescent="0.2">
      <c r="B8569" s="31">
        <v>8560</v>
      </c>
      <c r="J8569">
        <f t="shared" si="139"/>
        <v>105000</v>
      </c>
      <c r="K8569" t="e">
        <f>VLOOKUP(B8569,'REGISTRO ABONOS'!$B$8:$BC$10041,54,0)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hidden="1" x14ac:dyDescent="0.2">
      <c r="B8570" s="31">
        <v>8561</v>
      </c>
      <c r="J8570">
        <f t="shared" si="139"/>
        <v>105000</v>
      </c>
      <c r="K8570" t="e">
        <f>VLOOKUP(B8570,'REGISTRO ABONOS'!$B$8:$BC$10041,54,0)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hidden="1" x14ac:dyDescent="0.2">
      <c r="B8571" s="31">
        <v>8562</v>
      </c>
      <c r="J8571">
        <f t="shared" si="139"/>
        <v>105000</v>
      </c>
      <c r="K8571" t="e">
        <f>VLOOKUP(B8571,'REGISTRO ABONOS'!$B$8:$BC$10041,54,0)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hidden="1" x14ac:dyDescent="0.2">
      <c r="B8572" s="31">
        <v>8563</v>
      </c>
      <c r="J8572">
        <f t="shared" si="139"/>
        <v>105000</v>
      </c>
      <c r="K8572" t="e">
        <f>VLOOKUP(B8572,'REGISTRO ABONOS'!$B$8:$BC$10041,54,0)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hidden="1" x14ac:dyDescent="0.2">
      <c r="B8573" s="31">
        <v>8564</v>
      </c>
      <c r="J8573">
        <f t="shared" si="139"/>
        <v>105000</v>
      </c>
      <c r="K8573" t="e">
        <f>VLOOKUP(B8573,'REGISTRO ABONOS'!$B$8:$BC$10041,54,0)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hidden="1" x14ac:dyDescent="0.2">
      <c r="B8574" s="31">
        <v>8565</v>
      </c>
      <c r="J8574">
        <f t="shared" si="139"/>
        <v>105000</v>
      </c>
      <c r="K8574" t="e">
        <f>VLOOKUP(B8574,'REGISTRO ABONOS'!$B$8:$BC$10041,54,0)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hidden="1" x14ac:dyDescent="0.2">
      <c r="B8575" s="31">
        <v>8566</v>
      </c>
      <c r="J8575">
        <f t="shared" si="139"/>
        <v>105000</v>
      </c>
      <c r="K8575" t="e">
        <f>VLOOKUP(B8575,'REGISTRO ABONOS'!$B$8:$BC$10041,54,0)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hidden="1" x14ac:dyDescent="0.2">
      <c r="B8576" s="31">
        <v>8567</v>
      </c>
      <c r="J8576">
        <f t="shared" si="139"/>
        <v>105000</v>
      </c>
      <c r="K8576" t="e">
        <f>VLOOKUP(B8576,'REGISTRO ABONOS'!$B$8:$BC$10041,54,0)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hidden="1" x14ac:dyDescent="0.2">
      <c r="B8577" s="31">
        <v>8568</v>
      </c>
      <c r="J8577">
        <f t="shared" si="139"/>
        <v>105000</v>
      </c>
      <c r="K8577" t="e">
        <f>VLOOKUP(B8577,'REGISTRO ABONOS'!$B$8:$BC$10041,54,0)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hidden="1" x14ac:dyDescent="0.2">
      <c r="B8578" s="31">
        <v>8569</v>
      </c>
      <c r="J8578">
        <f t="shared" si="139"/>
        <v>105000</v>
      </c>
      <c r="K8578" t="e">
        <f>VLOOKUP(B8578,'REGISTRO ABONOS'!$B$8:$BC$10041,54,0)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hidden="1" x14ac:dyDescent="0.2">
      <c r="B8579" s="31">
        <v>8570</v>
      </c>
      <c r="J8579">
        <f t="shared" si="139"/>
        <v>105000</v>
      </c>
      <c r="K8579" t="e">
        <f>VLOOKUP(B8579,'REGISTRO ABONOS'!$B$8:$BC$10041,54,0)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hidden="1" x14ac:dyDescent="0.2">
      <c r="B8580" s="31">
        <v>8571</v>
      </c>
      <c r="J8580">
        <f t="shared" si="139"/>
        <v>105000</v>
      </c>
      <c r="K8580" t="e">
        <f>VLOOKUP(B8580,'REGISTRO ABONOS'!$B$8:$BC$10041,54,0)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hidden="1" x14ac:dyDescent="0.2">
      <c r="B8581" s="31">
        <v>8572</v>
      </c>
      <c r="J8581">
        <f t="shared" si="139"/>
        <v>105000</v>
      </c>
      <c r="K8581" t="e">
        <f>VLOOKUP(B8581,'REGISTRO ABONOS'!$B$8:$BC$10041,54,0)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hidden="1" x14ac:dyDescent="0.2">
      <c r="B8582" s="31">
        <v>8573</v>
      </c>
      <c r="J8582">
        <f t="shared" si="139"/>
        <v>105000</v>
      </c>
      <c r="K8582" t="e">
        <f>VLOOKUP(B8582,'REGISTRO ABONOS'!$B$8:$BC$10041,54,0)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hidden="1" x14ac:dyDescent="0.2">
      <c r="B8583" s="31">
        <v>8574</v>
      </c>
      <c r="J8583">
        <f t="shared" si="139"/>
        <v>105000</v>
      </c>
      <c r="K8583" t="e">
        <f>VLOOKUP(B8583,'REGISTRO ABONOS'!$B$8:$BC$10041,54,0)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hidden="1" x14ac:dyDescent="0.2">
      <c r="B8584" s="31">
        <v>8575</v>
      </c>
      <c r="J8584">
        <f t="shared" si="139"/>
        <v>105000</v>
      </c>
      <c r="K8584" t="e">
        <f>VLOOKUP(B8584,'REGISTRO ABONOS'!$B$8:$BC$10041,54,0)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hidden="1" x14ac:dyDescent="0.2">
      <c r="B8585" s="31">
        <v>8576</v>
      </c>
      <c r="J8585">
        <f t="shared" si="139"/>
        <v>105000</v>
      </c>
      <c r="K8585" t="e">
        <f>VLOOKUP(B8585,'REGISTRO ABONOS'!$B$8:$BC$10041,54,0)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hidden="1" x14ac:dyDescent="0.2">
      <c r="B8586" s="31">
        <v>8577</v>
      </c>
      <c r="J8586">
        <f t="shared" si="139"/>
        <v>105000</v>
      </c>
      <c r="K8586" t="e">
        <f>VLOOKUP(B8586,'REGISTRO ABONOS'!$B$8:$BC$10041,54,0)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hidden="1" x14ac:dyDescent="0.2">
      <c r="B8587" s="31">
        <v>8578</v>
      </c>
      <c r="J8587">
        <f t="shared" si="139"/>
        <v>105000</v>
      </c>
      <c r="K8587" t="e">
        <f>VLOOKUP(B8587,'REGISTRO ABONOS'!$B$8:$BC$10041,54,0)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hidden="1" x14ac:dyDescent="0.2">
      <c r="B8588" s="31">
        <v>8579</v>
      </c>
      <c r="J8588">
        <f t="shared" si="139"/>
        <v>105000</v>
      </c>
      <c r="K8588" t="e">
        <f>VLOOKUP(B8588,'REGISTRO ABONOS'!$B$8:$BC$10041,54,0)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hidden="1" x14ac:dyDescent="0.2">
      <c r="B8589" s="31">
        <v>8580</v>
      </c>
      <c r="J8589">
        <f t="shared" si="139"/>
        <v>105000</v>
      </c>
      <c r="K8589" t="e">
        <f>VLOOKUP(B8589,'REGISTRO ABONOS'!$B$8:$BC$10041,54,0)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hidden="1" x14ac:dyDescent="0.2">
      <c r="B8590" s="31">
        <v>8581</v>
      </c>
      <c r="J8590">
        <f t="shared" si="139"/>
        <v>105000</v>
      </c>
      <c r="K8590" t="e">
        <f>VLOOKUP(B8590,'REGISTRO ABONOS'!$B$8:$BC$10041,54,0)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hidden="1" x14ac:dyDescent="0.2">
      <c r="B8591" s="31">
        <v>8582</v>
      </c>
      <c r="J8591">
        <f t="shared" si="139"/>
        <v>105000</v>
      </c>
      <c r="K8591" t="e">
        <f>VLOOKUP(B8591,'REGISTRO ABONOS'!$B$8:$BC$10041,54,0)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hidden="1" x14ac:dyDescent="0.2">
      <c r="B8592" s="31">
        <v>8583</v>
      </c>
      <c r="J8592">
        <f t="shared" si="139"/>
        <v>105000</v>
      </c>
      <c r="K8592" t="e">
        <f>VLOOKUP(B8592,'REGISTRO ABONOS'!$B$8:$BC$10041,54,0)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hidden="1" x14ac:dyDescent="0.2">
      <c r="B8593" s="31">
        <v>8584</v>
      </c>
      <c r="J8593">
        <f t="shared" si="139"/>
        <v>105000</v>
      </c>
      <c r="K8593" t="e">
        <f>VLOOKUP(B8593,'REGISTRO ABONOS'!$B$8:$BC$10041,54,0)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hidden="1" x14ac:dyDescent="0.2">
      <c r="B8594" s="31">
        <v>8585</v>
      </c>
      <c r="J8594">
        <f t="shared" si="139"/>
        <v>105000</v>
      </c>
      <c r="K8594" t="e">
        <f>VLOOKUP(B8594,'REGISTRO ABONOS'!$B$8:$BC$10041,54,0)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hidden="1" x14ac:dyDescent="0.2">
      <c r="B8595" s="31">
        <v>8586</v>
      </c>
      <c r="J8595">
        <f t="shared" si="139"/>
        <v>105000</v>
      </c>
      <c r="K8595" t="e">
        <f>VLOOKUP(B8595,'REGISTRO ABONOS'!$B$8:$BC$10041,54,0)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hidden="1" x14ac:dyDescent="0.2">
      <c r="B8596" s="31">
        <v>8587</v>
      </c>
      <c r="J8596">
        <f t="shared" si="139"/>
        <v>105000</v>
      </c>
      <c r="K8596" t="e">
        <f>VLOOKUP(B8596,'REGISTRO ABONOS'!$B$8:$BC$10041,54,0)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9"/>
        <v>105000</v>
      </c>
      <c r="K8597" t="e">
        <f>VLOOKUP(B8597,'REGISTRO ABONOS'!$B$8:$BC$10041,54,0)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hidden="1" x14ac:dyDescent="0.2">
      <c r="B8598" s="31">
        <v>8589</v>
      </c>
      <c r="J8598">
        <f t="shared" si="139"/>
        <v>105000</v>
      </c>
      <c r="K8598" t="e">
        <f>VLOOKUP(B8598,'REGISTRO ABONOS'!$B$8:$BC$10041,54,0)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hidden="1" x14ac:dyDescent="0.2">
      <c r="B8599" s="31">
        <v>8590</v>
      </c>
      <c r="J8599">
        <f t="shared" si="139"/>
        <v>105000</v>
      </c>
      <c r="K8599" t="e">
        <f>VLOOKUP(B8599,'REGISTRO ABONOS'!$B$8:$BC$10041,54,0)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hidden="1" x14ac:dyDescent="0.2">
      <c r="B8600" s="31">
        <v>8591</v>
      </c>
      <c r="J8600">
        <f t="shared" si="139"/>
        <v>105000</v>
      </c>
      <c r="K8600" t="e">
        <f>VLOOKUP(B8600,'REGISTRO ABONOS'!$B$8:$BC$10041,54,0)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hidden="1" x14ac:dyDescent="0.2">
      <c r="B8601" s="31">
        <v>8592</v>
      </c>
      <c r="J8601">
        <f t="shared" si="139"/>
        <v>105000</v>
      </c>
      <c r="K8601" t="e">
        <f>VLOOKUP(B8601,'REGISTRO ABONOS'!$B$8:$BC$10041,54,0)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hidden="1" x14ac:dyDescent="0.2">
      <c r="B8602" s="31">
        <v>8593</v>
      </c>
      <c r="J8602">
        <f t="shared" si="139"/>
        <v>105000</v>
      </c>
      <c r="K8602" t="e">
        <f>VLOOKUP(B8602,'REGISTRO ABONOS'!$B$8:$BC$10041,54,0)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hidden="1" x14ac:dyDescent="0.2">
      <c r="B8603" s="31">
        <v>8594</v>
      </c>
      <c r="J8603">
        <f t="shared" si="139"/>
        <v>105000</v>
      </c>
      <c r="K8603" t="e">
        <f>VLOOKUP(B8603,'REGISTRO ABONOS'!$B$8:$BC$10041,54,0)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hidden="1" x14ac:dyDescent="0.2">
      <c r="B8604" s="31">
        <v>8595</v>
      </c>
      <c r="J8604">
        <f t="shared" si="139"/>
        <v>105000</v>
      </c>
      <c r="K8604" t="e">
        <f>VLOOKUP(B8604,'REGISTRO ABONOS'!$B$8:$BC$10041,54,0)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hidden="1" x14ac:dyDescent="0.2">
      <c r="B8605" s="31">
        <v>8596</v>
      </c>
      <c r="J8605">
        <f t="shared" si="139"/>
        <v>105000</v>
      </c>
      <c r="K8605" t="e">
        <f>VLOOKUP(B8605,'REGISTRO ABONOS'!$B$8:$BC$10041,54,0)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hidden="1" x14ac:dyDescent="0.2">
      <c r="B8606" s="31">
        <v>8597</v>
      </c>
      <c r="J8606">
        <f t="shared" si="139"/>
        <v>105000</v>
      </c>
      <c r="K8606" t="e">
        <f>VLOOKUP(B8606,'REGISTRO ABONOS'!$B$8:$BC$10041,54,0)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hidden="1" x14ac:dyDescent="0.2">
      <c r="B8607" s="31">
        <v>8598</v>
      </c>
      <c r="J8607">
        <f t="shared" si="139"/>
        <v>105000</v>
      </c>
      <c r="K8607" t="e">
        <f>VLOOKUP(B8607,'REGISTRO ABONOS'!$B$8:$BC$10041,54,0)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hidden="1" x14ac:dyDescent="0.2">
      <c r="B8608" s="31">
        <v>8599</v>
      </c>
      <c r="J8608">
        <f t="shared" si="139"/>
        <v>105000</v>
      </c>
      <c r="K8608" t="e">
        <f>VLOOKUP(B8608,'REGISTRO ABONOS'!$B$8:$BC$10041,54,0)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hidden="1" x14ac:dyDescent="0.2">
      <c r="B8609" s="31">
        <v>8600</v>
      </c>
      <c r="J8609">
        <f t="shared" si="139"/>
        <v>105000</v>
      </c>
      <c r="K8609" t="e">
        <f>VLOOKUP(B8609,'REGISTRO ABONOS'!$B$8:$BC$10041,54,0)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hidden="1" x14ac:dyDescent="0.2">
      <c r="B8610" s="31">
        <v>8601</v>
      </c>
      <c r="J8610">
        <f t="shared" si="139"/>
        <v>105000</v>
      </c>
      <c r="K8610" t="e">
        <f>VLOOKUP(B8610,'REGISTRO ABONOS'!$B$8:$BC$10041,54,0)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hidden="1" x14ac:dyDescent="0.2">
      <c r="B8611" s="31">
        <v>8602</v>
      </c>
      <c r="J8611">
        <f t="shared" si="139"/>
        <v>105000</v>
      </c>
      <c r="K8611" t="e">
        <f>VLOOKUP(B8611,'REGISTRO ABONOS'!$B$8:$BC$10041,54,0)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hidden="1" x14ac:dyDescent="0.2">
      <c r="B8612" s="31">
        <v>8603</v>
      </c>
      <c r="J8612">
        <f t="shared" si="139"/>
        <v>105000</v>
      </c>
      <c r="K8612" t="e">
        <f>VLOOKUP(B8612,'REGISTRO ABONOS'!$B$8:$BC$10041,54,0)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hidden="1" x14ac:dyDescent="0.2">
      <c r="B8613" s="31">
        <v>8604</v>
      </c>
      <c r="J8613">
        <f t="shared" si="139"/>
        <v>105000</v>
      </c>
      <c r="K8613" t="e">
        <f>VLOOKUP(B8613,'REGISTRO ABONOS'!$B$8:$BC$10041,54,0)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hidden="1" x14ac:dyDescent="0.2">
      <c r="B8614" s="31">
        <v>8605</v>
      </c>
      <c r="J8614">
        <f t="shared" si="139"/>
        <v>105000</v>
      </c>
      <c r="K8614" t="e">
        <f>VLOOKUP(B8614,'REGISTRO ABONOS'!$B$8:$BC$10041,54,0)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hidden="1" x14ac:dyDescent="0.2">
      <c r="B8615" s="31">
        <v>8606</v>
      </c>
      <c r="J8615">
        <f t="shared" si="139"/>
        <v>105000</v>
      </c>
      <c r="K8615" t="e">
        <f>VLOOKUP(B8615,'REGISTRO ABONOS'!$B$8:$BC$10041,54,0)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hidden="1" x14ac:dyDescent="0.2">
      <c r="B8616" s="31">
        <v>8607</v>
      </c>
      <c r="J8616">
        <f t="shared" si="139"/>
        <v>105000</v>
      </c>
      <c r="K8616" t="e">
        <f>VLOOKUP(B8616,'REGISTRO ABONOS'!$B$8:$BC$10041,54,0)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hidden="1" x14ac:dyDescent="0.2">
      <c r="B8617" s="31">
        <v>8608</v>
      </c>
      <c r="J8617">
        <f t="shared" si="139"/>
        <v>105000</v>
      </c>
      <c r="K8617" t="e">
        <f>VLOOKUP(B8617,'REGISTRO ABONOS'!$B$8:$BC$10041,54,0)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hidden="1" x14ac:dyDescent="0.2">
      <c r="B8618" s="31">
        <v>8609</v>
      </c>
      <c r="J8618">
        <f t="shared" ref="J8618:J8681" si="140">IF(C8618&gt;43607,130000,105000)</f>
        <v>105000</v>
      </c>
      <c r="K8618" t="e">
        <f>VLOOKUP(B8618,'REGISTRO ABONOS'!$B$8:$BC$10041,54,0)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hidden="1" x14ac:dyDescent="0.2">
      <c r="B8619" s="31">
        <v>8610</v>
      </c>
      <c r="J8619">
        <f t="shared" si="140"/>
        <v>105000</v>
      </c>
      <c r="K8619" t="e">
        <f>VLOOKUP(B8619,'REGISTRO ABONOS'!$B$8:$BC$10041,54,0)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hidden="1" x14ac:dyDescent="0.2">
      <c r="B8620" s="31">
        <v>8611</v>
      </c>
      <c r="J8620">
        <f t="shared" si="140"/>
        <v>105000</v>
      </c>
      <c r="K8620" t="e">
        <f>VLOOKUP(B8620,'REGISTRO ABONOS'!$B$8:$BC$10041,54,0)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hidden="1" x14ac:dyDescent="0.2">
      <c r="B8621" s="31">
        <v>8612</v>
      </c>
      <c r="J8621">
        <f t="shared" si="140"/>
        <v>105000</v>
      </c>
      <c r="K8621" t="e">
        <f>VLOOKUP(B8621,'REGISTRO ABONOS'!$B$8:$BC$10041,54,0)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hidden="1" x14ac:dyDescent="0.2">
      <c r="B8622" s="31">
        <v>8613</v>
      </c>
      <c r="J8622">
        <f t="shared" si="140"/>
        <v>105000</v>
      </c>
      <c r="K8622" t="e">
        <f>VLOOKUP(B8622,'REGISTRO ABONOS'!$B$8:$BC$10041,54,0)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hidden="1" x14ac:dyDescent="0.2">
      <c r="B8623" s="31">
        <v>8614</v>
      </c>
      <c r="J8623">
        <f t="shared" si="140"/>
        <v>105000</v>
      </c>
      <c r="K8623" t="e">
        <f>VLOOKUP(B8623,'REGISTRO ABONOS'!$B$8:$BC$10041,54,0)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40"/>
        <v>105000</v>
      </c>
      <c r="K8624" t="e">
        <f>VLOOKUP(B8624,'REGISTRO ABONOS'!$B$8:$BC$10041,54,0)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hidden="1" x14ac:dyDescent="0.2">
      <c r="B8625" s="31">
        <v>8616</v>
      </c>
      <c r="J8625">
        <f t="shared" si="140"/>
        <v>105000</v>
      </c>
      <c r="K8625" t="e">
        <f>VLOOKUP(B8625,'REGISTRO ABONOS'!$B$8:$BC$10041,54,0)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hidden="1" x14ac:dyDescent="0.2">
      <c r="B8626" s="31">
        <v>8617</v>
      </c>
      <c r="J8626">
        <f t="shared" si="140"/>
        <v>105000</v>
      </c>
      <c r="K8626" t="e">
        <f>VLOOKUP(B8626,'REGISTRO ABONOS'!$B$8:$BC$10041,54,0)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hidden="1" x14ac:dyDescent="0.2">
      <c r="B8627" s="31">
        <v>8618</v>
      </c>
      <c r="J8627">
        <f t="shared" si="140"/>
        <v>105000</v>
      </c>
      <c r="K8627" t="e">
        <f>VLOOKUP(B8627,'REGISTRO ABONOS'!$B$8:$BC$10041,54,0)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hidden="1" x14ac:dyDescent="0.2">
      <c r="B8628" s="31">
        <v>8619</v>
      </c>
      <c r="J8628">
        <f t="shared" si="140"/>
        <v>105000</v>
      </c>
      <c r="K8628" t="e">
        <f>VLOOKUP(B8628,'REGISTRO ABONOS'!$B$8:$BC$10041,54,0)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hidden="1" x14ac:dyDescent="0.2">
      <c r="B8629" s="31">
        <v>8620</v>
      </c>
      <c r="J8629">
        <f t="shared" si="140"/>
        <v>105000</v>
      </c>
      <c r="K8629" t="e">
        <f>VLOOKUP(B8629,'REGISTRO ABONOS'!$B$8:$BC$10041,54,0)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hidden="1" x14ac:dyDescent="0.2">
      <c r="B8630" s="31">
        <v>8621</v>
      </c>
      <c r="J8630">
        <f t="shared" si="140"/>
        <v>105000</v>
      </c>
      <c r="K8630" t="e">
        <f>VLOOKUP(B8630,'REGISTRO ABONOS'!$B$8:$BC$10041,54,0)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hidden="1" x14ac:dyDescent="0.2">
      <c r="B8631" s="31">
        <v>8622</v>
      </c>
      <c r="J8631">
        <f t="shared" si="140"/>
        <v>105000</v>
      </c>
      <c r="K8631" t="e">
        <f>VLOOKUP(B8631,'REGISTRO ABONOS'!$B$8:$BC$10041,54,0)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hidden="1" x14ac:dyDescent="0.2">
      <c r="B8632" s="31">
        <v>8623</v>
      </c>
      <c r="J8632">
        <f t="shared" si="140"/>
        <v>105000</v>
      </c>
      <c r="K8632" t="e">
        <f>VLOOKUP(B8632,'REGISTRO ABONOS'!$B$8:$BC$10041,54,0)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hidden="1" x14ac:dyDescent="0.2">
      <c r="B8633" s="31">
        <v>8624</v>
      </c>
      <c r="J8633">
        <f t="shared" si="140"/>
        <v>105000</v>
      </c>
      <c r="K8633" t="e">
        <f>VLOOKUP(B8633,'REGISTRO ABONOS'!$B$8:$BC$10041,54,0)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hidden="1" x14ac:dyDescent="0.2">
      <c r="B8634" s="31">
        <v>8625</v>
      </c>
      <c r="J8634">
        <f t="shared" si="140"/>
        <v>105000</v>
      </c>
      <c r="K8634" t="e">
        <f>VLOOKUP(B8634,'REGISTRO ABONOS'!$B$8:$BC$10041,54,0)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hidden="1" x14ac:dyDescent="0.2">
      <c r="B8635" s="31">
        <v>8626</v>
      </c>
      <c r="J8635">
        <f t="shared" si="140"/>
        <v>105000</v>
      </c>
      <c r="K8635" t="e">
        <f>VLOOKUP(B8635,'REGISTRO ABONOS'!$B$8:$BC$10041,54,0)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hidden="1" x14ac:dyDescent="0.2">
      <c r="B8636" s="31">
        <v>8627</v>
      </c>
      <c r="J8636">
        <f t="shared" si="140"/>
        <v>105000</v>
      </c>
      <c r="K8636" t="e">
        <f>VLOOKUP(B8636,'REGISTRO ABONOS'!$B$8:$BC$10041,54,0)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hidden="1" x14ac:dyDescent="0.2">
      <c r="B8637" s="31">
        <v>8628</v>
      </c>
      <c r="J8637">
        <f t="shared" si="140"/>
        <v>105000</v>
      </c>
      <c r="K8637" t="e">
        <f>VLOOKUP(B8637,'REGISTRO ABONOS'!$B$8:$BC$10041,54,0)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hidden="1" x14ac:dyDescent="0.2">
      <c r="B8638" s="31">
        <v>8629</v>
      </c>
      <c r="J8638">
        <f t="shared" si="140"/>
        <v>105000</v>
      </c>
      <c r="K8638" t="e">
        <f>VLOOKUP(B8638,'REGISTRO ABONOS'!$B$8:$BC$10041,54,0)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hidden="1" x14ac:dyDescent="0.2">
      <c r="B8639" s="31">
        <v>8630</v>
      </c>
      <c r="J8639">
        <f t="shared" si="140"/>
        <v>105000</v>
      </c>
      <c r="K8639" t="e">
        <f>VLOOKUP(B8639,'REGISTRO ABONOS'!$B$8:$BC$10041,54,0)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hidden="1" x14ac:dyDescent="0.2">
      <c r="B8640" s="31">
        <v>8631</v>
      </c>
      <c r="J8640">
        <f t="shared" si="140"/>
        <v>105000</v>
      </c>
      <c r="K8640" t="e">
        <f>VLOOKUP(B8640,'REGISTRO ABONOS'!$B$8:$BC$10041,54,0)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hidden="1" x14ac:dyDescent="0.2">
      <c r="B8641" s="31">
        <v>8632</v>
      </c>
      <c r="J8641">
        <f t="shared" si="140"/>
        <v>105000</v>
      </c>
      <c r="K8641" t="e">
        <f>VLOOKUP(B8641,'REGISTRO ABONOS'!$B$8:$BC$10041,54,0)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hidden="1" x14ac:dyDescent="0.2">
      <c r="B8642" s="31">
        <v>8633</v>
      </c>
      <c r="J8642">
        <f t="shared" si="140"/>
        <v>105000</v>
      </c>
      <c r="K8642" t="e">
        <f>VLOOKUP(B8642,'REGISTRO ABONOS'!$B$8:$BC$10041,54,0)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hidden="1" x14ac:dyDescent="0.2">
      <c r="B8643" s="31">
        <v>8634</v>
      </c>
      <c r="J8643">
        <f t="shared" si="140"/>
        <v>105000</v>
      </c>
      <c r="K8643" t="e">
        <f>VLOOKUP(B8643,'REGISTRO ABONOS'!$B$8:$BC$10041,54,0)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hidden="1" x14ac:dyDescent="0.2">
      <c r="B8644" s="31">
        <v>8635</v>
      </c>
      <c r="J8644">
        <f t="shared" si="140"/>
        <v>105000</v>
      </c>
      <c r="K8644" t="e">
        <f>VLOOKUP(B8644,'REGISTRO ABONOS'!$B$8:$BC$10041,54,0)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hidden="1" x14ac:dyDescent="0.2">
      <c r="B8645" s="31">
        <v>8636</v>
      </c>
      <c r="J8645">
        <f t="shared" si="140"/>
        <v>105000</v>
      </c>
      <c r="K8645" t="e">
        <f>VLOOKUP(B8645,'REGISTRO ABONOS'!$B$8:$BC$10041,54,0)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hidden="1" x14ac:dyDescent="0.2">
      <c r="B8646" s="31">
        <v>8637</v>
      </c>
      <c r="J8646">
        <f t="shared" si="140"/>
        <v>105000</v>
      </c>
      <c r="K8646" t="e">
        <f>VLOOKUP(B8646,'REGISTRO ABONOS'!$B$8:$BC$10041,54,0)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hidden="1" x14ac:dyDescent="0.2">
      <c r="B8647" s="31">
        <v>8638</v>
      </c>
      <c r="J8647">
        <f t="shared" si="140"/>
        <v>105000</v>
      </c>
      <c r="K8647" t="e">
        <f>VLOOKUP(B8647,'REGISTRO ABONOS'!$B$8:$BC$10041,54,0)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hidden="1" x14ac:dyDescent="0.2">
      <c r="B8648" s="31">
        <v>8639</v>
      </c>
      <c r="J8648">
        <f t="shared" si="140"/>
        <v>105000</v>
      </c>
      <c r="K8648" t="e">
        <f>VLOOKUP(B8648,'REGISTRO ABONOS'!$B$8:$BC$10041,54,0)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hidden="1" x14ac:dyDescent="0.2">
      <c r="B8649" s="31">
        <v>8640</v>
      </c>
      <c r="J8649">
        <f t="shared" si="140"/>
        <v>105000</v>
      </c>
      <c r="K8649" t="e">
        <f>VLOOKUP(B8649,'REGISTRO ABONOS'!$B$8:$BC$10041,54,0)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hidden="1" x14ac:dyDescent="0.2">
      <c r="B8650" s="31">
        <v>8641</v>
      </c>
      <c r="J8650">
        <f t="shared" si="140"/>
        <v>105000</v>
      </c>
      <c r="K8650" t="e">
        <f>VLOOKUP(B8650,'REGISTRO ABONOS'!$B$8:$BC$10041,54,0)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hidden="1" x14ac:dyDescent="0.2">
      <c r="B8651" s="31">
        <v>8642</v>
      </c>
      <c r="J8651">
        <f t="shared" si="140"/>
        <v>105000</v>
      </c>
      <c r="K8651" t="e">
        <f>VLOOKUP(B8651,'REGISTRO ABONOS'!$B$8:$BC$10041,54,0)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hidden="1" x14ac:dyDescent="0.2">
      <c r="B8652" s="31">
        <v>8643</v>
      </c>
      <c r="J8652">
        <f t="shared" si="140"/>
        <v>105000</v>
      </c>
      <c r="K8652" t="e">
        <f>VLOOKUP(B8652,'REGISTRO ABONOS'!$B$8:$BC$10041,54,0)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hidden="1" x14ac:dyDescent="0.2">
      <c r="B8653" s="31">
        <v>8644</v>
      </c>
      <c r="J8653">
        <f t="shared" si="140"/>
        <v>105000</v>
      </c>
      <c r="K8653" t="e">
        <f>VLOOKUP(B8653,'REGISTRO ABONOS'!$B$8:$BC$10041,54,0)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hidden="1" x14ac:dyDescent="0.2">
      <c r="B8654" s="31">
        <v>8645</v>
      </c>
      <c r="J8654">
        <f t="shared" si="140"/>
        <v>105000</v>
      </c>
      <c r="K8654" t="e">
        <f>VLOOKUP(B8654,'REGISTRO ABONOS'!$B$8:$BC$10041,54,0)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hidden="1" x14ac:dyDescent="0.2">
      <c r="B8655" s="31">
        <v>8646</v>
      </c>
      <c r="J8655">
        <f t="shared" si="140"/>
        <v>105000</v>
      </c>
      <c r="K8655" t="e">
        <f>VLOOKUP(B8655,'REGISTRO ABONOS'!$B$8:$BC$10041,54,0)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hidden="1" x14ac:dyDescent="0.2">
      <c r="B8656" s="31">
        <v>8647</v>
      </c>
      <c r="J8656">
        <f t="shared" si="140"/>
        <v>105000</v>
      </c>
      <c r="K8656" t="e">
        <f>VLOOKUP(B8656,'REGISTRO ABONOS'!$B$8:$BC$10041,54,0)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hidden="1" x14ac:dyDescent="0.2">
      <c r="B8657" s="31">
        <v>8648</v>
      </c>
      <c r="J8657">
        <f t="shared" si="140"/>
        <v>105000</v>
      </c>
      <c r="K8657" t="e">
        <f>VLOOKUP(B8657,'REGISTRO ABONOS'!$B$8:$BC$10041,54,0)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hidden="1" x14ac:dyDescent="0.2">
      <c r="B8658" s="31"/>
      <c r="C8658" s="10">
        <v>43565</v>
      </c>
      <c r="J8658">
        <f t="shared" si="140"/>
        <v>105000</v>
      </c>
      <c r="K8658" t="e">
        <f>VLOOKUP(B8658,'REGISTRO ABONOS'!$B$8:$BC$10041,54,0)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hidden="1" x14ac:dyDescent="0.2">
      <c r="B8659" s="31">
        <v>8650</v>
      </c>
      <c r="J8659">
        <f t="shared" si="140"/>
        <v>105000</v>
      </c>
      <c r="K8659" t="e">
        <f>VLOOKUP(B8659,'REGISTRO ABONOS'!$B$8:$BC$10041,54,0)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hidden="1" x14ac:dyDescent="0.2">
      <c r="B8660" s="31">
        <v>8651</v>
      </c>
      <c r="J8660">
        <f t="shared" si="140"/>
        <v>105000</v>
      </c>
      <c r="K8660" t="e">
        <f>VLOOKUP(B8660,'REGISTRO ABONOS'!$B$8:$BC$10041,54,0)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hidden="1" x14ac:dyDescent="0.2">
      <c r="B8661" s="31">
        <v>8652</v>
      </c>
      <c r="J8661">
        <f t="shared" si="140"/>
        <v>105000</v>
      </c>
      <c r="K8661" t="e">
        <f>VLOOKUP(B8661,'REGISTRO ABONOS'!$B$8:$BC$10041,54,0)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hidden="1" x14ac:dyDescent="0.2">
      <c r="B8662" s="31">
        <v>8653</v>
      </c>
      <c r="J8662">
        <f t="shared" si="140"/>
        <v>105000</v>
      </c>
      <c r="K8662" t="e">
        <f>VLOOKUP(B8662,'REGISTRO ABONOS'!$B$8:$BC$10041,54,0)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hidden="1" x14ac:dyDescent="0.2">
      <c r="B8663" s="31">
        <v>8654</v>
      </c>
      <c r="J8663">
        <f t="shared" si="140"/>
        <v>105000</v>
      </c>
      <c r="K8663" t="e">
        <f>VLOOKUP(B8663,'REGISTRO ABONOS'!$B$8:$BC$10041,54,0)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hidden="1" x14ac:dyDescent="0.2">
      <c r="B8664" s="31">
        <v>8655</v>
      </c>
      <c r="J8664">
        <f t="shared" si="140"/>
        <v>105000</v>
      </c>
      <c r="K8664" t="e">
        <f>VLOOKUP(B8664,'REGISTRO ABONOS'!$B$8:$BC$10041,54,0)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hidden="1" x14ac:dyDescent="0.2">
      <c r="B8665" s="31">
        <v>8656</v>
      </c>
      <c r="J8665">
        <f t="shared" si="140"/>
        <v>105000</v>
      </c>
      <c r="K8665" t="e">
        <f>VLOOKUP(B8665,'REGISTRO ABONOS'!$B$8:$BC$10041,54,0)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hidden="1" x14ac:dyDescent="0.2">
      <c r="B8666" s="31">
        <v>8657</v>
      </c>
      <c r="J8666">
        <f t="shared" si="140"/>
        <v>105000</v>
      </c>
      <c r="K8666" t="e">
        <f>VLOOKUP(B8666,'REGISTRO ABONOS'!$B$8:$BC$10041,54,0)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hidden="1" x14ac:dyDescent="0.2">
      <c r="B8667" s="31">
        <v>8658</v>
      </c>
      <c r="J8667">
        <f t="shared" si="140"/>
        <v>105000</v>
      </c>
      <c r="K8667" t="e">
        <f>VLOOKUP(B8667,'REGISTRO ABONOS'!$B$8:$BC$10041,54,0)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hidden="1" x14ac:dyDescent="0.2">
      <c r="B8668" s="31">
        <v>8659</v>
      </c>
      <c r="J8668">
        <f t="shared" si="140"/>
        <v>105000</v>
      </c>
      <c r="K8668" t="e">
        <f>VLOOKUP(B8668,'REGISTRO ABONOS'!$B$8:$BC$10041,54,0)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hidden="1" x14ac:dyDescent="0.2">
      <c r="B8669" s="31">
        <v>8660</v>
      </c>
      <c r="J8669">
        <f t="shared" si="140"/>
        <v>105000</v>
      </c>
      <c r="K8669" t="e">
        <f>VLOOKUP(B8669,'REGISTRO ABONOS'!$B$8:$BC$10041,54,0)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hidden="1" x14ac:dyDescent="0.2">
      <c r="B8670" s="31">
        <v>8661</v>
      </c>
      <c r="J8670">
        <f t="shared" si="140"/>
        <v>105000</v>
      </c>
      <c r="K8670" t="e">
        <f>VLOOKUP(B8670,'REGISTRO ABONOS'!$B$8:$BC$10041,54,0)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hidden="1" x14ac:dyDescent="0.2">
      <c r="B8671" s="31">
        <v>8662</v>
      </c>
      <c r="J8671">
        <f t="shared" si="140"/>
        <v>105000</v>
      </c>
      <c r="K8671" t="e">
        <f>VLOOKUP(B8671,'REGISTRO ABONOS'!$B$8:$BC$10041,54,0)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hidden="1" x14ac:dyDescent="0.2">
      <c r="B8672" s="31">
        <v>8663</v>
      </c>
      <c r="J8672">
        <f t="shared" si="140"/>
        <v>105000</v>
      </c>
      <c r="K8672" t="e">
        <f>VLOOKUP(B8672,'REGISTRO ABONOS'!$B$8:$BC$10041,54,0)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hidden="1" x14ac:dyDescent="0.2">
      <c r="B8673" s="31">
        <v>8664</v>
      </c>
      <c r="J8673">
        <f t="shared" si="140"/>
        <v>105000</v>
      </c>
      <c r="K8673" t="e">
        <f>VLOOKUP(B8673,'REGISTRO ABONOS'!$B$8:$BC$10041,54,0)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hidden="1" x14ac:dyDescent="0.2">
      <c r="B8674" s="31">
        <v>8665</v>
      </c>
      <c r="J8674">
        <f t="shared" si="140"/>
        <v>105000</v>
      </c>
      <c r="K8674" t="e">
        <f>VLOOKUP(B8674,'REGISTRO ABONOS'!$B$8:$BC$10041,54,0)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hidden="1" x14ac:dyDescent="0.2">
      <c r="B8675" s="31">
        <v>8666</v>
      </c>
      <c r="J8675">
        <f t="shared" si="140"/>
        <v>105000</v>
      </c>
      <c r="K8675" t="e">
        <f>VLOOKUP(B8675,'REGISTRO ABONOS'!$B$8:$BC$10041,54,0)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hidden="1" x14ac:dyDescent="0.2">
      <c r="B8676" s="31">
        <v>8667</v>
      </c>
      <c r="J8676">
        <f t="shared" si="140"/>
        <v>105000</v>
      </c>
      <c r="K8676" t="e">
        <f>VLOOKUP(B8676,'REGISTRO ABONOS'!$B$8:$BC$10041,54,0)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hidden="1" x14ac:dyDescent="0.2">
      <c r="B8677" s="31">
        <v>8668</v>
      </c>
      <c r="J8677">
        <f t="shared" si="140"/>
        <v>105000</v>
      </c>
      <c r="K8677" t="e">
        <f>VLOOKUP(B8677,'REGISTRO ABONOS'!$B$8:$BC$10041,54,0)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hidden="1" x14ac:dyDescent="0.2">
      <c r="B8678" s="31">
        <v>8669</v>
      </c>
      <c r="J8678">
        <f t="shared" si="140"/>
        <v>105000</v>
      </c>
      <c r="K8678" t="e">
        <f>VLOOKUP(B8678,'REGISTRO ABONOS'!$B$8:$BC$10041,54,0)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hidden="1" x14ac:dyDescent="0.2">
      <c r="B8679" s="31">
        <v>8670</v>
      </c>
      <c r="J8679">
        <f t="shared" si="140"/>
        <v>105000</v>
      </c>
      <c r="K8679" t="e">
        <f>VLOOKUP(B8679,'REGISTRO ABONOS'!$B$8:$BC$10041,54,0)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hidden="1" x14ac:dyDescent="0.2">
      <c r="B8680" s="31">
        <v>8671</v>
      </c>
      <c r="J8680">
        <f t="shared" si="140"/>
        <v>105000</v>
      </c>
      <c r="K8680" t="e">
        <f>VLOOKUP(B8680,'REGISTRO ABONOS'!$B$8:$BC$10041,54,0)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hidden="1" x14ac:dyDescent="0.2">
      <c r="B8681" s="31">
        <v>8672</v>
      </c>
      <c r="J8681">
        <f t="shared" si="140"/>
        <v>105000</v>
      </c>
      <c r="K8681" t="e">
        <f>VLOOKUP(B8681,'REGISTRO ABONOS'!$B$8:$BC$10041,54,0)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hidden="1" x14ac:dyDescent="0.2">
      <c r="B8682" s="31">
        <v>8673</v>
      </c>
      <c r="J8682">
        <f t="shared" ref="J8682:J8745" si="141">IF(C8682&gt;43607,130000,105000)</f>
        <v>105000</v>
      </c>
      <c r="K8682" t="e">
        <f>VLOOKUP(B8682,'REGISTRO ABONOS'!$B$8:$BC$10041,54,0)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hidden="1" x14ac:dyDescent="0.2">
      <c r="B8683" s="31">
        <v>8674</v>
      </c>
      <c r="J8683">
        <f t="shared" si="141"/>
        <v>105000</v>
      </c>
      <c r="K8683" t="e">
        <f>VLOOKUP(B8683,'REGISTRO ABONOS'!$B$8:$BC$10041,54,0)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hidden="1" x14ac:dyDescent="0.2">
      <c r="B8684" s="31">
        <v>8675</v>
      </c>
      <c r="J8684">
        <f t="shared" si="141"/>
        <v>105000</v>
      </c>
      <c r="K8684" t="e">
        <f>VLOOKUP(B8684,'REGISTRO ABONOS'!$B$8:$BC$10041,54,0)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hidden="1" x14ac:dyDescent="0.2">
      <c r="B8685" s="31">
        <v>8676</v>
      </c>
      <c r="J8685">
        <f t="shared" si="141"/>
        <v>105000</v>
      </c>
      <c r="K8685" t="e">
        <f>VLOOKUP(B8685,'REGISTRO ABONOS'!$B$8:$BC$10041,54,0)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hidden="1" x14ac:dyDescent="0.2">
      <c r="B8686" s="31">
        <v>8677</v>
      </c>
      <c r="J8686">
        <f t="shared" si="141"/>
        <v>105000</v>
      </c>
      <c r="K8686" t="e">
        <f>VLOOKUP(B8686,'REGISTRO ABONOS'!$B$8:$BC$10041,54,0)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hidden="1" x14ac:dyDescent="0.2">
      <c r="B8687" s="31">
        <v>8678</v>
      </c>
      <c r="J8687">
        <f t="shared" si="141"/>
        <v>105000</v>
      </c>
      <c r="K8687" t="e">
        <f>VLOOKUP(B8687,'REGISTRO ABONOS'!$B$8:$BC$10041,54,0)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hidden="1" x14ac:dyDescent="0.2">
      <c r="B8688" s="31">
        <v>8679</v>
      </c>
      <c r="J8688">
        <f t="shared" si="141"/>
        <v>105000</v>
      </c>
      <c r="K8688" t="e">
        <f>VLOOKUP(B8688,'REGISTRO ABONOS'!$B$8:$BC$10041,54,0)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hidden="1" x14ac:dyDescent="0.2">
      <c r="B8689" s="31">
        <v>8680</v>
      </c>
      <c r="J8689">
        <f t="shared" si="141"/>
        <v>105000</v>
      </c>
      <c r="K8689" t="e">
        <f>VLOOKUP(B8689,'REGISTRO ABONOS'!$B$8:$BC$10041,54,0)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hidden="1" x14ac:dyDescent="0.2">
      <c r="B8690" s="31">
        <v>8681</v>
      </c>
      <c r="J8690">
        <f t="shared" si="141"/>
        <v>105000</v>
      </c>
      <c r="K8690" t="e">
        <f>VLOOKUP(B8690,'REGISTRO ABONOS'!$B$8:$BC$10041,54,0)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hidden="1" x14ac:dyDescent="0.2">
      <c r="B8691" s="31">
        <v>8682</v>
      </c>
      <c r="J8691">
        <f t="shared" si="141"/>
        <v>105000</v>
      </c>
      <c r="K8691" t="e">
        <f>VLOOKUP(B8691,'REGISTRO ABONOS'!$B$8:$BC$10041,54,0)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hidden="1" x14ac:dyDescent="0.2">
      <c r="B8692" s="31">
        <v>8683</v>
      </c>
      <c r="J8692">
        <f t="shared" si="141"/>
        <v>105000</v>
      </c>
      <c r="K8692" t="e">
        <f>VLOOKUP(B8692,'REGISTRO ABONOS'!$B$8:$BC$10041,54,0)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hidden="1" x14ac:dyDescent="0.2">
      <c r="B8693" s="31">
        <v>8684</v>
      </c>
      <c r="J8693">
        <f t="shared" si="141"/>
        <v>105000</v>
      </c>
      <c r="K8693" t="e">
        <f>VLOOKUP(B8693,'REGISTRO ABONOS'!$B$8:$BC$10041,54,0)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hidden="1" x14ac:dyDescent="0.2">
      <c r="B8694" s="31">
        <v>8685</v>
      </c>
      <c r="J8694">
        <f t="shared" si="141"/>
        <v>105000</v>
      </c>
      <c r="K8694" t="e">
        <f>VLOOKUP(B8694,'REGISTRO ABONOS'!$B$8:$BC$10041,54,0)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hidden="1" x14ac:dyDescent="0.2">
      <c r="B8695" s="31">
        <v>8686</v>
      </c>
      <c r="J8695">
        <f t="shared" si="141"/>
        <v>105000</v>
      </c>
      <c r="K8695" t="e">
        <f>VLOOKUP(B8695,'REGISTRO ABONOS'!$B$8:$BC$10041,54,0)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hidden="1" x14ac:dyDescent="0.2">
      <c r="B8696" s="31">
        <v>8687</v>
      </c>
      <c r="J8696">
        <f t="shared" si="141"/>
        <v>105000</v>
      </c>
      <c r="K8696" t="e">
        <f>VLOOKUP(B8696,'REGISTRO ABONOS'!$B$8:$BC$10041,54,0)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hidden="1" x14ac:dyDescent="0.2">
      <c r="B8697" s="31">
        <v>8688</v>
      </c>
      <c r="J8697">
        <f t="shared" si="141"/>
        <v>105000</v>
      </c>
      <c r="K8697" t="e">
        <f>VLOOKUP(B8697,'REGISTRO ABONOS'!$B$8:$BC$10041,54,0)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hidden="1" x14ac:dyDescent="0.2">
      <c r="B8698" s="31">
        <v>8689</v>
      </c>
      <c r="J8698">
        <f t="shared" si="141"/>
        <v>105000</v>
      </c>
      <c r="K8698" t="e">
        <f>VLOOKUP(B8698,'REGISTRO ABONOS'!$B$8:$BC$10041,54,0)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hidden="1" x14ac:dyDescent="0.2">
      <c r="B8699" s="31">
        <v>8690</v>
      </c>
      <c r="J8699">
        <f t="shared" si="141"/>
        <v>105000</v>
      </c>
      <c r="K8699" t="e">
        <f>VLOOKUP(B8699,'REGISTRO ABONOS'!$B$8:$BC$10041,54,0)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hidden="1" x14ac:dyDescent="0.2">
      <c r="B8700" s="31">
        <v>8691</v>
      </c>
      <c r="J8700">
        <f t="shared" si="141"/>
        <v>105000</v>
      </c>
      <c r="K8700" t="e">
        <f>VLOOKUP(B8700,'REGISTRO ABONOS'!$B$8:$BC$10041,54,0)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hidden="1" x14ac:dyDescent="0.2">
      <c r="B8701" s="31">
        <v>8692</v>
      </c>
      <c r="J8701">
        <f t="shared" si="141"/>
        <v>105000</v>
      </c>
      <c r="K8701" t="e">
        <f>VLOOKUP(B8701,'REGISTRO ABONOS'!$B$8:$BC$10041,54,0)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hidden="1" x14ac:dyDescent="0.2">
      <c r="B8702" s="31">
        <v>8693</v>
      </c>
      <c r="J8702">
        <f t="shared" si="141"/>
        <v>105000</v>
      </c>
      <c r="K8702" t="e">
        <f>VLOOKUP(B8702,'REGISTRO ABONOS'!$B$8:$BC$10041,54,0)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hidden="1" x14ac:dyDescent="0.2">
      <c r="B8703" s="31">
        <v>8694</v>
      </c>
      <c r="J8703">
        <f t="shared" si="141"/>
        <v>105000</v>
      </c>
      <c r="K8703" t="e">
        <f>VLOOKUP(B8703,'REGISTRO ABONOS'!$B$8:$BC$10041,54,0)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hidden="1" x14ac:dyDescent="0.2">
      <c r="B8704" s="31">
        <v>8695</v>
      </c>
      <c r="J8704">
        <f t="shared" si="141"/>
        <v>105000</v>
      </c>
      <c r="K8704" t="e">
        <f>VLOOKUP(B8704,'REGISTRO ABONOS'!$B$8:$BC$10041,54,0)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hidden="1" x14ac:dyDescent="0.2">
      <c r="B8705" s="31">
        <v>8696</v>
      </c>
      <c r="J8705">
        <f t="shared" si="141"/>
        <v>105000</v>
      </c>
      <c r="K8705" t="e">
        <f>VLOOKUP(B8705,'REGISTRO ABONOS'!$B$8:$BC$10041,54,0)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hidden="1" x14ac:dyDescent="0.2">
      <c r="B8706" s="31">
        <v>8697</v>
      </c>
      <c r="J8706">
        <f t="shared" si="141"/>
        <v>105000</v>
      </c>
      <c r="K8706" t="e">
        <f>VLOOKUP(B8706,'REGISTRO ABONOS'!$B$8:$BC$10041,54,0)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hidden="1" x14ac:dyDescent="0.2">
      <c r="B8707" s="31">
        <v>8698</v>
      </c>
      <c r="J8707">
        <f t="shared" si="141"/>
        <v>105000</v>
      </c>
      <c r="K8707" t="e">
        <f>VLOOKUP(B8707,'REGISTRO ABONOS'!$B$8:$BC$10041,54,0)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hidden="1" x14ac:dyDescent="0.2">
      <c r="B8708" s="31">
        <v>8699</v>
      </c>
      <c r="J8708">
        <f t="shared" si="141"/>
        <v>105000</v>
      </c>
      <c r="K8708" t="e">
        <f>VLOOKUP(B8708,'REGISTRO ABONOS'!$B$8:$BC$10041,54,0)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hidden="1" x14ac:dyDescent="0.2">
      <c r="B8709" s="31">
        <v>8700</v>
      </c>
      <c r="J8709">
        <f t="shared" si="141"/>
        <v>105000</v>
      </c>
      <c r="K8709" t="e">
        <f>VLOOKUP(B8709,'REGISTRO ABONOS'!$B$8:$BC$10041,54,0)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1"/>
        <v>105000</v>
      </c>
      <c r="K8710" t="e">
        <f>VLOOKUP(B8710,'REGISTRO ABONOS'!$B$8:$BC$10041,54,0)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hidden="1" x14ac:dyDescent="0.2">
      <c r="B8711" s="31">
        <v>8702</v>
      </c>
      <c r="J8711">
        <f t="shared" si="141"/>
        <v>105000</v>
      </c>
      <c r="K8711" t="e">
        <f>VLOOKUP(B8711,'REGISTRO ABONOS'!$B$8:$BC$10041,54,0)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hidden="1" x14ac:dyDescent="0.2">
      <c r="B8712" s="31">
        <v>8703</v>
      </c>
      <c r="J8712">
        <f t="shared" si="141"/>
        <v>105000</v>
      </c>
      <c r="K8712" t="e">
        <f>VLOOKUP(B8712,'REGISTRO ABONOS'!$B$8:$BC$10041,54,0)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hidden="1" x14ac:dyDescent="0.2">
      <c r="B8713" s="31">
        <v>8704</v>
      </c>
      <c r="J8713">
        <f t="shared" si="141"/>
        <v>105000</v>
      </c>
      <c r="K8713" t="e">
        <f>VLOOKUP(B8713,'REGISTRO ABONOS'!$B$8:$BC$10041,54,0)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hidden="1" x14ac:dyDescent="0.2">
      <c r="B8714" s="31">
        <v>8705</v>
      </c>
      <c r="J8714">
        <f t="shared" si="141"/>
        <v>105000</v>
      </c>
      <c r="K8714" t="e">
        <f>VLOOKUP(B8714,'REGISTRO ABONOS'!$B$8:$BC$10041,54,0)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hidden="1" x14ac:dyDescent="0.2">
      <c r="B8715" s="31">
        <v>8706</v>
      </c>
      <c r="J8715">
        <f t="shared" si="141"/>
        <v>105000</v>
      </c>
      <c r="K8715" t="e">
        <f>VLOOKUP(B8715,'REGISTRO ABONOS'!$B$8:$BC$10041,54,0)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hidden="1" x14ac:dyDescent="0.2">
      <c r="B8716" s="31">
        <v>8707</v>
      </c>
      <c r="J8716">
        <f t="shared" si="141"/>
        <v>105000</v>
      </c>
      <c r="K8716" t="e">
        <f>VLOOKUP(B8716,'REGISTRO ABONOS'!$B$8:$BC$10041,54,0)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hidden="1" x14ac:dyDescent="0.2">
      <c r="B8717" s="31">
        <v>8708</v>
      </c>
      <c r="J8717">
        <f t="shared" si="141"/>
        <v>105000</v>
      </c>
      <c r="K8717" t="e">
        <f>VLOOKUP(B8717,'REGISTRO ABONOS'!$B$8:$BC$10041,54,0)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hidden="1" x14ac:dyDescent="0.2">
      <c r="B8718" s="31">
        <v>8709</v>
      </c>
      <c r="J8718">
        <f t="shared" si="141"/>
        <v>105000</v>
      </c>
      <c r="K8718" t="e">
        <f>VLOOKUP(B8718,'REGISTRO ABONOS'!$B$8:$BC$10041,54,0)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hidden="1" x14ac:dyDescent="0.2">
      <c r="B8719" s="31">
        <v>8710</v>
      </c>
      <c r="J8719">
        <f t="shared" si="141"/>
        <v>105000</v>
      </c>
      <c r="K8719" t="e">
        <f>VLOOKUP(B8719,'REGISTRO ABONOS'!$B$8:$BC$10041,54,0)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1"/>
        <v>105000</v>
      </c>
      <c r="K8720">
        <f>VLOOKUP(B8720,'REGISTRO ABONOS'!$B$8:$BC$10041,54,0)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hidden="1" x14ac:dyDescent="0.2">
      <c r="B8721" s="31">
        <v>8712</v>
      </c>
      <c r="J8721">
        <f t="shared" si="141"/>
        <v>105000</v>
      </c>
      <c r="K8721" t="e">
        <f>VLOOKUP(B8721,'REGISTRO ABONOS'!$B$8:$BC$10041,54,0)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hidden="1" x14ac:dyDescent="0.2">
      <c r="B8722" s="31">
        <v>8713</v>
      </c>
      <c r="J8722">
        <f t="shared" si="141"/>
        <v>105000</v>
      </c>
      <c r="K8722" t="e">
        <f>VLOOKUP(B8722,'REGISTRO ABONOS'!$B$8:$BC$10041,54,0)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hidden="1" x14ac:dyDescent="0.2">
      <c r="B8723" s="31">
        <v>8714</v>
      </c>
      <c r="J8723">
        <f t="shared" si="141"/>
        <v>105000</v>
      </c>
      <c r="K8723" t="e">
        <f>VLOOKUP(B8723,'REGISTRO ABONOS'!$B$8:$BC$10041,54,0)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hidden="1" x14ac:dyDescent="0.2">
      <c r="B8724" s="31">
        <v>8715</v>
      </c>
      <c r="J8724">
        <f t="shared" si="141"/>
        <v>105000</v>
      </c>
      <c r="K8724" t="e">
        <f>VLOOKUP(B8724,'REGISTRO ABONOS'!$B$8:$BC$10041,54,0)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hidden="1" x14ac:dyDescent="0.2">
      <c r="B8725" s="31">
        <v>8716</v>
      </c>
      <c r="J8725">
        <f t="shared" si="141"/>
        <v>105000</v>
      </c>
      <c r="K8725" t="e">
        <f>VLOOKUP(B8725,'REGISTRO ABONOS'!$B$8:$BC$10041,54,0)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hidden="1" x14ac:dyDescent="0.2">
      <c r="B8726" s="31">
        <v>8717</v>
      </c>
      <c r="J8726">
        <f t="shared" si="141"/>
        <v>105000</v>
      </c>
      <c r="K8726" t="e">
        <f>VLOOKUP(B8726,'REGISTRO ABONOS'!$B$8:$BC$10041,54,0)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hidden="1" x14ac:dyDescent="0.2">
      <c r="B8727" s="31">
        <v>8718</v>
      </c>
      <c r="J8727">
        <f t="shared" si="141"/>
        <v>105000</v>
      </c>
      <c r="K8727" t="e">
        <f>VLOOKUP(B8727,'REGISTRO ABONOS'!$B$8:$BC$10041,54,0)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hidden="1" x14ac:dyDescent="0.2">
      <c r="B8728" s="31">
        <v>8719</v>
      </c>
      <c r="J8728">
        <f t="shared" si="141"/>
        <v>105000</v>
      </c>
      <c r="K8728" t="e">
        <f>VLOOKUP(B8728,'REGISTRO ABONOS'!$B$8:$BC$10041,54,0)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hidden="1" x14ac:dyDescent="0.2">
      <c r="B8729" s="31">
        <v>8720</v>
      </c>
      <c r="J8729">
        <f t="shared" si="141"/>
        <v>105000</v>
      </c>
      <c r="K8729" t="e">
        <f>VLOOKUP(B8729,'REGISTRO ABONOS'!$B$8:$BC$10041,54,0)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hidden="1" x14ac:dyDescent="0.2">
      <c r="B8730" s="31">
        <v>8721</v>
      </c>
      <c r="J8730">
        <f t="shared" si="141"/>
        <v>105000</v>
      </c>
      <c r="K8730" t="e">
        <f>VLOOKUP(B8730,'REGISTRO ABONOS'!$B$8:$BC$10041,54,0)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hidden="1" x14ac:dyDescent="0.2">
      <c r="B8731" s="31">
        <v>8722</v>
      </c>
      <c r="J8731">
        <f t="shared" si="141"/>
        <v>105000</v>
      </c>
      <c r="K8731" t="e">
        <f>VLOOKUP(B8731,'REGISTRO ABONOS'!$B$8:$BC$10041,54,0)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hidden="1" x14ac:dyDescent="0.2">
      <c r="B8732" s="31">
        <v>8723</v>
      </c>
      <c r="J8732">
        <f t="shared" si="141"/>
        <v>105000</v>
      </c>
      <c r="K8732" t="e">
        <f>VLOOKUP(B8732,'REGISTRO ABONOS'!$B$8:$BC$10041,54,0)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hidden="1" x14ac:dyDescent="0.2">
      <c r="B8733" s="31">
        <v>8724</v>
      </c>
      <c r="J8733">
        <f t="shared" si="141"/>
        <v>105000</v>
      </c>
      <c r="K8733" t="e">
        <f>VLOOKUP(B8733,'REGISTRO ABONOS'!$B$8:$BC$10041,54,0)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hidden="1" x14ac:dyDescent="0.2">
      <c r="B8734" s="31">
        <v>8725</v>
      </c>
      <c r="J8734">
        <f t="shared" si="141"/>
        <v>105000</v>
      </c>
      <c r="K8734" t="e">
        <f>VLOOKUP(B8734,'REGISTRO ABONOS'!$B$8:$BC$10041,54,0)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hidden="1" x14ac:dyDescent="0.2">
      <c r="B8735" s="31">
        <v>8726</v>
      </c>
      <c r="J8735">
        <f t="shared" si="141"/>
        <v>105000</v>
      </c>
      <c r="K8735" t="e">
        <f>VLOOKUP(B8735,'REGISTRO ABONOS'!$B$8:$BC$10041,54,0)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hidden="1" x14ac:dyDescent="0.2">
      <c r="B8736" s="31">
        <v>8727</v>
      </c>
      <c r="J8736">
        <f t="shared" si="141"/>
        <v>105000</v>
      </c>
      <c r="K8736" t="e">
        <f>VLOOKUP(B8736,'REGISTRO ABONOS'!$B$8:$BC$10041,54,0)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hidden="1" x14ac:dyDescent="0.2">
      <c r="B8737" s="31">
        <v>8728</v>
      </c>
      <c r="J8737">
        <f t="shared" si="141"/>
        <v>105000</v>
      </c>
      <c r="K8737" t="e">
        <f>VLOOKUP(B8737,'REGISTRO ABONOS'!$B$8:$BC$10041,54,0)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hidden="1" x14ac:dyDescent="0.2">
      <c r="B8738" s="31">
        <v>8729</v>
      </c>
      <c r="J8738">
        <f t="shared" si="141"/>
        <v>105000</v>
      </c>
      <c r="K8738" t="e">
        <f>VLOOKUP(B8738,'REGISTRO ABONOS'!$B$8:$BC$10041,54,0)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hidden="1" x14ac:dyDescent="0.2">
      <c r="B8739" s="31">
        <v>8730</v>
      </c>
      <c r="J8739">
        <f t="shared" si="141"/>
        <v>105000</v>
      </c>
      <c r="K8739" t="e">
        <f>VLOOKUP(B8739,'REGISTRO ABONOS'!$B$8:$BC$10041,54,0)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1"/>
        <v>105000</v>
      </c>
      <c r="K8740">
        <f>VLOOKUP(B8740,'REGISTRO ABONOS'!$B$8:$BC$10041,54,0)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hidden="1" x14ac:dyDescent="0.2">
      <c r="B8741" s="31">
        <v>8732</v>
      </c>
      <c r="J8741">
        <f t="shared" si="141"/>
        <v>105000</v>
      </c>
      <c r="K8741" t="e">
        <f>VLOOKUP(B8741,'REGISTRO ABONOS'!$B$8:$BC$10041,54,0)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hidden="1" x14ac:dyDescent="0.2">
      <c r="B8742" s="31">
        <v>8733</v>
      </c>
      <c r="J8742">
        <f t="shared" si="141"/>
        <v>105000</v>
      </c>
      <c r="K8742" t="e">
        <f>VLOOKUP(B8742,'REGISTRO ABONOS'!$B$8:$BC$10041,54,0)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hidden="1" x14ac:dyDescent="0.2">
      <c r="B8743" s="31">
        <v>8734</v>
      </c>
      <c r="J8743">
        <f t="shared" si="141"/>
        <v>105000</v>
      </c>
      <c r="K8743" t="e">
        <f>VLOOKUP(B8743,'REGISTRO ABONOS'!$B$8:$BC$10041,54,0)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hidden="1" x14ac:dyDescent="0.2">
      <c r="B8744" s="31">
        <v>8735</v>
      </c>
      <c r="J8744">
        <f t="shared" si="141"/>
        <v>105000</v>
      </c>
      <c r="K8744" t="e">
        <f>VLOOKUP(B8744,'REGISTRO ABONOS'!$B$8:$BC$10041,54,0)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hidden="1" x14ac:dyDescent="0.2">
      <c r="B8745" s="31">
        <v>8736</v>
      </c>
      <c r="J8745">
        <f t="shared" si="141"/>
        <v>105000</v>
      </c>
      <c r="K8745" t="e">
        <f>VLOOKUP(B8745,'REGISTRO ABONOS'!$B$8:$BC$10041,54,0)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hidden="1" x14ac:dyDescent="0.2">
      <c r="B8746" s="31">
        <v>8737</v>
      </c>
      <c r="J8746">
        <f t="shared" ref="J8746:J8809" si="142">IF(C8746&gt;43607,130000,105000)</f>
        <v>105000</v>
      </c>
      <c r="K8746" t="e">
        <f>VLOOKUP(B8746,'REGISTRO ABONOS'!$B$8:$BC$10041,54,0)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hidden="1" x14ac:dyDescent="0.2">
      <c r="B8747" s="31">
        <v>8738</v>
      </c>
      <c r="J8747">
        <f t="shared" si="142"/>
        <v>105000</v>
      </c>
      <c r="K8747" t="e">
        <f>VLOOKUP(B8747,'REGISTRO ABONOS'!$B$8:$BC$10041,54,0)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hidden="1" x14ac:dyDescent="0.2">
      <c r="B8748" s="31">
        <v>8739</v>
      </c>
      <c r="J8748">
        <f t="shared" si="142"/>
        <v>105000</v>
      </c>
      <c r="K8748" t="e">
        <f>VLOOKUP(B8748,'REGISTRO ABONOS'!$B$8:$BC$10041,54,0)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hidden="1" x14ac:dyDescent="0.2">
      <c r="B8749" s="31">
        <v>8740</v>
      </c>
      <c r="J8749">
        <f t="shared" si="142"/>
        <v>105000</v>
      </c>
      <c r="K8749" t="e">
        <f>VLOOKUP(B8749,'REGISTRO ABONOS'!$B$8:$BC$10041,54,0)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hidden="1" x14ac:dyDescent="0.2">
      <c r="B8750" s="31">
        <v>8741</v>
      </c>
      <c r="J8750">
        <f t="shared" si="142"/>
        <v>105000</v>
      </c>
      <c r="K8750" t="e">
        <f>VLOOKUP(B8750,'REGISTRO ABONOS'!$B$8:$BC$10041,54,0)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hidden="1" x14ac:dyDescent="0.2">
      <c r="B8751" s="31">
        <v>8742</v>
      </c>
      <c r="J8751">
        <f t="shared" si="142"/>
        <v>105000</v>
      </c>
      <c r="K8751" t="e">
        <f>VLOOKUP(B8751,'REGISTRO ABONOS'!$B$8:$BC$10041,54,0)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hidden="1" x14ac:dyDescent="0.2">
      <c r="B8752" s="31">
        <v>8743</v>
      </c>
      <c r="J8752">
        <f t="shared" si="142"/>
        <v>105000</v>
      </c>
      <c r="K8752" t="e">
        <f>VLOOKUP(B8752,'REGISTRO ABONOS'!$B$8:$BC$10041,54,0)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hidden="1" x14ac:dyDescent="0.2">
      <c r="B8753" s="31">
        <v>8744</v>
      </c>
      <c r="J8753">
        <f t="shared" si="142"/>
        <v>105000</v>
      </c>
      <c r="K8753" t="e">
        <f>VLOOKUP(B8753,'REGISTRO ABONOS'!$B$8:$BC$10041,54,0)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hidden="1" x14ac:dyDescent="0.2">
      <c r="B8754" s="31">
        <v>8745</v>
      </c>
      <c r="J8754">
        <f t="shared" si="142"/>
        <v>105000</v>
      </c>
      <c r="K8754" t="e">
        <f>VLOOKUP(B8754,'REGISTRO ABONOS'!$B$8:$BC$10041,54,0)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hidden="1" x14ac:dyDescent="0.2">
      <c r="B8755" s="31">
        <v>8746</v>
      </c>
      <c r="J8755">
        <f t="shared" si="142"/>
        <v>105000</v>
      </c>
      <c r="K8755" t="e">
        <f>VLOOKUP(B8755,'REGISTRO ABONOS'!$B$8:$BC$10041,54,0)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hidden="1" x14ac:dyDescent="0.2">
      <c r="B8756" s="31">
        <v>8747</v>
      </c>
      <c r="J8756">
        <f t="shared" si="142"/>
        <v>105000</v>
      </c>
      <c r="K8756" t="e">
        <f>VLOOKUP(B8756,'REGISTRO ABONOS'!$B$8:$BC$10041,54,0)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hidden="1" x14ac:dyDescent="0.2">
      <c r="B8757" s="31">
        <v>8748</v>
      </c>
      <c r="J8757">
        <f t="shared" si="142"/>
        <v>105000</v>
      </c>
      <c r="K8757" t="e">
        <f>VLOOKUP(B8757,'REGISTRO ABONOS'!$B$8:$BC$10041,54,0)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hidden="1" x14ac:dyDescent="0.2">
      <c r="B8758" s="31">
        <v>8749</v>
      </c>
      <c r="J8758">
        <f t="shared" si="142"/>
        <v>105000</v>
      </c>
      <c r="K8758" t="e">
        <f>VLOOKUP(B8758,'REGISTRO ABONOS'!$B$8:$BC$10041,54,0)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hidden="1" x14ac:dyDescent="0.2">
      <c r="B8759" s="31">
        <v>8750</v>
      </c>
      <c r="J8759">
        <f t="shared" si="142"/>
        <v>105000</v>
      </c>
      <c r="K8759" t="e">
        <f>VLOOKUP(B8759,'REGISTRO ABONOS'!$B$8:$BC$10041,54,0)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hidden="1" x14ac:dyDescent="0.2">
      <c r="B8760" s="31">
        <v>8751</v>
      </c>
      <c r="J8760">
        <f t="shared" si="142"/>
        <v>105000</v>
      </c>
      <c r="K8760" t="e">
        <f>VLOOKUP(B8760,'REGISTRO ABONOS'!$B$8:$BC$10041,54,0)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hidden="1" x14ac:dyDescent="0.2">
      <c r="B8761" s="31">
        <v>8752</v>
      </c>
      <c r="J8761">
        <f t="shared" si="142"/>
        <v>105000</v>
      </c>
      <c r="K8761" t="e">
        <f>VLOOKUP(B8761,'REGISTRO ABONOS'!$B$8:$BC$10041,54,0)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hidden="1" x14ac:dyDescent="0.2">
      <c r="B8762" s="31">
        <v>8753</v>
      </c>
      <c r="J8762">
        <f t="shared" si="142"/>
        <v>105000</v>
      </c>
      <c r="K8762" t="e">
        <f>VLOOKUP(B8762,'REGISTRO ABONOS'!$B$8:$BC$10041,54,0)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hidden="1" x14ac:dyDescent="0.2">
      <c r="B8763" s="31">
        <v>8754</v>
      </c>
      <c r="J8763">
        <f t="shared" si="142"/>
        <v>105000</v>
      </c>
      <c r="K8763" t="e">
        <f>VLOOKUP(B8763,'REGISTRO ABONOS'!$B$8:$BC$10041,54,0)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hidden="1" x14ac:dyDescent="0.2">
      <c r="B8764" s="31">
        <v>8755</v>
      </c>
      <c r="J8764">
        <f t="shared" si="142"/>
        <v>105000</v>
      </c>
      <c r="K8764" t="e">
        <f>VLOOKUP(B8764,'REGISTRO ABONOS'!$B$8:$BC$10041,54,0)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hidden="1" x14ac:dyDescent="0.2">
      <c r="B8765" s="31">
        <v>8756</v>
      </c>
      <c r="J8765">
        <f t="shared" si="142"/>
        <v>105000</v>
      </c>
      <c r="K8765" t="e">
        <f>VLOOKUP(B8765,'REGISTRO ABONOS'!$B$8:$BC$10041,54,0)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hidden="1" x14ac:dyDescent="0.2">
      <c r="B8766" s="31">
        <v>8757</v>
      </c>
      <c r="J8766">
        <f t="shared" si="142"/>
        <v>105000</v>
      </c>
      <c r="K8766" t="e">
        <f>VLOOKUP(B8766,'REGISTRO ABONOS'!$B$8:$BC$10041,54,0)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hidden="1" x14ac:dyDescent="0.2">
      <c r="B8767" s="31">
        <v>8758</v>
      </c>
      <c r="J8767">
        <f t="shared" si="142"/>
        <v>105000</v>
      </c>
      <c r="K8767" t="e">
        <f>VLOOKUP(B8767,'REGISTRO ABONOS'!$B$8:$BC$10041,54,0)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hidden="1" x14ac:dyDescent="0.2">
      <c r="B8768" s="31">
        <v>8759</v>
      </c>
      <c r="J8768">
        <f t="shared" si="142"/>
        <v>105000</v>
      </c>
      <c r="K8768" t="e">
        <f>VLOOKUP(B8768,'REGISTRO ABONOS'!$B$8:$BC$10041,54,0)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hidden="1" x14ac:dyDescent="0.2">
      <c r="B8769" s="31">
        <v>8760</v>
      </c>
      <c r="J8769">
        <f t="shared" si="142"/>
        <v>105000</v>
      </c>
      <c r="K8769" t="e">
        <f>VLOOKUP(B8769,'REGISTRO ABONOS'!$B$8:$BC$10041,54,0)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hidden="1" x14ac:dyDescent="0.2">
      <c r="B8770" s="31">
        <v>8761</v>
      </c>
      <c r="J8770">
        <f t="shared" si="142"/>
        <v>105000</v>
      </c>
      <c r="K8770" t="e">
        <f>VLOOKUP(B8770,'REGISTRO ABONOS'!$B$8:$BC$10041,54,0)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hidden="1" x14ac:dyDescent="0.2">
      <c r="B8771" s="31">
        <v>8762</v>
      </c>
      <c r="J8771">
        <f t="shared" si="142"/>
        <v>105000</v>
      </c>
      <c r="K8771" t="e">
        <f>VLOOKUP(B8771,'REGISTRO ABONOS'!$B$8:$BC$10041,54,0)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hidden="1" x14ac:dyDescent="0.2">
      <c r="B8772" s="31">
        <v>8763</v>
      </c>
      <c r="J8772">
        <f t="shared" si="142"/>
        <v>105000</v>
      </c>
      <c r="K8772" t="e">
        <f>VLOOKUP(B8772,'REGISTRO ABONOS'!$B$8:$BC$10041,54,0)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hidden="1" x14ac:dyDescent="0.2">
      <c r="B8773" s="31">
        <v>8764</v>
      </c>
      <c r="J8773">
        <f t="shared" si="142"/>
        <v>105000</v>
      </c>
      <c r="K8773" t="e">
        <f>VLOOKUP(B8773,'REGISTRO ABONOS'!$B$8:$BC$10041,54,0)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hidden="1" x14ac:dyDescent="0.2">
      <c r="B8774" s="31">
        <v>8765</v>
      </c>
      <c r="J8774">
        <f t="shared" si="142"/>
        <v>105000</v>
      </c>
      <c r="K8774" t="e">
        <f>VLOOKUP(B8774,'REGISTRO ABONOS'!$B$8:$BC$10041,54,0)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hidden="1" x14ac:dyDescent="0.2">
      <c r="B8775" s="31">
        <v>8766</v>
      </c>
      <c r="J8775">
        <f t="shared" si="142"/>
        <v>105000</v>
      </c>
      <c r="K8775" t="e">
        <f>VLOOKUP(B8775,'REGISTRO ABONOS'!$B$8:$BC$10041,54,0)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hidden="1" x14ac:dyDescent="0.2">
      <c r="B8776" s="31">
        <v>8767</v>
      </c>
      <c r="J8776">
        <f t="shared" si="142"/>
        <v>105000</v>
      </c>
      <c r="K8776" t="e">
        <f>VLOOKUP(B8776,'REGISTRO ABONOS'!$B$8:$BC$10041,54,0)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hidden="1" x14ac:dyDescent="0.2">
      <c r="B8777" s="31">
        <v>8768</v>
      </c>
      <c r="J8777">
        <f t="shared" si="142"/>
        <v>105000</v>
      </c>
      <c r="K8777" t="e">
        <f>VLOOKUP(B8777,'REGISTRO ABONOS'!$B$8:$BC$10041,54,0)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hidden="1" x14ac:dyDescent="0.2">
      <c r="B8778" s="31">
        <v>8769</v>
      </c>
      <c r="J8778">
        <f t="shared" si="142"/>
        <v>105000</v>
      </c>
      <c r="K8778" t="e">
        <f>VLOOKUP(B8778,'REGISTRO ABONOS'!$B$8:$BC$10041,54,0)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hidden="1" x14ac:dyDescent="0.2">
      <c r="B8779" s="31">
        <v>8770</v>
      </c>
      <c r="J8779">
        <f t="shared" si="142"/>
        <v>105000</v>
      </c>
      <c r="K8779" t="e">
        <f>VLOOKUP(B8779,'REGISTRO ABONOS'!$B$8:$BC$10041,54,0)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hidden="1" x14ac:dyDescent="0.2">
      <c r="B8780" s="31">
        <v>8771</v>
      </c>
      <c r="J8780">
        <f t="shared" si="142"/>
        <v>105000</v>
      </c>
      <c r="K8780" t="e">
        <f>VLOOKUP(B8780,'REGISTRO ABONOS'!$B$8:$BC$10041,54,0)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hidden="1" x14ac:dyDescent="0.2">
      <c r="B8781" s="31">
        <v>8772</v>
      </c>
      <c r="J8781">
        <f t="shared" si="142"/>
        <v>105000</v>
      </c>
      <c r="K8781" t="e">
        <f>VLOOKUP(B8781,'REGISTRO ABONOS'!$B$8:$BC$10041,54,0)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hidden="1" x14ac:dyDescent="0.2">
      <c r="B8782" s="31">
        <v>8773</v>
      </c>
      <c r="J8782">
        <f t="shared" si="142"/>
        <v>105000</v>
      </c>
      <c r="K8782" t="e">
        <f>VLOOKUP(B8782,'REGISTRO ABONOS'!$B$8:$BC$10041,54,0)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hidden="1" x14ac:dyDescent="0.2">
      <c r="B8783" s="31">
        <v>8774</v>
      </c>
      <c r="J8783">
        <f t="shared" si="142"/>
        <v>105000</v>
      </c>
      <c r="K8783" t="e">
        <f>VLOOKUP(B8783,'REGISTRO ABONOS'!$B$8:$BC$10041,54,0)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hidden="1" x14ac:dyDescent="0.2">
      <c r="B8784" s="31">
        <v>8775</v>
      </c>
      <c r="J8784">
        <f t="shared" si="142"/>
        <v>105000</v>
      </c>
      <c r="K8784" t="e">
        <f>VLOOKUP(B8784,'REGISTRO ABONOS'!$B$8:$BC$10041,54,0)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hidden="1" x14ac:dyDescent="0.2">
      <c r="B8785" s="31">
        <v>8776</v>
      </c>
      <c r="J8785">
        <f t="shared" si="142"/>
        <v>105000</v>
      </c>
      <c r="K8785" t="e">
        <f>VLOOKUP(B8785,'REGISTRO ABONOS'!$B$8:$BC$10041,54,0)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hidden="1" x14ac:dyDescent="0.2">
      <c r="B8786" s="31">
        <v>8777</v>
      </c>
      <c r="J8786">
        <f t="shared" si="142"/>
        <v>105000</v>
      </c>
      <c r="K8786" t="e">
        <f>VLOOKUP(B8786,'REGISTRO ABONOS'!$B$8:$BC$10041,54,0)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hidden="1" x14ac:dyDescent="0.2">
      <c r="B8787" s="31">
        <v>8778</v>
      </c>
      <c r="J8787">
        <f t="shared" si="142"/>
        <v>105000</v>
      </c>
      <c r="K8787" t="e">
        <f>VLOOKUP(B8787,'REGISTRO ABONOS'!$B$8:$BC$10041,54,0)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hidden="1" x14ac:dyDescent="0.2">
      <c r="B8788" s="31">
        <v>8779</v>
      </c>
      <c r="J8788">
        <f t="shared" si="142"/>
        <v>105000</v>
      </c>
      <c r="K8788" t="e">
        <f>VLOOKUP(B8788,'REGISTRO ABONOS'!$B$8:$BC$10041,54,0)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hidden="1" x14ac:dyDescent="0.2">
      <c r="B8789" s="31">
        <v>8780</v>
      </c>
      <c r="J8789">
        <f t="shared" si="142"/>
        <v>105000</v>
      </c>
      <c r="K8789" t="e">
        <f>VLOOKUP(B8789,'REGISTRO ABONOS'!$B$8:$BC$10041,54,0)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hidden="1" x14ac:dyDescent="0.2">
      <c r="B8790" s="31">
        <v>8781</v>
      </c>
      <c r="J8790">
        <f t="shared" si="142"/>
        <v>105000</v>
      </c>
      <c r="K8790" t="e">
        <f>VLOOKUP(B8790,'REGISTRO ABONOS'!$B$8:$BC$10041,54,0)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hidden="1" x14ac:dyDescent="0.2">
      <c r="B8791" s="31">
        <v>8782</v>
      </c>
      <c r="J8791">
        <f t="shared" si="142"/>
        <v>105000</v>
      </c>
      <c r="K8791" t="e">
        <f>VLOOKUP(B8791,'REGISTRO ABONOS'!$B$8:$BC$10041,54,0)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hidden="1" x14ac:dyDescent="0.2">
      <c r="B8792" s="31">
        <v>8783</v>
      </c>
      <c r="J8792">
        <f t="shared" si="142"/>
        <v>105000</v>
      </c>
      <c r="K8792" t="e">
        <f>VLOOKUP(B8792,'REGISTRO ABONOS'!$B$8:$BC$10041,54,0)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hidden="1" x14ac:dyDescent="0.2">
      <c r="B8793" s="31">
        <v>8784</v>
      </c>
      <c r="J8793">
        <f t="shared" si="142"/>
        <v>105000</v>
      </c>
      <c r="K8793" t="e">
        <f>VLOOKUP(B8793,'REGISTRO ABONOS'!$B$8:$BC$10041,54,0)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hidden="1" x14ac:dyDescent="0.2">
      <c r="B8794" s="31">
        <v>8785</v>
      </c>
      <c r="J8794">
        <f t="shared" si="142"/>
        <v>105000</v>
      </c>
      <c r="K8794" t="e">
        <f>VLOOKUP(B8794,'REGISTRO ABONOS'!$B$8:$BC$10041,54,0)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hidden="1" x14ac:dyDescent="0.2">
      <c r="B8795" s="31">
        <v>8786</v>
      </c>
      <c r="J8795">
        <f t="shared" si="142"/>
        <v>105000</v>
      </c>
      <c r="K8795" t="e">
        <f>VLOOKUP(B8795,'REGISTRO ABONOS'!$B$8:$BC$10041,54,0)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hidden="1" x14ac:dyDescent="0.2">
      <c r="B8796" s="31">
        <v>8787</v>
      </c>
      <c r="J8796">
        <f t="shared" si="142"/>
        <v>105000</v>
      </c>
      <c r="K8796" t="e">
        <f>VLOOKUP(B8796,'REGISTRO ABONOS'!$B$8:$BC$10041,54,0)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hidden="1" x14ac:dyDescent="0.2">
      <c r="B8797" s="31">
        <v>8788</v>
      </c>
      <c r="J8797">
        <f t="shared" si="142"/>
        <v>105000</v>
      </c>
      <c r="K8797" t="e">
        <f>VLOOKUP(B8797,'REGISTRO ABONOS'!$B$8:$BC$10041,54,0)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hidden="1" x14ac:dyDescent="0.2">
      <c r="B8798" s="31">
        <v>8789</v>
      </c>
      <c r="J8798">
        <f t="shared" si="142"/>
        <v>105000</v>
      </c>
      <c r="K8798" t="e">
        <f>VLOOKUP(B8798,'REGISTRO ABONOS'!$B$8:$BC$10041,54,0)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2"/>
        <v>105000</v>
      </c>
      <c r="K8799" t="e">
        <f>VLOOKUP(B8799,'REGISTRO ABONOS'!$B$8:$BC$10041,54,0)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hidden="1" x14ac:dyDescent="0.2">
      <c r="B8800" s="31">
        <v>8791</v>
      </c>
      <c r="J8800">
        <f t="shared" si="142"/>
        <v>105000</v>
      </c>
      <c r="K8800" t="e">
        <f>VLOOKUP(B8800,'REGISTRO ABONOS'!$B$8:$BC$10041,54,0)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hidden="1" x14ac:dyDescent="0.2">
      <c r="B8801" s="31">
        <v>8792</v>
      </c>
      <c r="J8801">
        <f t="shared" si="142"/>
        <v>105000</v>
      </c>
      <c r="K8801" t="e">
        <f>VLOOKUP(B8801,'REGISTRO ABONOS'!$B$8:$BC$10041,54,0)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hidden="1" x14ac:dyDescent="0.2">
      <c r="B8802" s="31">
        <v>8793</v>
      </c>
      <c r="J8802">
        <f t="shared" si="142"/>
        <v>105000</v>
      </c>
      <c r="K8802" t="e">
        <f>VLOOKUP(B8802,'REGISTRO ABONOS'!$B$8:$BC$10041,54,0)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hidden="1" x14ac:dyDescent="0.2">
      <c r="B8803" s="31">
        <v>8794</v>
      </c>
      <c r="J8803">
        <f t="shared" si="142"/>
        <v>105000</v>
      </c>
      <c r="K8803" t="e">
        <f>VLOOKUP(B8803,'REGISTRO ABONOS'!$B$8:$BC$10041,54,0)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hidden="1" x14ac:dyDescent="0.2">
      <c r="B8804" s="31">
        <v>8795</v>
      </c>
      <c r="J8804">
        <f t="shared" si="142"/>
        <v>105000</v>
      </c>
      <c r="K8804" t="e">
        <f>VLOOKUP(B8804,'REGISTRO ABONOS'!$B$8:$BC$10041,54,0)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hidden="1" x14ac:dyDescent="0.2">
      <c r="B8805" s="31">
        <v>8796</v>
      </c>
      <c r="J8805">
        <f t="shared" si="142"/>
        <v>105000</v>
      </c>
      <c r="K8805" t="e">
        <f>VLOOKUP(B8805,'REGISTRO ABONOS'!$B$8:$BC$10041,54,0)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hidden="1" x14ac:dyDescent="0.2">
      <c r="B8806" s="31">
        <v>8797</v>
      </c>
      <c r="J8806">
        <f t="shared" si="142"/>
        <v>105000</v>
      </c>
      <c r="K8806" t="e">
        <f>VLOOKUP(B8806,'REGISTRO ABONOS'!$B$8:$BC$10041,54,0)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hidden="1" x14ac:dyDescent="0.2">
      <c r="B8807" s="31">
        <v>8798</v>
      </c>
      <c r="J8807">
        <f t="shared" si="142"/>
        <v>105000</v>
      </c>
      <c r="K8807" t="e">
        <f>VLOOKUP(B8807,'REGISTRO ABONOS'!$B$8:$BC$10041,54,0)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hidden="1" x14ac:dyDescent="0.2">
      <c r="B8808" s="31">
        <v>8799</v>
      </c>
      <c r="J8808">
        <f t="shared" si="142"/>
        <v>105000</v>
      </c>
      <c r="K8808" t="e">
        <f>VLOOKUP(B8808,'REGISTRO ABONOS'!$B$8:$BC$10041,54,0)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hidden="1" x14ac:dyDescent="0.2">
      <c r="B8809" s="31">
        <v>8800</v>
      </c>
      <c r="J8809">
        <f t="shared" si="142"/>
        <v>105000</v>
      </c>
      <c r="K8809" t="e">
        <f>VLOOKUP(B8809,'REGISTRO ABONOS'!$B$8:$BC$10041,54,0)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hidden="1" x14ac:dyDescent="0.2">
      <c r="B8810" s="31">
        <v>8801</v>
      </c>
      <c r="J8810">
        <f t="shared" ref="J8810:J8873" si="143">IF(C8810&gt;43607,130000,105000)</f>
        <v>105000</v>
      </c>
      <c r="K8810" t="e">
        <f>VLOOKUP(B8810,'REGISTRO ABONOS'!$B$8:$BC$10041,54,0)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hidden="1" x14ac:dyDescent="0.2">
      <c r="B8811" s="31">
        <v>8802</v>
      </c>
      <c r="J8811">
        <f t="shared" si="143"/>
        <v>105000</v>
      </c>
      <c r="K8811" t="e">
        <f>VLOOKUP(B8811,'REGISTRO ABONOS'!$B$8:$BC$10041,54,0)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hidden="1" x14ac:dyDescent="0.2">
      <c r="B8812" s="31">
        <v>8803</v>
      </c>
      <c r="J8812">
        <f t="shared" si="143"/>
        <v>105000</v>
      </c>
      <c r="K8812" t="e">
        <f>VLOOKUP(B8812,'REGISTRO ABONOS'!$B$8:$BC$10041,54,0)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hidden="1" x14ac:dyDescent="0.2">
      <c r="B8813" s="31">
        <v>8804</v>
      </c>
      <c r="J8813">
        <f t="shared" si="143"/>
        <v>105000</v>
      </c>
      <c r="K8813" t="e">
        <f>VLOOKUP(B8813,'REGISTRO ABONOS'!$B$8:$BC$10041,54,0)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hidden="1" x14ac:dyDescent="0.2">
      <c r="B8814" s="31">
        <v>8805</v>
      </c>
      <c r="J8814">
        <f t="shared" si="143"/>
        <v>105000</v>
      </c>
      <c r="K8814" t="e">
        <f>VLOOKUP(B8814,'REGISTRO ABONOS'!$B$8:$BC$10041,54,0)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hidden="1" x14ac:dyDescent="0.2">
      <c r="B8815" s="31">
        <v>8806</v>
      </c>
      <c r="J8815">
        <f t="shared" si="143"/>
        <v>105000</v>
      </c>
      <c r="K8815" t="e">
        <f>VLOOKUP(B8815,'REGISTRO ABONOS'!$B$8:$BC$10041,54,0)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hidden="1" x14ac:dyDescent="0.2">
      <c r="B8816" s="31">
        <v>8807</v>
      </c>
      <c r="J8816">
        <f t="shared" si="143"/>
        <v>105000</v>
      </c>
      <c r="K8816" t="e">
        <f>VLOOKUP(B8816,'REGISTRO ABONOS'!$B$8:$BC$10041,54,0)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hidden="1" x14ac:dyDescent="0.2">
      <c r="B8817" s="31">
        <v>8808</v>
      </c>
      <c r="J8817">
        <f t="shared" si="143"/>
        <v>105000</v>
      </c>
      <c r="K8817" t="e">
        <f>VLOOKUP(B8817,'REGISTRO ABONOS'!$B$8:$BC$10041,54,0)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hidden="1" x14ac:dyDescent="0.2">
      <c r="B8818" s="31">
        <v>8809</v>
      </c>
      <c r="J8818">
        <f t="shared" si="143"/>
        <v>105000</v>
      </c>
      <c r="K8818" t="e">
        <f>VLOOKUP(B8818,'REGISTRO ABONOS'!$B$8:$BC$10041,54,0)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hidden="1" x14ac:dyDescent="0.2">
      <c r="B8819" s="31">
        <v>8810</v>
      </c>
      <c r="J8819">
        <f t="shared" si="143"/>
        <v>105000</v>
      </c>
      <c r="K8819" t="e">
        <f>VLOOKUP(B8819,'REGISTRO ABONOS'!$B$8:$BC$10041,54,0)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hidden="1" x14ac:dyDescent="0.2">
      <c r="B8820" s="31">
        <v>8811</v>
      </c>
      <c r="J8820">
        <f t="shared" si="143"/>
        <v>105000</v>
      </c>
      <c r="K8820" t="e">
        <f>VLOOKUP(B8820,'REGISTRO ABONOS'!$B$8:$BC$10041,54,0)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hidden="1" x14ac:dyDescent="0.2">
      <c r="B8821" s="31">
        <v>8812</v>
      </c>
      <c r="J8821">
        <f t="shared" si="143"/>
        <v>105000</v>
      </c>
      <c r="K8821" t="e">
        <f>VLOOKUP(B8821,'REGISTRO ABONOS'!$B$8:$BC$10041,54,0)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hidden="1" x14ac:dyDescent="0.2">
      <c r="B8822" s="31">
        <v>8813</v>
      </c>
      <c r="J8822">
        <f t="shared" si="143"/>
        <v>105000</v>
      </c>
      <c r="K8822" t="e">
        <f>VLOOKUP(B8822,'REGISTRO ABONOS'!$B$8:$BC$10041,54,0)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hidden="1" x14ac:dyDescent="0.2">
      <c r="B8823" s="31">
        <v>8814</v>
      </c>
      <c r="J8823">
        <f t="shared" si="143"/>
        <v>105000</v>
      </c>
      <c r="K8823" t="e">
        <f>VLOOKUP(B8823,'REGISTRO ABONOS'!$B$8:$BC$10041,54,0)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hidden="1" x14ac:dyDescent="0.2">
      <c r="B8824" s="31">
        <v>8815</v>
      </c>
      <c r="J8824">
        <f t="shared" si="143"/>
        <v>105000</v>
      </c>
      <c r="K8824" t="e">
        <f>VLOOKUP(B8824,'REGISTRO ABONOS'!$B$8:$BC$10041,54,0)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hidden="1" x14ac:dyDescent="0.2">
      <c r="B8825" s="31">
        <v>8816</v>
      </c>
      <c r="J8825">
        <f t="shared" si="143"/>
        <v>105000</v>
      </c>
      <c r="K8825" t="e">
        <f>VLOOKUP(B8825,'REGISTRO ABONOS'!$B$8:$BC$10041,54,0)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hidden="1" x14ac:dyDescent="0.2">
      <c r="B8826" s="31">
        <v>8817</v>
      </c>
      <c r="J8826">
        <f t="shared" si="143"/>
        <v>105000</v>
      </c>
      <c r="K8826" t="e">
        <f>VLOOKUP(B8826,'REGISTRO ABONOS'!$B$8:$BC$10041,54,0)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hidden="1" x14ac:dyDescent="0.2">
      <c r="B8827" s="31">
        <v>8818</v>
      </c>
      <c r="J8827">
        <f t="shared" si="143"/>
        <v>105000</v>
      </c>
      <c r="K8827" t="e">
        <f>VLOOKUP(B8827,'REGISTRO ABONOS'!$B$8:$BC$10041,54,0)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hidden="1" x14ac:dyDescent="0.2">
      <c r="B8828" s="31">
        <v>8819</v>
      </c>
      <c r="J8828">
        <f t="shared" si="143"/>
        <v>105000</v>
      </c>
      <c r="K8828" t="e">
        <f>VLOOKUP(B8828,'REGISTRO ABONOS'!$B$8:$BC$10041,54,0)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hidden="1" x14ac:dyDescent="0.2">
      <c r="B8829" s="31">
        <v>8820</v>
      </c>
      <c r="J8829">
        <f t="shared" si="143"/>
        <v>105000</v>
      </c>
      <c r="K8829" t="e">
        <f>VLOOKUP(B8829,'REGISTRO ABONOS'!$B$8:$BC$10041,54,0)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hidden="1" x14ac:dyDescent="0.2">
      <c r="B8830" s="31">
        <v>8821</v>
      </c>
      <c r="J8830">
        <f t="shared" si="143"/>
        <v>105000</v>
      </c>
      <c r="K8830" t="e">
        <f>VLOOKUP(B8830,'REGISTRO ABONOS'!$B$8:$BC$10041,54,0)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hidden="1" x14ac:dyDescent="0.2">
      <c r="B8831" s="31">
        <v>8822</v>
      </c>
      <c r="J8831">
        <f t="shared" si="143"/>
        <v>105000</v>
      </c>
      <c r="K8831" t="e">
        <f>VLOOKUP(B8831,'REGISTRO ABONOS'!$B$8:$BC$10041,54,0)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hidden="1" x14ac:dyDescent="0.2">
      <c r="B8832" s="31">
        <v>8823</v>
      </c>
      <c r="J8832">
        <f t="shared" si="143"/>
        <v>105000</v>
      </c>
      <c r="K8832" t="e">
        <f>VLOOKUP(B8832,'REGISTRO ABONOS'!$B$8:$BC$10041,54,0)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hidden="1" x14ac:dyDescent="0.2">
      <c r="B8833" s="31">
        <v>8824</v>
      </c>
      <c r="J8833">
        <f t="shared" si="143"/>
        <v>105000</v>
      </c>
      <c r="K8833" t="e">
        <f>VLOOKUP(B8833,'REGISTRO ABONOS'!$B$8:$BC$10041,54,0)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hidden="1" x14ac:dyDescent="0.2">
      <c r="B8834" s="31">
        <v>8825</v>
      </c>
      <c r="J8834">
        <f t="shared" si="143"/>
        <v>105000</v>
      </c>
      <c r="K8834" t="e">
        <f>VLOOKUP(B8834,'REGISTRO ABONOS'!$B$8:$BC$10041,54,0)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hidden="1" x14ac:dyDescent="0.2">
      <c r="B8835" s="31">
        <v>8826</v>
      </c>
      <c r="J8835">
        <f t="shared" si="143"/>
        <v>105000</v>
      </c>
      <c r="K8835" t="e">
        <f>VLOOKUP(B8835,'REGISTRO ABONOS'!$B$8:$BC$10041,54,0)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hidden="1" x14ac:dyDescent="0.2">
      <c r="B8836" s="31">
        <v>8827</v>
      </c>
      <c r="J8836">
        <f t="shared" si="143"/>
        <v>105000</v>
      </c>
      <c r="K8836" t="e">
        <f>VLOOKUP(B8836,'REGISTRO ABONOS'!$B$8:$BC$10041,54,0)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hidden="1" x14ac:dyDescent="0.2">
      <c r="B8837" s="31">
        <v>8828</v>
      </c>
      <c r="J8837">
        <f t="shared" si="143"/>
        <v>105000</v>
      </c>
      <c r="K8837" t="e">
        <f>VLOOKUP(B8837,'REGISTRO ABONOS'!$B$8:$BC$10041,54,0)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hidden="1" x14ac:dyDescent="0.2">
      <c r="B8838" s="31">
        <v>8829</v>
      </c>
      <c r="J8838">
        <f t="shared" si="143"/>
        <v>105000</v>
      </c>
      <c r="K8838" t="e">
        <f>VLOOKUP(B8838,'REGISTRO ABONOS'!$B$8:$BC$10041,54,0)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hidden="1" x14ac:dyDescent="0.2">
      <c r="B8839" s="31">
        <v>8830</v>
      </c>
      <c r="J8839">
        <f t="shared" si="143"/>
        <v>105000</v>
      </c>
      <c r="K8839" t="e">
        <f>VLOOKUP(B8839,'REGISTRO ABONOS'!$B$8:$BC$10041,54,0)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hidden="1" x14ac:dyDescent="0.2">
      <c r="B8840" s="31">
        <v>8831</v>
      </c>
      <c r="J8840">
        <f t="shared" si="143"/>
        <v>105000</v>
      </c>
      <c r="K8840" t="e">
        <f>VLOOKUP(B8840,'REGISTRO ABONOS'!$B$8:$BC$10041,54,0)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hidden="1" x14ac:dyDescent="0.2">
      <c r="B8841" s="31">
        <v>8832</v>
      </c>
      <c r="J8841">
        <f t="shared" si="143"/>
        <v>105000</v>
      </c>
      <c r="K8841" t="e">
        <f>VLOOKUP(B8841,'REGISTRO ABONOS'!$B$8:$BC$10041,54,0)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hidden="1" x14ac:dyDescent="0.2">
      <c r="B8842" s="31">
        <v>8833</v>
      </c>
      <c r="J8842">
        <f t="shared" si="143"/>
        <v>105000</v>
      </c>
      <c r="K8842" t="e">
        <f>VLOOKUP(B8842,'REGISTRO ABONOS'!$B$8:$BC$10041,54,0)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hidden="1" x14ac:dyDescent="0.2">
      <c r="B8843" s="31">
        <v>8834</v>
      </c>
      <c r="J8843">
        <f t="shared" si="143"/>
        <v>105000</v>
      </c>
      <c r="K8843" t="e">
        <f>VLOOKUP(B8843,'REGISTRO ABONOS'!$B$8:$BC$10041,54,0)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hidden="1" x14ac:dyDescent="0.2">
      <c r="B8844" s="31">
        <v>8835</v>
      </c>
      <c r="J8844">
        <f t="shared" si="143"/>
        <v>105000</v>
      </c>
      <c r="K8844" t="e">
        <f>VLOOKUP(B8844,'REGISTRO ABONOS'!$B$8:$BC$10041,54,0)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hidden="1" x14ac:dyDescent="0.2">
      <c r="B8845" s="31">
        <v>8836</v>
      </c>
      <c r="J8845">
        <f t="shared" si="143"/>
        <v>105000</v>
      </c>
      <c r="K8845" t="e">
        <f>VLOOKUP(B8845,'REGISTRO ABONOS'!$B$8:$BC$10041,54,0)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hidden="1" x14ac:dyDescent="0.2">
      <c r="B8846" s="31">
        <v>8837</v>
      </c>
      <c r="J8846">
        <f t="shared" si="143"/>
        <v>105000</v>
      </c>
      <c r="K8846" t="e">
        <f>VLOOKUP(B8846,'REGISTRO ABONOS'!$B$8:$BC$10041,54,0)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hidden="1" x14ac:dyDescent="0.2">
      <c r="B8847" s="31">
        <v>8838</v>
      </c>
      <c r="J8847">
        <f t="shared" si="143"/>
        <v>105000</v>
      </c>
      <c r="K8847" t="e">
        <f>VLOOKUP(B8847,'REGISTRO ABONOS'!$B$8:$BC$10041,54,0)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hidden="1" x14ac:dyDescent="0.2">
      <c r="B8848" s="31">
        <v>8839</v>
      </c>
      <c r="J8848">
        <f t="shared" si="143"/>
        <v>105000</v>
      </c>
      <c r="K8848" t="e">
        <f>VLOOKUP(B8848,'REGISTRO ABONOS'!$B$8:$BC$10041,54,0)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hidden="1" x14ac:dyDescent="0.2">
      <c r="B8849" s="31">
        <v>8840</v>
      </c>
      <c r="J8849">
        <f t="shared" si="143"/>
        <v>105000</v>
      </c>
      <c r="K8849" t="e">
        <f>VLOOKUP(B8849,'REGISTRO ABONOS'!$B$8:$BC$10041,54,0)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hidden="1" x14ac:dyDescent="0.2">
      <c r="B8850" s="31">
        <v>8841</v>
      </c>
      <c r="J8850">
        <f t="shared" si="143"/>
        <v>105000</v>
      </c>
      <c r="K8850" t="e">
        <f>VLOOKUP(B8850,'REGISTRO ABONOS'!$B$8:$BC$10041,54,0)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hidden="1" x14ac:dyDescent="0.2">
      <c r="B8851" s="31">
        <v>8842</v>
      </c>
      <c r="J8851">
        <f t="shared" si="143"/>
        <v>105000</v>
      </c>
      <c r="K8851" t="e">
        <f>VLOOKUP(B8851,'REGISTRO ABONOS'!$B$8:$BC$10041,54,0)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hidden="1" x14ac:dyDescent="0.2">
      <c r="B8852" s="31">
        <v>8843</v>
      </c>
      <c r="J8852">
        <f t="shared" si="143"/>
        <v>105000</v>
      </c>
      <c r="K8852" t="e">
        <f>VLOOKUP(B8852,'REGISTRO ABONOS'!$B$8:$BC$10041,54,0)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hidden="1" x14ac:dyDescent="0.2">
      <c r="B8853" s="31">
        <v>8844</v>
      </c>
      <c r="J8853">
        <f t="shared" si="143"/>
        <v>105000</v>
      </c>
      <c r="K8853" t="e">
        <f>VLOOKUP(B8853,'REGISTRO ABONOS'!$B$8:$BC$10041,54,0)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hidden="1" x14ac:dyDescent="0.2">
      <c r="B8854" s="31">
        <v>8845</v>
      </c>
      <c r="J8854">
        <f t="shared" si="143"/>
        <v>105000</v>
      </c>
      <c r="K8854" t="e">
        <f>VLOOKUP(B8854,'REGISTRO ABONOS'!$B$8:$BC$10041,54,0)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hidden="1" x14ac:dyDescent="0.2">
      <c r="B8855" s="31">
        <v>8846</v>
      </c>
      <c r="J8855">
        <f t="shared" si="143"/>
        <v>105000</v>
      </c>
      <c r="K8855" t="e">
        <f>VLOOKUP(B8855,'REGISTRO ABONOS'!$B$8:$BC$10041,54,0)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hidden="1" x14ac:dyDescent="0.2">
      <c r="B8856" s="31">
        <v>8847</v>
      </c>
      <c r="J8856">
        <f t="shared" si="143"/>
        <v>105000</v>
      </c>
      <c r="K8856" t="e">
        <f>VLOOKUP(B8856,'REGISTRO ABONOS'!$B$8:$BC$10041,54,0)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hidden="1" x14ac:dyDescent="0.2">
      <c r="B8857" s="31">
        <v>8848</v>
      </c>
      <c r="J8857">
        <f t="shared" si="143"/>
        <v>105000</v>
      </c>
      <c r="K8857" t="e">
        <f>VLOOKUP(B8857,'REGISTRO ABONOS'!$B$8:$BC$10041,54,0)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hidden="1" x14ac:dyDescent="0.2">
      <c r="B8858" s="31">
        <v>8849</v>
      </c>
      <c r="J8858">
        <f t="shared" si="143"/>
        <v>105000</v>
      </c>
      <c r="K8858" t="e">
        <f>VLOOKUP(B8858,'REGISTRO ABONOS'!$B$8:$BC$10041,54,0)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hidden="1" x14ac:dyDescent="0.2">
      <c r="B8859" s="31">
        <v>8850</v>
      </c>
      <c r="J8859">
        <f t="shared" si="143"/>
        <v>105000</v>
      </c>
      <c r="K8859" t="e">
        <f>VLOOKUP(B8859,'REGISTRO ABONOS'!$B$8:$BC$10041,54,0)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hidden="1" x14ac:dyDescent="0.2">
      <c r="B8860" s="31">
        <v>8851</v>
      </c>
      <c r="J8860">
        <f t="shared" si="143"/>
        <v>105000</v>
      </c>
      <c r="K8860" t="e">
        <f>VLOOKUP(B8860,'REGISTRO ABONOS'!$B$8:$BC$10041,54,0)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hidden="1" x14ac:dyDescent="0.2">
      <c r="B8861" s="31">
        <v>8852</v>
      </c>
      <c r="J8861">
        <f t="shared" si="143"/>
        <v>105000</v>
      </c>
      <c r="K8861" t="e">
        <f>VLOOKUP(B8861,'REGISTRO ABONOS'!$B$8:$BC$10041,54,0)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hidden="1" x14ac:dyDescent="0.2">
      <c r="B8862" s="31">
        <v>8853</v>
      </c>
      <c r="J8862">
        <f t="shared" si="143"/>
        <v>105000</v>
      </c>
      <c r="K8862" t="e">
        <f>VLOOKUP(B8862,'REGISTRO ABONOS'!$B$8:$BC$10041,54,0)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hidden="1" x14ac:dyDescent="0.2">
      <c r="B8863" s="31">
        <v>8854</v>
      </c>
      <c r="J8863">
        <f t="shared" si="143"/>
        <v>105000</v>
      </c>
      <c r="K8863" t="e">
        <f>VLOOKUP(B8863,'REGISTRO ABONOS'!$B$8:$BC$10041,54,0)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hidden="1" x14ac:dyDescent="0.2">
      <c r="B8864" s="31">
        <v>8855</v>
      </c>
      <c r="J8864">
        <f t="shared" si="143"/>
        <v>105000</v>
      </c>
      <c r="K8864" t="e">
        <f>VLOOKUP(B8864,'REGISTRO ABONOS'!$B$8:$BC$10041,54,0)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hidden="1" x14ac:dyDescent="0.2">
      <c r="B8865" s="31">
        <v>8856</v>
      </c>
      <c r="J8865">
        <f t="shared" si="143"/>
        <v>105000</v>
      </c>
      <c r="K8865" t="e">
        <f>VLOOKUP(B8865,'REGISTRO ABONOS'!$B$8:$BC$10041,54,0)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hidden="1" x14ac:dyDescent="0.2">
      <c r="B8866" s="31">
        <v>8857</v>
      </c>
      <c r="J8866">
        <f t="shared" si="143"/>
        <v>105000</v>
      </c>
      <c r="K8866" t="e">
        <f>VLOOKUP(B8866,'REGISTRO ABONOS'!$B$8:$BC$10041,54,0)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hidden="1" x14ac:dyDescent="0.2">
      <c r="B8867" s="31">
        <v>8858</v>
      </c>
      <c r="J8867">
        <f t="shared" si="143"/>
        <v>105000</v>
      </c>
      <c r="K8867" t="e">
        <f>VLOOKUP(B8867,'REGISTRO ABONOS'!$B$8:$BC$10041,54,0)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hidden="1" x14ac:dyDescent="0.2">
      <c r="B8868" s="31">
        <v>8859</v>
      </c>
      <c r="J8868">
        <f t="shared" si="143"/>
        <v>105000</v>
      </c>
      <c r="K8868" t="e">
        <f>VLOOKUP(B8868,'REGISTRO ABONOS'!$B$8:$BC$10041,54,0)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hidden="1" x14ac:dyDescent="0.2">
      <c r="B8869" s="31">
        <v>8860</v>
      </c>
      <c r="J8869">
        <f t="shared" si="143"/>
        <v>105000</v>
      </c>
      <c r="K8869" t="e">
        <f>VLOOKUP(B8869,'REGISTRO ABONOS'!$B$8:$BC$10041,54,0)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hidden="1" x14ac:dyDescent="0.2">
      <c r="B8870" s="31">
        <v>8861</v>
      </c>
      <c r="J8870">
        <f t="shared" si="143"/>
        <v>105000</v>
      </c>
      <c r="K8870" t="e">
        <f>VLOOKUP(B8870,'REGISTRO ABONOS'!$B$8:$BC$10041,54,0)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hidden="1" x14ac:dyDescent="0.2">
      <c r="B8871" s="31">
        <v>8862</v>
      </c>
      <c r="J8871">
        <f t="shared" si="143"/>
        <v>105000</v>
      </c>
      <c r="K8871" t="e">
        <f>VLOOKUP(B8871,'REGISTRO ABONOS'!$B$8:$BC$10041,54,0)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hidden="1" x14ac:dyDescent="0.2">
      <c r="B8872" s="31">
        <v>8863</v>
      </c>
      <c r="J8872">
        <f t="shared" si="143"/>
        <v>105000</v>
      </c>
      <c r="K8872" t="e">
        <f>VLOOKUP(B8872,'REGISTRO ABONOS'!$B$8:$BC$10041,54,0)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hidden="1" x14ac:dyDescent="0.2">
      <c r="B8873" s="31">
        <v>8864</v>
      </c>
      <c r="J8873">
        <f t="shared" si="143"/>
        <v>105000</v>
      </c>
      <c r="K8873" t="e">
        <f>VLOOKUP(B8873,'REGISTRO ABONOS'!$B$8:$BC$10041,54,0)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4">IF(C8874&gt;43607,130000,105000)</f>
        <v>105000</v>
      </c>
      <c r="K8874" t="e">
        <f>VLOOKUP(B8874,'REGISTRO ABONOS'!$B$8:$BC$10041,54,0)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hidden="1" x14ac:dyDescent="0.2">
      <c r="B8875" s="31">
        <v>8866</v>
      </c>
      <c r="J8875">
        <f t="shared" si="144"/>
        <v>105000</v>
      </c>
      <c r="K8875" t="e">
        <f>VLOOKUP(B8875,'REGISTRO ABONOS'!$B$8:$BC$10041,54,0)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hidden="1" x14ac:dyDescent="0.2">
      <c r="B8876" s="31">
        <v>8867</v>
      </c>
      <c r="J8876">
        <f t="shared" si="144"/>
        <v>105000</v>
      </c>
      <c r="K8876" t="e">
        <f>VLOOKUP(B8876,'REGISTRO ABONOS'!$B$8:$BC$10041,54,0)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hidden="1" x14ac:dyDescent="0.2">
      <c r="B8877" s="31">
        <v>8868</v>
      </c>
      <c r="J8877">
        <f t="shared" si="144"/>
        <v>105000</v>
      </c>
      <c r="K8877" t="e">
        <f>VLOOKUP(B8877,'REGISTRO ABONOS'!$B$8:$BC$10041,54,0)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hidden="1" x14ac:dyDescent="0.2">
      <c r="B8878" s="31">
        <v>8869</v>
      </c>
      <c r="J8878">
        <f t="shared" si="144"/>
        <v>105000</v>
      </c>
      <c r="K8878" t="e">
        <f>VLOOKUP(B8878,'REGISTRO ABONOS'!$B$8:$BC$10041,54,0)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hidden="1" x14ac:dyDescent="0.2">
      <c r="B8879" s="31">
        <v>8870</v>
      </c>
      <c r="J8879">
        <f t="shared" si="144"/>
        <v>105000</v>
      </c>
      <c r="K8879" t="e">
        <f>VLOOKUP(B8879,'REGISTRO ABONOS'!$B$8:$BC$10041,54,0)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hidden="1" x14ac:dyDescent="0.2">
      <c r="B8880" s="31">
        <v>8871</v>
      </c>
      <c r="J8880">
        <f t="shared" si="144"/>
        <v>105000</v>
      </c>
      <c r="K8880" t="e">
        <f>VLOOKUP(B8880,'REGISTRO ABONOS'!$B$8:$BC$10041,54,0)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hidden="1" x14ac:dyDescent="0.2">
      <c r="B8881" s="31">
        <v>8872</v>
      </c>
      <c r="J8881">
        <f t="shared" si="144"/>
        <v>105000</v>
      </c>
      <c r="K8881" t="e">
        <f>VLOOKUP(B8881,'REGISTRO ABONOS'!$B$8:$BC$10041,54,0)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hidden="1" x14ac:dyDescent="0.2">
      <c r="B8882" s="31">
        <v>8873</v>
      </c>
      <c r="J8882">
        <f t="shared" si="144"/>
        <v>105000</v>
      </c>
      <c r="K8882" t="e">
        <f>VLOOKUP(B8882,'REGISTRO ABONOS'!$B$8:$BC$10041,54,0)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hidden="1" x14ac:dyDescent="0.2">
      <c r="B8883" s="31">
        <v>8874</v>
      </c>
      <c r="J8883">
        <f t="shared" si="144"/>
        <v>105000</v>
      </c>
      <c r="K8883" t="e">
        <f>VLOOKUP(B8883,'REGISTRO ABONOS'!$B$8:$BC$10041,54,0)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hidden="1" x14ac:dyDescent="0.2">
      <c r="B8884" s="31">
        <v>8875</v>
      </c>
      <c r="J8884">
        <f t="shared" si="144"/>
        <v>105000</v>
      </c>
      <c r="K8884" t="e">
        <f>VLOOKUP(B8884,'REGISTRO ABONOS'!$B$8:$BC$10041,54,0)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hidden="1" x14ac:dyDescent="0.2">
      <c r="B8885" s="31">
        <v>8876</v>
      </c>
      <c r="J8885">
        <f t="shared" si="144"/>
        <v>105000</v>
      </c>
      <c r="K8885" t="e">
        <f>VLOOKUP(B8885,'REGISTRO ABONOS'!$B$8:$BC$10041,54,0)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hidden="1" x14ac:dyDescent="0.2">
      <c r="B8886" s="31">
        <v>8877</v>
      </c>
      <c r="J8886">
        <f t="shared" si="144"/>
        <v>105000</v>
      </c>
      <c r="K8886" t="e">
        <f>VLOOKUP(B8886,'REGISTRO ABONOS'!$B$8:$BC$10041,54,0)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hidden="1" x14ac:dyDescent="0.2">
      <c r="B8887" s="31">
        <v>8878</v>
      </c>
      <c r="J8887">
        <f t="shared" si="144"/>
        <v>105000</v>
      </c>
      <c r="K8887" t="e">
        <f>VLOOKUP(B8887,'REGISTRO ABONOS'!$B$8:$BC$10041,54,0)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4"/>
        <v>105000</v>
      </c>
      <c r="K8888" t="e">
        <f>VLOOKUP(B8888,'REGISTRO ABONOS'!$B$8:$BC$10041,54,0)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hidden="1" x14ac:dyDescent="0.2">
      <c r="B8889" s="31">
        <v>8880</v>
      </c>
      <c r="J8889">
        <f t="shared" si="144"/>
        <v>105000</v>
      </c>
      <c r="K8889" t="e">
        <f>VLOOKUP(B8889,'REGISTRO ABONOS'!$B$8:$BC$10041,54,0)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hidden="1" x14ac:dyDescent="0.2">
      <c r="B8890" s="31">
        <v>8881</v>
      </c>
      <c r="J8890">
        <f t="shared" si="144"/>
        <v>105000</v>
      </c>
      <c r="K8890" t="e">
        <f>VLOOKUP(B8890,'REGISTRO ABONOS'!$B$8:$BC$10041,54,0)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hidden="1" x14ac:dyDescent="0.2">
      <c r="B8891" s="31">
        <v>8882</v>
      </c>
      <c r="J8891">
        <f t="shared" si="144"/>
        <v>105000</v>
      </c>
      <c r="K8891" t="e">
        <f>VLOOKUP(B8891,'REGISTRO ABONOS'!$B$8:$BC$10041,54,0)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hidden="1" x14ac:dyDescent="0.2">
      <c r="B8892" s="31">
        <v>8883</v>
      </c>
      <c r="J8892">
        <f t="shared" si="144"/>
        <v>105000</v>
      </c>
      <c r="K8892" t="e">
        <f>VLOOKUP(B8892,'REGISTRO ABONOS'!$B$8:$BC$10041,54,0)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hidden="1" x14ac:dyDescent="0.2">
      <c r="B8893" s="31">
        <v>8884</v>
      </c>
      <c r="J8893">
        <f t="shared" si="144"/>
        <v>105000</v>
      </c>
      <c r="K8893" t="e">
        <f>VLOOKUP(B8893,'REGISTRO ABONOS'!$B$8:$BC$10041,54,0)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hidden="1" x14ac:dyDescent="0.2">
      <c r="B8894" s="31">
        <v>8885</v>
      </c>
      <c r="J8894">
        <f t="shared" si="144"/>
        <v>105000</v>
      </c>
      <c r="K8894" t="e">
        <f>VLOOKUP(B8894,'REGISTRO ABONOS'!$B$8:$BC$10041,54,0)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hidden="1" x14ac:dyDescent="0.2">
      <c r="B8895" s="31">
        <v>8886</v>
      </c>
      <c r="J8895">
        <f t="shared" si="144"/>
        <v>105000</v>
      </c>
      <c r="K8895" t="e">
        <f>VLOOKUP(B8895,'REGISTRO ABONOS'!$B$8:$BC$10041,54,0)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hidden="1" x14ac:dyDescent="0.2">
      <c r="B8896" s="31">
        <v>8887</v>
      </c>
      <c r="J8896">
        <f t="shared" si="144"/>
        <v>105000</v>
      </c>
      <c r="K8896" t="e">
        <f>VLOOKUP(B8896,'REGISTRO ABONOS'!$B$8:$BC$10041,54,0)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hidden="1" x14ac:dyDescent="0.2">
      <c r="B8897" s="31">
        <v>8888</v>
      </c>
      <c r="J8897">
        <f t="shared" si="144"/>
        <v>105000</v>
      </c>
      <c r="K8897" t="e">
        <f>VLOOKUP(B8897,'REGISTRO ABONOS'!$B$8:$BC$10041,54,0)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hidden="1" x14ac:dyDescent="0.2">
      <c r="B8898" s="31">
        <v>8889</v>
      </c>
      <c r="J8898">
        <f t="shared" si="144"/>
        <v>105000</v>
      </c>
      <c r="K8898" t="e">
        <f>VLOOKUP(B8898,'REGISTRO ABONOS'!$B$8:$BC$10041,54,0)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hidden="1" x14ac:dyDescent="0.2">
      <c r="B8899" s="31">
        <v>8890</v>
      </c>
      <c r="J8899">
        <f t="shared" si="144"/>
        <v>105000</v>
      </c>
      <c r="K8899" t="e">
        <f>VLOOKUP(B8899,'REGISTRO ABONOS'!$B$8:$BC$10041,54,0)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hidden="1" x14ac:dyDescent="0.2">
      <c r="B8900" s="31">
        <v>8891</v>
      </c>
      <c r="J8900">
        <f t="shared" si="144"/>
        <v>105000</v>
      </c>
      <c r="K8900" t="e">
        <f>VLOOKUP(B8900,'REGISTRO ABONOS'!$B$8:$BC$10041,54,0)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hidden="1" x14ac:dyDescent="0.2">
      <c r="B8901" s="31">
        <v>8892</v>
      </c>
      <c r="J8901">
        <f t="shared" si="144"/>
        <v>105000</v>
      </c>
      <c r="K8901" t="e">
        <f>VLOOKUP(B8901,'REGISTRO ABONOS'!$B$8:$BC$10041,54,0)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hidden="1" x14ac:dyDescent="0.2">
      <c r="B8902" s="31">
        <v>8893</v>
      </c>
      <c r="J8902">
        <f t="shared" si="144"/>
        <v>105000</v>
      </c>
      <c r="K8902" t="e">
        <f>VLOOKUP(B8902,'REGISTRO ABONOS'!$B$8:$BC$10041,54,0)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hidden="1" x14ac:dyDescent="0.2">
      <c r="B8903" s="31">
        <v>8894</v>
      </c>
      <c r="J8903">
        <f t="shared" si="144"/>
        <v>105000</v>
      </c>
      <c r="K8903" t="e">
        <f>VLOOKUP(B8903,'REGISTRO ABONOS'!$B$8:$BC$10041,54,0)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hidden="1" x14ac:dyDescent="0.2">
      <c r="B8904" s="31">
        <v>8895</v>
      </c>
      <c r="J8904">
        <f t="shared" si="144"/>
        <v>105000</v>
      </c>
      <c r="K8904" t="e">
        <f>VLOOKUP(B8904,'REGISTRO ABONOS'!$B$8:$BC$10041,54,0)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hidden="1" x14ac:dyDescent="0.2">
      <c r="B8905" s="31">
        <v>8896</v>
      </c>
      <c r="J8905">
        <f t="shared" si="144"/>
        <v>105000</v>
      </c>
      <c r="K8905" t="e">
        <f>VLOOKUP(B8905,'REGISTRO ABONOS'!$B$8:$BC$10041,54,0)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hidden="1" x14ac:dyDescent="0.2">
      <c r="B8906" s="31">
        <v>8897</v>
      </c>
      <c r="J8906">
        <f t="shared" si="144"/>
        <v>105000</v>
      </c>
      <c r="K8906" t="e">
        <f>VLOOKUP(B8906,'REGISTRO ABONOS'!$B$8:$BC$10041,54,0)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hidden="1" x14ac:dyDescent="0.2">
      <c r="B8907" s="31">
        <v>8898</v>
      </c>
      <c r="J8907">
        <f t="shared" si="144"/>
        <v>105000</v>
      </c>
      <c r="K8907" t="e">
        <f>VLOOKUP(B8907,'REGISTRO ABONOS'!$B$8:$BC$10041,54,0)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hidden="1" x14ac:dyDescent="0.2">
      <c r="B8908" s="31">
        <v>8899</v>
      </c>
      <c r="J8908">
        <f t="shared" si="144"/>
        <v>105000</v>
      </c>
      <c r="K8908" t="e">
        <f>VLOOKUP(B8908,'REGISTRO ABONOS'!$B$8:$BC$10041,54,0)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hidden="1" x14ac:dyDescent="0.2">
      <c r="B8909" s="31">
        <v>8900</v>
      </c>
      <c r="J8909">
        <f t="shared" si="144"/>
        <v>105000</v>
      </c>
      <c r="K8909" t="e">
        <f>VLOOKUP(B8909,'REGISTRO ABONOS'!$B$8:$BC$10041,54,0)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hidden="1" x14ac:dyDescent="0.2">
      <c r="B8910" s="31">
        <v>8901</v>
      </c>
      <c r="J8910">
        <f t="shared" si="144"/>
        <v>105000</v>
      </c>
      <c r="K8910" t="e">
        <f>VLOOKUP(B8910,'REGISTRO ABONOS'!$B$8:$BC$10041,54,0)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hidden="1" x14ac:dyDescent="0.2">
      <c r="B8911" s="31">
        <v>8902</v>
      </c>
      <c r="J8911">
        <f t="shared" si="144"/>
        <v>105000</v>
      </c>
      <c r="K8911" t="e">
        <f>VLOOKUP(B8911,'REGISTRO ABONOS'!$B$8:$BC$10041,54,0)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hidden="1" x14ac:dyDescent="0.2">
      <c r="B8912" s="31">
        <v>8903</v>
      </c>
      <c r="J8912">
        <f t="shared" si="144"/>
        <v>105000</v>
      </c>
      <c r="K8912" t="e">
        <f>VLOOKUP(B8912,'REGISTRO ABONOS'!$B$8:$BC$10041,54,0)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hidden="1" x14ac:dyDescent="0.2">
      <c r="B8913" s="31">
        <v>8904</v>
      </c>
      <c r="J8913">
        <f t="shared" si="144"/>
        <v>105000</v>
      </c>
      <c r="K8913" t="e">
        <f>VLOOKUP(B8913,'REGISTRO ABONOS'!$B$8:$BC$10041,54,0)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hidden="1" x14ac:dyDescent="0.2">
      <c r="B8914" s="31">
        <v>8905</v>
      </c>
      <c r="J8914">
        <f t="shared" si="144"/>
        <v>105000</v>
      </c>
      <c r="K8914" t="e">
        <f>VLOOKUP(B8914,'REGISTRO ABONOS'!$B$8:$BC$10041,54,0)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hidden="1" x14ac:dyDescent="0.2">
      <c r="B8915" s="31">
        <v>8906</v>
      </c>
      <c r="J8915">
        <f t="shared" si="144"/>
        <v>105000</v>
      </c>
      <c r="K8915" t="e">
        <f>VLOOKUP(B8915,'REGISTRO ABONOS'!$B$8:$BC$10041,54,0)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hidden="1" x14ac:dyDescent="0.2">
      <c r="B8916" s="31">
        <v>8907</v>
      </c>
      <c r="J8916">
        <f t="shared" si="144"/>
        <v>105000</v>
      </c>
      <c r="K8916" t="e">
        <f>VLOOKUP(B8916,'REGISTRO ABONOS'!$B$8:$BC$10041,54,0)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hidden="1" x14ac:dyDescent="0.2">
      <c r="B8917" s="31">
        <v>8908</v>
      </c>
      <c r="J8917">
        <f t="shared" si="144"/>
        <v>105000</v>
      </c>
      <c r="K8917" t="e">
        <f>VLOOKUP(B8917,'REGISTRO ABONOS'!$B$8:$BC$10041,54,0)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hidden="1" x14ac:dyDescent="0.2">
      <c r="B8918" s="31">
        <v>8909</v>
      </c>
      <c r="J8918">
        <f t="shared" si="144"/>
        <v>105000</v>
      </c>
      <c r="K8918" t="e">
        <f>VLOOKUP(B8918,'REGISTRO ABONOS'!$B$8:$BC$10041,54,0)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hidden="1" x14ac:dyDescent="0.2">
      <c r="B8919" s="31">
        <v>8910</v>
      </c>
      <c r="J8919">
        <f t="shared" si="144"/>
        <v>105000</v>
      </c>
      <c r="K8919" t="e">
        <f>VLOOKUP(B8919,'REGISTRO ABONOS'!$B$8:$BC$10041,54,0)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hidden="1" x14ac:dyDescent="0.2">
      <c r="B8920" s="31">
        <v>8911</v>
      </c>
      <c r="J8920">
        <f t="shared" si="144"/>
        <v>105000</v>
      </c>
      <c r="K8920" t="e">
        <f>VLOOKUP(B8920,'REGISTRO ABONOS'!$B$8:$BC$10041,54,0)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hidden="1" x14ac:dyDescent="0.2">
      <c r="B8921" s="31">
        <v>8912</v>
      </c>
      <c r="J8921">
        <f t="shared" si="144"/>
        <v>105000</v>
      </c>
      <c r="K8921" t="e">
        <f>VLOOKUP(B8921,'REGISTRO ABONOS'!$B$8:$BC$10041,54,0)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hidden="1" x14ac:dyDescent="0.2">
      <c r="B8922" s="31">
        <v>8913</v>
      </c>
      <c r="J8922">
        <f t="shared" si="144"/>
        <v>105000</v>
      </c>
      <c r="K8922" t="e">
        <f>VLOOKUP(B8922,'REGISTRO ABONOS'!$B$8:$BC$10041,54,0)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hidden="1" x14ac:dyDescent="0.2">
      <c r="B8923" s="31">
        <v>8914</v>
      </c>
      <c r="J8923">
        <f t="shared" si="144"/>
        <v>105000</v>
      </c>
      <c r="K8923" t="e">
        <f>VLOOKUP(B8923,'REGISTRO ABONOS'!$B$8:$BC$10041,54,0)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hidden="1" x14ac:dyDescent="0.2">
      <c r="B8924" s="31">
        <v>8915</v>
      </c>
      <c r="J8924">
        <f t="shared" si="144"/>
        <v>105000</v>
      </c>
      <c r="K8924" t="e">
        <f>VLOOKUP(B8924,'REGISTRO ABONOS'!$B$8:$BC$10041,54,0)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hidden="1" x14ac:dyDescent="0.2">
      <c r="B8925" s="31">
        <v>8916</v>
      </c>
      <c r="J8925">
        <f t="shared" si="144"/>
        <v>105000</v>
      </c>
      <c r="K8925" t="e">
        <f>VLOOKUP(B8925,'REGISTRO ABONOS'!$B$8:$BC$10041,54,0)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hidden="1" x14ac:dyDescent="0.2">
      <c r="B8926" s="31">
        <v>8917</v>
      </c>
      <c r="J8926">
        <f t="shared" si="144"/>
        <v>105000</v>
      </c>
      <c r="K8926" t="e">
        <f>VLOOKUP(B8926,'REGISTRO ABONOS'!$B$8:$BC$10041,54,0)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hidden="1" x14ac:dyDescent="0.2">
      <c r="B8927" s="31">
        <v>8918</v>
      </c>
      <c r="J8927">
        <f t="shared" si="144"/>
        <v>105000</v>
      </c>
      <c r="K8927" t="e">
        <f>VLOOKUP(B8927,'REGISTRO ABONOS'!$B$8:$BC$10041,54,0)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hidden="1" x14ac:dyDescent="0.2">
      <c r="B8928" s="31">
        <v>8919</v>
      </c>
      <c r="J8928">
        <f t="shared" si="144"/>
        <v>105000</v>
      </c>
      <c r="K8928" t="e">
        <f>VLOOKUP(B8928,'REGISTRO ABONOS'!$B$8:$BC$10041,54,0)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hidden="1" x14ac:dyDescent="0.2">
      <c r="B8929" s="31">
        <v>8920</v>
      </c>
      <c r="J8929">
        <f t="shared" si="144"/>
        <v>105000</v>
      </c>
      <c r="K8929" t="e">
        <f>VLOOKUP(B8929,'REGISTRO ABONOS'!$B$8:$BC$10041,54,0)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hidden="1" x14ac:dyDescent="0.2">
      <c r="B8930" s="31">
        <v>8921</v>
      </c>
      <c r="J8930">
        <f t="shared" si="144"/>
        <v>105000</v>
      </c>
      <c r="K8930" t="e">
        <f>VLOOKUP(B8930,'REGISTRO ABONOS'!$B$8:$BC$10041,54,0)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hidden="1" x14ac:dyDescent="0.2">
      <c r="B8931" s="31">
        <v>8922</v>
      </c>
      <c r="J8931">
        <f t="shared" si="144"/>
        <v>105000</v>
      </c>
      <c r="K8931" t="e">
        <f>VLOOKUP(B8931,'REGISTRO ABONOS'!$B$8:$BC$10041,54,0)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hidden="1" x14ac:dyDescent="0.2">
      <c r="B8932" s="31">
        <v>8923</v>
      </c>
      <c r="J8932">
        <f t="shared" si="144"/>
        <v>105000</v>
      </c>
      <c r="K8932" t="e">
        <f>VLOOKUP(B8932,'REGISTRO ABONOS'!$B$8:$BC$10041,54,0)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hidden="1" x14ac:dyDescent="0.2">
      <c r="B8933" s="31">
        <v>8924</v>
      </c>
      <c r="J8933">
        <f t="shared" si="144"/>
        <v>105000</v>
      </c>
      <c r="K8933" t="e">
        <f>VLOOKUP(B8933,'REGISTRO ABONOS'!$B$8:$BC$10041,54,0)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hidden="1" x14ac:dyDescent="0.2">
      <c r="B8934" s="31">
        <v>8925</v>
      </c>
      <c r="J8934">
        <f t="shared" si="144"/>
        <v>105000</v>
      </c>
      <c r="K8934" t="e">
        <f>VLOOKUP(B8934,'REGISTRO ABONOS'!$B$8:$BC$10041,54,0)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hidden="1" x14ac:dyDescent="0.2">
      <c r="B8935" s="31">
        <v>8926</v>
      </c>
      <c r="J8935">
        <f t="shared" si="144"/>
        <v>105000</v>
      </c>
      <c r="K8935" t="e">
        <f>VLOOKUP(B8935,'REGISTRO ABONOS'!$B$8:$BC$10041,54,0)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hidden="1" x14ac:dyDescent="0.2">
      <c r="B8936" s="31">
        <v>8927</v>
      </c>
      <c r="J8936">
        <f t="shared" si="144"/>
        <v>105000</v>
      </c>
      <c r="K8936" t="e">
        <f>VLOOKUP(B8936,'REGISTRO ABONOS'!$B$8:$BC$10041,54,0)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hidden="1" x14ac:dyDescent="0.2">
      <c r="B8937" s="31">
        <v>8928</v>
      </c>
      <c r="J8937">
        <f t="shared" si="144"/>
        <v>105000</v>
      </c>
      <c r="K8937" t="e">
        <f>VLOOKUP(B8937,'REGISTRO ABONOS'!$B$8:$BC$10041,54,0)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hidden="1" x14ac:dyDescent="0.2">
      <c r="B8938" s="31">
        <v>8929</v>
      </c>
      <c r="J8938">
        <f t="shared" ref="J8938:J9001" si="145">IF(C8938&gt;43607,130000,105000)</f>
        <v>105000</v>
      </c>
      <c r="K8938" t="e">
        <f>VLOOKUP(B8938,'REGISTRO ABONOS'!$B$8:$BC$10041,54,0)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hidden="1" x14ac:dyDescent="0.2">
      <c r="B8939" s="31">
        <v>8930</v>
      </c>
      <c r="J8939">
        <f t="shared" si="145"/>
        <v>105000</v>
      </c>
      <c r="K8939" t="e">
        <f>VLOOKUP(B8939,'REGISTRO ABONOS'!$B$8:$BC$10041,54,0)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hidden="1" x14ac:dyDescent="0.2">
      <c r="B8940" s="31">
        <v>8931</v>
      </c>
      <c r="J8940">
        <f t="shared" si="145"/>
        <v>105000</v>
      </c>
      <c r="K8940" t="e">
        <f>VLOOKUP(B8940,'REGISTRO ABONOS'!$B$8:$BC$10041,54,0)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hidden="1" x14ac:dyDescent="0.2">
      <c r="B8941" s="31">
        <v>8932</v>
      </c>
      <c r="J8941">
        <f t="shared" si="145"/>
        <v>105000</v>
      </c>
      <c r="K8941" t="e">
        <f>VLOOKUP(B8941,'REGISTRO ABONOS'!$B$8:$BC$10041,54,0)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hidden="1" x14ac:dyDescent="0.2">
      <c r="B8942" s="31">
        <v>8933</v>
      </c>
      <c r="J8942">
        <f t="shared" si="145"/>
        <v>105000</v>
      </c>
      <c r="K8942" t="e">
        <f>VLOOKUP(B8942,'REGISTRO ABONOS'!$B$8:$BC$10041,54,0)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hidden="1" x14ac:dyDescent="0.2">
      <c r="B8943" s="31">
        <v>8934</v>
      </c>
      <c r="J8943">
        <f t="shared" si="145"/>
        <v>105000</v>
      </c>
      <c r="K8943" t="e">
        <f>VLOOKUP(B8943,'REGISTRO ABONOS'!$B$8:$BC$10041,54,0)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hidden="1" x14ac:dyDescent="0.2">
      <c r="B8944" s="31">
        <v>8935</v>
      </c>
      <c r="J8944">
        <f t="shared" si="145"/>
        <v>105000</v>
      </c>
      <c r="K8944" t="e">
        <f>VLOOKUP(B8944,'REGISTRO ABONOS'!$B$8:$BC$10041,54,0)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hidden="1" x14ac:dyDescent="0.2">
      <c r="B8945" s="31">
        <v>8936</v>
      </c>
      <c r="J8945">
        <f t="shared" si="145"/>
        <v>105000</v>
      </c>
      <c r="K8945" t="e">
        <f>VLOOKUP(B8945,'REGISTRO ABONOS'!$B$8:$BC$10041,54,0)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hidden="1" x14ac:dyDescent="0.2">
      <c r="B8946" s="31">
        <v>8937</v>
      </c>
      <c r="J8946">
        <f t="shared" si="145"/>
        <v>105000</v>
      </c>
      <c r="K8946" t="e">
        <f>VLOOKUP(B8946,'REGISTRO ABONOS'!$B$8:$BC$10041,54,0)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hidden="1" x14ac:dyDescent="0.2">
      <c r="B8947" s="31">
        <v>8938</v>
      </c>
      <c r="J8947">
        <f t="shared" si="145"/>
        <v>105000</v>
      </c>
      <c r="K8947" t="e">
        <f>VLOOKUP(B8947,'REGISTRO ABONOS'!$B$8:$BC$10041,54,0)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hidden="1" x14ac:dyDescent="0.2">
      <c r="B8948" s="31">
        <v>8939</v>
      </c>
      <c r="J8948">
        <f t="shared" si="145"/>
        <v>105000</v>
      </c>
      <c r="K8948" t="e">
        <f>VLOOKUP(B8948,'REGISTRO ABONOS'!$B$8:$BC$10041,54,0)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hidden="1" x14ac:dyDescent="0.2">
      <c r="B8949" s="31">
        <v>8940</v>
      </c>
      <c r="J8949">
        <f t="shared" si="145"/>
        <v>105000</v>
      </c>
      <c r="K8949" t="e">
        <f>VLOOKUP(B8949,'REGISTRO ABONOS'!$B$8:$BC$10041,54,0)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hidden="1" x14ac:dyDescent="0.2">
      <c r="B8950" s="31">
        <v>8941</v>
      </c>
      <c r="J8950">
        <f t="shared" si="145"/>
        <v>105000</v>
      </c>
      <c r="K8950" t="e">
        <f>VLOOKUP(B8950,'REGISTRO ABONOS'!$B$8:$BC$10041,54,0)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hidden="1" x14ac:dyDescent="0.2">
      <c r="B8951" s="31">
        <v>8942</v>
      </c>
      <c r="J8951">
        <f t="shared" si="145"/>
        <v>105000</v>
      </c>
      <c r="K8951" t="e">
        <f>VLOOKUP(B8951,'REGISTRO ABONOS'!$B$8:$BC$10041,54,0)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hidden="1" x14ac:dyDescent="0.2">
      <c r="B8952" s="31">
        <v>8943</v>
      </c>
      <c r="J8952">
        <f t="shared" si="145"/>
        <v>105000</v>
      </c>
      <c r="K8952" t="e">
        <f>VLOOKUP(B8952,'REGISTRO ABONOS'!$B$8:$BC$10041,54,0)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hidden="1" x14ac:dyDescent="0.2">
      <c r="B8953" s="31">
        <v>8944</v>
      </c>
      <c r="J8953">
        <f t="shared" si="145"/>
        <v>105000</v>
      </c>
      <c r="K8953" t="e">
        <f>VLOOKUP(B8953,'REGISTRO ABONOS'!$B$8:$BC$10041,54,0)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hidden="1" x14ac:dyDescent="0.2">
      <c r="B8954" s="31">
        <v>8945</v>
      </c>
      <c r="J8954">
        <f t="shared" si="145"/>
        <v>105000</v>
      </c>
      <c r="K8954" t="e">
        <f>VLOOKUP(B8954,'REGISTRO ABONOS'!$B$8:$BC$10041,54,0)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hidden="1" x14ac:dyDescent="0.2">
      <c r="B8955" s="31">
        <v>8946</v>
      </c>
      <c r="J8955">
        <f t="shared" si="145"/>
        <v>105000</v>
      </c>
      <c r="K8955" t="e">
        <f>VLOOKUP(B8955,'REGISTRO ABONOS'!$B$8:$BC$10041,54,0)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hidden="1" x14ac:dyDescent="0.2">
      <c r="B8956" s="31">
        <v>8947</v>
      </c>
      <c r="J8956">
        <f t="shared" si="145"/>
        <v>105000</v>
      </c>
      <c r="K8956" t="e">
        <f>VLOOKUP(B8956,'REGISTRO ABONOS'!$B$8:$BC$10041,54,0)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hidden="1" x14ac:dyDescent="0.2">
      <c r="B8957" s="31">
        <v>8948</v>
      </c>
      <c r="J8957">
        <f t="shared" si="145"/>
        <v>105000</v>
      </c>
      <c r="K8957" t="e">
        <f>VLOOKUP(B8957,'REGISTRO ABONOS'!$B$8:$BC$10041,54,0)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hidden="1" x14ac:dyDescent="0.2">
      <c r="B8958" s="31">
        <v>8949</v>
      </c>
      <c r="J8958">
        <f t="shared" si="145"/>
        <v>105000</v>
      </c>
      <c r="K8958" t="e">
        <f>VLOOKUP(B8958,'REGISTRO ABONOS'!$B$8:$BC$10041,54,0)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hidden="1" x14ac:dyDescent="0.2">
      <c r="B8959" s="31">
        <v>8950</v>
      </c>
      <c r="J8959">
        <f t="shared" si="145"/>
        <v>105000</v>
      </c>
      <c r="K8959" t="e">
        <f>VLOOKUP(B8959,'REGISTRO ABONOS'!$B$8:$BC$10041,54,0)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hidden="1" x14ac:dyDescent="0.2">
      <c r="B8960" s="31">
        <v>8951</v>
      </c>
      <c r="J8960">
        <f t="shared" si="145"/>
        <v>105000</v>
      </c>
      <c r="K8960" t="e">
        <f>VLOOKUP(B8960,'REGISTRO ABONOS'!$B$8:$BC$10041,54,0)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hidden="1" x14ac:dyDescent="0.2">
      <c r="B8961" s="31">
        <v>8952</v>
      </c>
      <c r="J8961">
        <f t="shared" si="145"/>
        <v>105000</v>
      </c>
      <c r="K8961" t="e">
        <f>VLOOKUP(B8961,'REGISTRO ABONOS'!$B$8:$BC$10041,54,0)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hidden="1" x14ac:dyDescent="0.2">
      <c r="B8962" s="31">
        <v>8953</v>
      </c>
      <c r="J8962">
        <f t="shared" si="145"/>
        <v>105000</v>
      </c>
      <c r="K8962" t="e">
        <f>VLOOKUP(B8962,'REGISTRO ABONOS'!$B$8:$BC$10041,54,0)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hidden="1" x14ac:dyDescent="0.2">
      <c r="B8963" s="31">
        <v>8954</v>
      </c>
      <c r="J8963">
        <f t="shared" si="145"/>
        <v>105000</v>
      </c>
      <c r="K8963" t="e">
        <f>VLOOKUP(B8963,'REGISTRO ABONOS'!$B$8:$BC$10041,54,0)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hidden="1" x14ac:dyDescent="0.2">
      <c r="B8964" s="31">
        <v>8955</v>
      </c>
      <c r="J8964">
        <f t="shared" si="145"/>
        <v>105000</v>
      </c>
      <c r="K8964" t="e">
        <f>VLOOKUP(B8964,'REGISTRO ABONOS'!$B$8:$BC$10041,54,0)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hidden="1" x14ac:dyDescent="0.2">
      <c r="B8965" s="31">
        <v>8956</v>
      </c>
      <c r="J8965">
        <f t="shared" si="145"/>
        <v>105000</v>
      </c>
      <c r="K8965" t="e">
        <f>VLOOKUP(B8965,'REGISTRO ABONOS'!$B$8:$BC$10041,54,0)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hidden="1" x14ac:dyDescent="0.2">
      <c r="B8966" s="31">
        <v>8957</v>
      </c>
      <c r="J8966">
        <f t="shared" si="145"/>
        <v>105000</v>
      </c>
      <c r="K8966" t="e">
        <f>VLOOKUP(B8966,'REGISTRO ABONOS'!$B$8:$BC$10041,54,0)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hidden="1" x14ac:dyDescent="0.2">
      <c r="B8967" s="31">
        <v>8958</v>
      </c>
      <c r="J8967">
        <f t="shared" si="145"/>
        <v>105000</v>
      </c>
      <c r="K8967" t="e">
        <f>VLOOKUP(B8967,'REGISTRO ABONOS'!$B$8:$BC$10041,54,0)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hidden="1" x14ac:dyDescent="0.2">
      <c r="B8968" s="31">
        <v>8959</v>
      </c>
      <c r="J8968">
        <f t="shared" si="145"/>
        <v>105000</v>
      </c>
      <c r="K8968" t="e">
        <f>VLOOKUP(B8968,'REGISTRO ABONOS'!$B$8:$BC$10041,54,0)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hidden="1" x14ac:dyDescent="0.2">
      <c r="B8969" s="31">
        <v>8960</v>
      </c>
      <c r="J8969">
        <f t="shared" si="145"/>
        <v>105000</v>
      </c>
      <c r="K8969" t="e">
        <f>VLOOKUP(B8969,'REGISTRO ABONOS'!$B$8:$BC$10041,54,0)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hidden="1" x14ac:dyDescent="0.2">
      <c r="B8970" s="31">
        <v>8961</v>
      </c>
      <c r="J8970">
        <f t="shared" si="145"/>
        <v>105000</v>
      </c>
      <c r="K8970" t="e">
        <f>VLOOKUP(B8970,'REGISTRO ABONOS'!$B$8:$BC$10041,54,0)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hidden="1" x14ac:dyDescent="0.2">
      <c r="B8971" s="31">
        <v>8962</v>
      </c>
      <c r="J8971">
        <f t="shared" si="145"/>
        <v>105000</v>
      </c>
      <c r="K8971" t="e">
        <f>VLOOKUP(B8971,'REGISTRO ABONOS'!$B$8:$BC$10041,54,0)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hidden="1" x14ac:dyDescent="0.2">
      <c r="B8972" s="31">
        <v>8963</v>
      </c>
      <c r="J8972">
        <f t="shared" si="145"/>
        <v>105000</v>
      </c>
      <c r="K8972" t="e">
        <f>VLOOKUP(B8972,'REGISTRO ABONOS'!$B$8:$BC$10041,54,0)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hidden="1" x14ac:dyDescent="0.2">
      <c r="B8973" s="31">
        <v>8964</v>
      </c>
      <c r="J8973">
        <f t="shared" si="145"/>
        <v>105000</v>
      </c>
      <c r="K8973" t="e">
        <f>VLOOKUP(B8973,'REGISTRO ABONOS'!$B$8:$BC$10041,54,0)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hidden="1" x14ac:dyDescent="0.2">
      <c r="B8974" s="31">
        <v>8965</v>
      </c>
      <c r="J8974">
        <f t="shared" si="145"/>
        <v>105000</v>
      </c>
      <c r="K8974" t="e">
        <f>VLOOKUP(B8974,'REGISTRO ABONOS'!$B$8:$BC$10041,54,0)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hidden="1" x14ac:dyDescent="0.2">
      <c r="B8975" s="31">
        <v>8966</v>
      </c>
      <c r="J8975">
        <f t="shared" si="145"/>
        <v>105000</v>
      </c>
      <c r="K8975" t="e">
        <f>VLOOKUP(B8975,'REGISTRO ABONOS'!$B$8:$BC$10041,54,0)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hidden="1" x14ac:dyDescent="0.2">
      <c r="B8976" s="31">
        <v>8967</v>
      </c>
      <c r="J8976">
        <f t="shared" si="145"/>
        <v>105000</v>
      </c>
      <c r="K8976" t="e">
        <f>VLOOKUP(B8976,'REGISTRO ABONOS'!$B$8:$BC$10041,54,0)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hidden="1" x14ac:dyDescent="0.2">
      <c r="B8977" s="31">
        <v>8968</v>
      </c>
      <c r="J8977">
        <f t="shared" si="145"/>
        <v>105000</v>
      </c>
      <c r="K8977" t="e">
        <f>VLOOKUP(B8977,'REGISTRO ABONOS'!$B$8:$BC$10041,54,0)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hidden="1" x14ac:dyDescent="0.2">
      <c r="B8978" s="31">
        <v>8969</v>
      </c>
      <c r="J8978">
        <f t="shared" si="145"/>
        <v>105000</v>
      </c>
      <c r="K8978" t="e">
        <f>VLOOKUP(B8978,'REGISTRO ABONOS'!$B$8:$BC$10041,54,0)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hidden="1" x14ac:dyDescent="0.2">
      <c r="B8979" s="31">
        <v>8970</v>
      </c>
      <c r="J8979">
        <f t="shared" si="145"/>
        <v>105000</v>
      </c>
      <c r="K8979" t="e">
        <f>VLOOKUP(B8979,'REGISTRO ABONOS'!$B$8:$BC$10041,54,0)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hidden="1" x14ac:dyDescent="0.2">
      <c r="B8980" s="31">
        <v>8971</v>
      </c>
      <c r="J8980">
        <f t="shared" si="145"/>
        <v>105000</v>
      </c>
      <c r="K8980" t="e">
        <f>VLOOKUP(B8980,'REGISTRO ABONOS'!$B$8:$BC$10041,54,0)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hidden="1" x14ac:dyDescent="0.2">
      <c r="B8981" s="31">
        <v>8972</v>
      </c>
      <c r="J8981">
        <f t="shared" si="145"/>
        <v>105000</v>
      </c>
      <c r="K8981" t="e">
        <f>VLOOKUP(B8981,'REGISTRO ABONOS'!$B$8:$BC$10041,54,0)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hidden="1" x14ac:dyDescent="0.2">
      <c r="B8982" s="31">
        <v>8973</v>
      </c>
      <c r="J8982">
        <f t="shared" si="145"/>
        <v>105000</v>
      </c>
      <c r="K8982" t="e">
        <f>VLOOKUP(B8982,'REGISTRO ABONOS'!$B$8:$BC$10041,54,0)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hidden="1" x14ac:dyDescent="0.2">
      <c r="B8983" s="31">
        <v>8974</v>
      </c>
      <c r="J8983">
        <f t="shared" si="145"/>
        <v>105000</v>
      </c>
      <c r="K8983" t="e">
        <f>VLOOKUP(B8983,'REGISTRO ABONOS'!$B$8:$BC$10041,54,0)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hidden="1" x14ac:dyDescent="0.2">
      <c r="B8984" s="31">
        <v>8975</v>
      </c>
      <c r="J8984">
        <f t="shared" si="145"/>
        <v>105000</v>
      </c>
      <c r="K8984" t="e">
        <f>VLOOKUP(B8984,'REGISTRO ABONOS'!$B$8:$BC$10041,54,0)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hidden="1" x14ac:dyDescent="0.2">
      <c r="B8985" s="31">
        <v>8976</v>
      </c>
      <c r="J8985">
        <f t="shared" si="145"/>
        <v>105000</v>
      </c>
      <c r="K8985" t="e">
        <f>VLOOKUP(B8985,'REGISTRO ABONOS'!$B$8:$BC$10041,54,0)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hidden="1" x14ac:dyDescent="0.2">
      <c r="B8986" s="31">
        <v>8977</v>
      </c>
      <c r="J8986">
        <f t="shared" si="145"/>
        <v>105000</v>
      </c>
      <c r="K8986" t="e">
        <f>VLOOKUP(B8986,'REGISTRO ABONOS'!$B$8:$BC$10041,54,0)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hidden="1" x14ac:dyDescent="0.2">
      <c r="B8987" s="31">
        <v>8978</v>
      </c>
      <c r="J8987">
        <f t="shared" si="145"/>
        <v>105000</v>
      </c>
      <c r="K8987" t="e">
        <f>VLOOKUP(B8987,'REGISTRO ABONOS'!$B$8:$BC$10041,54,0)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hidden="1" x14ac:dyDescent="0.2">
      <c r="B8988" s="31">
        <v>8979</v>
      </c>
      <c r="J8988">
        <f t="shared" si="145"/>
        <v>105000</v>
      </c>
      <c r="K8988" t="e">
        <f>VLOOKUP(B8988,'REGISTRO ABONOS'!$B$8:$BC$10041,54,0)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hidden="1" x14ac:dyDescent="0.2">
      <c r="B8989" s="31">
        <v>8980</v>
      </c>
      <c r="J8989">
        <f t="shared" si="145"/>
        <v>105000</v>
      </c>
      <c r="K8989" t="e">
        <f>VLOOKUP(B8989,'REGISTRO ABONOS'!$B$8:$BC$10041,54,0)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hidden="1" x14ac:dyDescent="0.2">
      <c r="B8990" s="31">
        <v>8981</v>
      </c>
      <c r="J8990">
        <f t="shared" si="145"/>
        <v>105000</v>
      </c>
      <c r="K8990" t="e">
        <f>VLOOKUP(B8990,'REGISTRO ABONOS'!$B$8:$BC$10041,54,0)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hidden="1" x14ac:dyDescent="0.2">
      <c r="B8991" s="31">
        <v>8982</v>
      </c>
      <c r="J8991">
        <f t="shared" si="145"/>
        <v>105000</v>
      </c>
      <c r="K8991" t="e">
        <f>VLOOKUP(B8991,'REGISTRO ABONOS'!$B$8:$BC$10041,54,0)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hidden="1" x14ac:dyDescent="0.2">
      <c r="B8992" s="31">
        <v>8983</v>
      </c>
      <c r="J8992">
        <f t="shared" si="145"/>
        <v>105000</v>
      </c>
      <c r="K8992" t="e">
        <f>VLOOKUP(B8992,'REGISTRO ABONOS'!$B$8:$BC$10041,54,0)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hidden="1" x14ac:dyDescent="0.2">
      <c r="B8993" s="31">
        <v>8984</v>
      </c>
      <c r="J8993">
        <f t="shared" si="145"/>
        <v>105000</v>
      </c>
      <c r="K8993" t="e">
        <f>VLOOKUP(B8993,'REGISTRO ABONOS'!$B$8:$BC$10041,54,0)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hidden="1" x14ac:dyDescent="0.2">
      <c r="B8994" s="31">
        <v>8985</v>
      </c>
      <c r="J8994">
        <f t="shared" si="145"/>
        <v>105000</v>
      </c>
      <c r="K8994" t="e">
        <f>VLOOKUP(B8994,'REGISTRO ABONOS'!$B$8:$BC$10041,54,0)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hidden="1" x14ac:dyDescent="0.2">
      <c r="B8995" s="31">
        <v>8986</v>
      </c>
      <c r="J8995">
        <f t="shared" si="145"/>
        <v>105000</v>
      </c>
      <c r="K8995" t="e">
        <f>VLOOKUP(B8995,'REGISTRO ABONOS'!$B$8:$BC$10041,54,0)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hidden="1" x14ac:dyDescent="0.2">
      <c r="B8996" s="31">
        <v>8987</v>
      </c>
      <c r="J8996">
        <f t="shared" si="145"/>
        <v>105000</v>
      </c>
      <c r="K8996" t="e">
        <f>VLOOKUP(B8996,'REGISTRO ABONOS'!$B$8:$BC$10041,54,0)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hidden="1" x14ac:dyDescent="0.2">
      <c r="B8997" s="31">
        <v>8988</v>
      </c>
      <c r="J8997">
        <f t="shared" si="145"/>
        <v>105000</v>
      </c>
      <c r="K8997" t="e">
        <f>VLOOKUP(B8997,'REGISTRO ABONOS'!$B$8:$BC$10041,54,0)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hidden="1" x14ac:dyDescent="0.2">
      <c r="B8998" s="31">
        <v>8989</v>
      </c>
      <c r="J8998">
        <f t="shared" si="145"/>
        <v>105000</v>
      </c>
      <c r="K8998" t="e">
        <f>VLOOKUP(B8998,'REGISTRO ABONOS'!$B$8:$BC$10041,54,0)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hidden="1" x14ac:dyDescent="0.2">
      <c r="B8999" s="31">
        <v>8990</v>
      </c>
      <c r="J8999">
        <f t="shared" si="145"/>
        <v>105000</v>
      </c>
      <c r="K8999" t="e">
        <f>VLOOKUP(B8999,'REGISTRO ABONOS'!$B$8:$BC$10041,54,0)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hidden="1" x14ac:dyDescent="0.2">
      <c r="B9000" s="31">
        <v>8991</v>
      </c>
      <c r="J9000">
        <f t="shared" si="145"/>
        <v>105000</v>
      </c>
      <c r="K9000" t="e">
        <f>VLOOKUP(B9000,'REGISTRO ABONOS'!$B$8:$BC$10041,54,0)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hidden="1" x14ac:dyDescent="0.2">
      <c r="B9001" s="31">
        <v>8992</v>
      </c>
      <c r="J9001">
        <f t="shared" si="145"/>
        <v>105000</v>
      </c>
      <c r="K9001" t="e">
        <f>VLOOKUP(B9001,'REGISTRO ABONOS'!$B$8:$BC$10041,54,0)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hidden="1" x14ac:dyDescent="0.2">
      <c r="B9002" s="31">
        <v>8993</v>
      </c>
      <c r="J9002">
        <f t="shared" ref="J9002:J9065" si="146">IF(C9002&gt;43607,130000,105000)</f>
        <v>105000</v>
      </c>
      <c r="K9002" t="e">
        <f>VLOOKUP(B9002,'REGISTRO ABONOS'!$B$8:$BC$10041,54,0)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hidden="1" x14ac:dyDescent="0.2">
      <c r="B9003" s="31">
        <v>8994</v>
      </c>
      <c r="J9003">
        <f t="shared" si="146"/>
        <v>105000</v>
      </c>
      <c r="K9003" t="e">
        <f>VLOOKUP(B9003,'REGISTRO ABONOS'!$B$8:$BC$10041,54,0)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hidden="1" x14ac:dyDescent="0.2">
      <c r="B9004" s="31">
        <v>8995</v>
      </c>
      <c r="J9004">
        <f t="shared" si="146"/>
        <v>105000</v>
      </c>
      <c r="K9004" t="e">
        <f>VLOOKUP(B9004,'REGISTRO ABONOS'!$B$8:$BC$10041,54,0)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hidden="1" x14ac:dyDescent="0.2">
      <c r="B9005" s="31">
        <v>8996</v>
      </c>
      <c r="J9005">
        <f t="shared" si="146"/>
        <v>105000</v>
      </c>
      <c r="K9005" t="e">
        <f>VLOOKUP(B9005,'REGISTRO ABONOS'!$B$8:$BC$10041,54,0)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hidden="1" x14ac:dyDescent="0.2">
      <c r="B9006" s="31">
        <v>8997</v>
      </c>
      <c r="J9006">
        <f t="shared" si="146"/>
        <v>105000</v>
      </c>
      <c r="K9006" t="e">
        <f>VLOOKUP(B9006,'REGISTRO ABONOS'!$B$8:$BC$10041,54,0)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hidden="1" x14ac:dyDescent="0.2">
      <c r="B9007" s="31">
        <v>8998</v>
      </c>
      <c r="J9007">
        <f t="shared" si="146"/>
        <v>105000</v>
      </c>
      <c r="K9007" t="e">
        <f>VLOOKUP(B9007,'REGISTRO ABONOS'!$B$8:$BC$10041,54,0)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hidden="1" x14ac:dyDescent="0.2">
      <c r="B9008" s="31">
        <v>8999</v>
      </c>
      <c r="J9008">
        <f t="shared" si="146"/>
        <v>105000</v>
      </c>
      <c r="K9008" t="e">
        <f>VLOOKUP(B9008,'REGISTRO ABONOS'!$B$8:$BC$10041,54,0)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hidden="1" x14ac:dyDescent="0.2">
      <c r="B9009" s="31">
        <v>9000</v>
      </c>
      <c r="J9009">
        <f t="shared" si="146"/>
        <v>105000</v>
      </c>
      <c r="K9009" t="e">
        <f>VLOOKUP(B9009,'REGISTRO ABONOS'!$B$8:$BC$10041,54,0)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hidden="1" x14ac:dyDescent="0.2">
      <c r="B9010" s="31">
        <v>9001</v>
      </c>
      <c r="J9010">
        <f t="shared" si="146"/>
        <v>105000</v>
      </c>
      <c r="K9010" t="e">
        <f>VLOOKUP(B9010,'REGISTRO ABONOS'!$B$8:$BC$10041,54,0)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hidden="1" x14ac:dyDescent="0.2">
      <c r="B9011" s="31">
        <v>9002</v>
      </c>
      <c r="J9011">
        <f t="shared" si="146"/>
        <v>105000</v>
      </c>
      <c r="K9011" t="e">
        <f>VLOOKUP(B9011,'REGISTRO ABONOS'!$B$8:$BC$10041,54,0)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hidden="1" x14ac:dyDescent="0.2">
      <c r="B9012" s="31">
        <v>9003</v>
      </c>
      <c r="J9012">
        <f t="shared" si="146"/>
        <v>105000</v>
      </c>
      <c r="K9012" t="e">
        <f>VLOOKUP(B9012,'REGISTRO ABONOS'!$B$8:$BC$10041,54,0)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hidden="1" x14ac:dyDescent="0.2">
      <c r="B9013" s="31">
        <v>9004</v>
      </c>
      <c r="J9013">
        <f t="shared" si="146"/>
        <v>105000</v>
      </c>
      <c r="K9013" t="e">
        <f>VLOOKUP(B9013,'REGISTRO ABONOS'!$B$8:$BC$10041,54,0)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hidden="1" x14ac:dyDescent="0.2">
      <c r="B9014" s="31">
        <v>9005</v>
      </c>
      <c r="J9014">
        <f t="shared" si="146"/>
        <v>105000</v>
      </c>
      <c r="K9014" t="e">
        <f>VLOOKUP(B9014,'REGISTRO ABONOS'!$B$8:$BC$10041,54,0)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hidden="1" x14ac:dyDescent="0.2">
      <c r="B9015" s="31">
        <v>9006</v>
      </c>
      <c r="J9015">
        <f t="shared" si="146"/>
        <v>105000</v>
      </c>
      <c r="K9015" t="e">
        <f>VLOOKUP(B9015,'REGISTRO ABONOS'!$B$8:$BC$10041,54,0)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hidden="1" x14ac:dyDescent="0.2">
      <c r="B9016" s="31">
        <v>9007</v>
      </c>
      <c r="J9016">
        <f t="shared" si="146"/>
        <v>105000</v>
      </c>
      <c r="K9016" t="e">
        <f>VLOOKUP(B9016,'REGISTRO ABONOS'!$B$8:$BC$10041,54,0)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hidden="1" x14ac:dyDescent="0.2">
      <c r="B9017" s="31">
        <v>9008</v>
      </c>
      <c r="J9017">
        <f t="shared" si="146"/>
        <v>105000</v>
      </c>
      <c r="K9017" t="e">
        <f>VLOOKUP(B9017,'REGISTRO ABONOS'!$B$8:$BC$10041,54,0)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hidden="1" x14ac:dyDescent="0.2">
      <c r="B9018" s="31">
        <v>9009</v>
      </c>
      <c r="J9018">
        <f t="shared" si="146"/>
        <v>105000</v>
      </c>
      <c r="K9018" t="e">
        <f>VLOOKUP(B9018,'REGISTRO ABONOS'!$B$8:$BC$10041,54,0)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hidden="1" x14ac:dyDescent="0.2">
      <c r="B9019" s="31">
        <v>9010</v>
      </c>
      <c r="J9019">
        <f t="shared" si="146"/>
        <v>105000</v>
      </c>
      <c r="K9019" t="e">
        <f>VLOOKUP(B9019,'REGISTRO ABONOS'!$B$8:$BC$10041,54,0)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hidden="1" x14ac:dyDescent="0.2">
      <c r="B9020" s="31">
        <v>9011</v>
      </c>
      <c r="J9020">
        <f t="shared" si="146"/>
        <v>105000</v>
      </c>
      <c r="K9020" t="e">
        <f>VLOOKUP(B9020,'REGISTRO ABONOS'!$B$8:$BC$10041,54,0)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hidden="1" x14ac:dyDescent="0.2">
      <c r="B9021" s="31">
        <v>9012</v>
      </c>
      <c r="J9021">
        <f t="shared" si="146"/>
        <v>105000</v>
      </c>
      <c r="K9021" t="e">
        <f>VLOOKUP(B9021,'REGISTRO ABONOS'!$B$8:$BC$10041,54,0)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hidden="1" x14ac:dyDescent="0.2">
      <c r="B9022" s="31">
        <v>9013</v>
      </c>
      <c r="J9022">
        <f t="shared" si="146"/>
        <v>105000</v>
      </c>
      <c r="K9022" t="e">
        <f>VLOOKUP(B9022,'REGISTRO ABONOS'!$B$8:$BC$10041,54,0)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hidden="1" x14ac:dyDescent="0.2">
      <c r="B9023" s="31">
        <v>9014</v>
      </c>
      <c r="J9023">
        <f t="shared" si="146"/>
        <v>105000</v>
      </c>
      <c r="K9023" t="e">
        <f>VLOOKUP(B9023,'REGISTRO ABONOS'!$B$8:$BC$10041,54,0)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hidden="1" x14ac:dyDescent="0.2">
      <c r="B9024" s="31">
        <v>9015</v>
      </c>
      <c r="J9024">
        <f t="shared" si="146"/>
        <v>105000</v>
      </c>
      <c r="K9024" t="e">
        <f>VLOOKUP(B9024,'REGISTRO ABONOS'!$B$8:$BC$10041,54,0)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hidden="1" x14ac:dyDescent="0.2">
      <c r="B9025" s="31">
        <v>9016</v>
      </c>
      <c r="J9025">
        <f t="shared" si="146"/>
        <v>105000</v>
      </c>
      <c r="K9025" t="e">
        <f>VLOOKUP(B9025,'REGISTRO ABONOS'!$B$8:$BC$10041,54,0)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hidden="1" x14ac:dyDescent="0.2">
      <c r="B9026" s="31">
        <v>9017</v>
      </c>
      <c r="J9026">
        <f t="shared" si="146"/>
        <v>105000</v>
      </c>
      <c r="K9026" t="e">
        <f>VLOOKUP(B9026,'REGISTRO ABONOS'!$B$8:$BC$10041,54,0)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6"/>
        <v>105000</v>
      </c>
      <c r="K9027" t="e">
        <f>VLOOKUP(B9027,'REGISTRO ABONOS'!$B$8:$BC$10041,54,0)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hidden="1" x14ac:dyDescent="0.2">
      <c r="B9028" s="31">
        <v>9019</v>
      </c>
      <c r="J9028">
        <f t="shared" si="146"/>
        <v>105000</v>
      </c>
      <c r="K9028" t="e">
        <f>VLOOKUP(B9028,'REGISTRO ABONOS'!$B$8:$BC$10041,54,0)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hidden="1" x14ac:dyDescent="0.2">
      <c r="B9029" s="31">
        <v>9020</v>
      </c>
      <c r="J9029">
        <f t="shared" si="146"/>
        <v>105000</v>
      </c>
      <c r="K9029" t="e">
        <f>VLOOKUP(B9029,'REGISTRO ABONOS'!$B$8:$BC$10041,54,0)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hidden="1" x14ac:dyDescent="0.2">
      <c r="B9030" s="31">
        <v>9021</v>
      </c>
      <c r="J9030">
        <f t="shared" si="146"/>
        <v>105000</v>
      </c>
      <c r="K9030" t="e">
        <f>VLOOKUP(B9030,'REGISTRO ABONOS'!$B$8:$BC$10041,54,0)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hidden="1" x14ac:dyDescent="0.2">
      <c r="B9031" s="31">
        <v>9022</v>
      </c>
      <c r="J9031">
        <f t="shared" si="146"/>
        <v>105000</v>
      </c>
      <c r="K9031" t="e">
        <f>VLOOKUP(B9031,'REGISTRO ABONOS'!$B$8:$BC$10041,54,0)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hidden="1" x14ac:dyDescent="0.2">
      <c r="B9032" s="31">
        <v>9023</v>
      </c>
      <c r="J9032">
        <f t="shared" si="146"/>
        <v>105000</v>
      </c>
      <c r="K9032" t="e">
        <f>VLOOKUP(B9032,'REGISTRO ABONOS'!$B$8:$BC$10041,54,0)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hidden="1" x14ac:dyDescent="0.2">
      <c r="B9033" s="31">
        <v>9024</v>
      </c>
      <c r="J9033">
        <f t="shared" si="146"/>
        <v>105000</v>
      </c>
      <c r="K9033" t="e">
        <f>VLOOKUP(B9033,'REGISTRO ABONOS'!$B$8:$BC$10041,54,0)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hidden="1" x14ac:dyDescent="0.2">
      <c r="B9034" s="31">
        <v>9025</v>
      </c>
      <c r="J9034">
        <f t="shared" si="146"/>
        <v>105000</v>
      </c>
      <c r="K9034" t="e">
        <f>VLOOKUP(B9034,'REGISTRO ABONOS'!$B$8:$BC$10041,54,0)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hidden="1" x14ac:dyDescent="0.2">
      <c r="B9035" s="31">
        <v>9026</v>
      </c>
      <c r="J9035">
        <f t="shared" si="146"/>
        <v>105000</v>
      </c>
      <c r="K9035" t="e">
        <f>VLOOKUP(B9035,'REGISTRO ABONOS'!$B$8:$BC$10041,54,0)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hidden="1" x14ac:dyDescent="0.2">
      <c r="B9036" s="31">
        <v>9027</v>
      </c>
      <c r="J9036">
        <f t="shared" si="146"/>
        <v>105000</v>
      </c>
      <c r="K9036" t="e">
        <f>VLOOKUP(B9036,'REGISTRO ABONOS'!$B$8:$BC$10041,54,0)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hidden="1" x14ac:dyDescent="0.2">
      <c r="B9037" s="31">
        <v>9028</v>
      </c>
      <c r="J9037">
        <f t="shared" si="146"/>
        <v>105000</v>
      </c>
      <c r="K9037" t="e">
        <f>VLOOKUP(B9037,'REGISTRO ABONOS'!$B$8:$BC$10041,54,0)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hidden="1" x14ac:dyDescent="0.2">
      <c r="B9038" s="31">
        <v>9029</v>
      </c>
      <c r="J9038">
        <f t="shared" si="146"/>
        <v>105000</v>
      </c>
      <c r="K9038" t="e">
        <f>VLOOKUP(B9038,'REGISTRO ABONOS'!$B$8:$BC$10041,54,0)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hidden="1" x14ac:dyDescent="0.2">
      <c r="B9039" s="31">
        <v>9030</v>
      </c>
      <c r="J9039">
        <f t="shared" si="146"/>
        <v>105000</v>
      </c>
      <c r="K9039" t="e">
        <f>VLOOKUP(B9039,'REGISTRO ABONOS'!$B$8:$BC$10041,54,0)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hidden="1" x14ac:dyDescent="0.2">
      <c r="B9040" s="31">
        <v>9031</v>
      </c>
      <c r="J9040">
        <f t="shared" si="146"/>
        <v>105000</v>
      </c>
      <c r="K9040" t="e">
        <f>VLOOKUP(B9040,'REGISTRO ABONOS'!$B$8:$BC$10041,54,0)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hidden="1" x14ac:dyDescent="0.2">
      <c r="B9041" s="31">
        <v>9032</v>
      </c>
      <c r="J9041">
        <f t="shared" si="146"/>
        <v>105000</v>
      </c>
      <c r="K9041" t="e">
        <f>VLOOKUP(B9041,'REGISTRO ABONOS'!$B$8:$BC$10041,54,0)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hidden="1" x14ac:dyDescent="0.2">
      <c r="B9042" s="31">
        <v>9033</v>
      </c>
      <c r="J9042">
        <f t="shared" si="146"/>
        <v>105000</v>
      </c>
      <c r="K9042" t="e">
        <f>VLOOKUP(B9042,'REGISTRO ABONOS'!$B$8:$BC$10041,54,0)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hidden="1" x14ac:dyDescent="0.2">
      <c r="B9043" s="31">
        <v>9034</v>
      </c>
      <c r="J9043">
        <f t="shared" si="146"/>
        <v>105000</v>
      </c>
      <c r="K9043" t="e">
        <f>VLOOKUP(B9043,'REGISTRO ABONOS'!$B$8:$BC$10041,54,0)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hidden="1" x14ac:dyDescent="0.2">
      <c r="B9044" s="31">
        <v>9035</v>
      </c>
      <c r="J9044">
        <f t="shared" si="146"/>
        <v>105000</v>
      </c>
      <c r="K9044" t="e">
        <f>VLOOKUP(B9044,'REGISTRO ABONOS'!$B$8:$BC$10041,54,0)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hidden="1" x14ac:dyDescent="0.2">
      <c r="B9045" s="31">
        <v>9036</v>
      </c>
      <c r="J9045">
        <f t="shared" si="146"/>
        <v>105000</v>
      </c>
      <c r="K9045" t="e">
        <f>VLOOKUP(B9045,'REGISTRO ABONOS'!$B$8:$BC$10041,54,0)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hidden="1" x14ac:dyDescent="0.2">
      <c r="B9046" s="31">
        <v>9037</v>
      </c>
      <c r="J9046">
        <f t="shared" si="146"/>
        <v>105000</v>
      </c>
      <c r="K9046" t="e">
        <f>VLOOKUP(B9046,'REGISTRO ABONOS'!$B$8:$BC$10041,54,0)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hidden="1" x14ac:dyDescent="0.2">
      <c r="B9047" s="31">
        <v>9038</v>
      </c>
      <c r="J9047">
        <f t="shared" si="146"/>
        <v>105000</v>
      </c>
      <c r="K9047" t="e">
        <f>VLOOKUP(B9047,'REGISTRO ABONOS'!$B$8:$BC$10041,54,0)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hidden="1" x14ac:dyDescent="0.2">
      <c r="B9048" s="31">
        <v>9039</v>
      </c>
      <c r="J9048">
        <f t="shared" si="146"/>
        <v>105000</v>
      </c>
      <c r="K9048" t="e">
        <f>VLOOKUP(B9048,'REGISTRO ABONOS'!$B$8:$BC$10041,54,0)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hidden="1" x14ac:dyDescent="0.2">
      <c r="B9049" s="31">
        <v>9040</v>
      </c>
      <c r="J9049">
        <f t="shared" si="146"/>
        <v>105000</v>
      </c>
      <c r="K9049" t="e">
        <f>VLOOKUP(B9049,'REGISTRO ABONOS'!$B$8:$BC$10041,54,0)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hidden="1" x14ac:dyDescent="0.2">
      <c r="B9050" s="31">
        <v>9041</v>
      </c>
      <c r="J9050">
        <f t="shared" si="146"/>
        <v>105000</v>
      </c>
      <c r="K9050" t="e">
        <f>VLOOKUP(B9050,'REGISTRO ABONOS'!$B$8:$BC$10041,54,0)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hidden="1" x14ac:dyDescent="0.2">
      <c r="B9051" s="31">
        <v>9042</v>
      </c>
      <c r="J9051">
        <f t="shared" si="146"/>
        <v>105000</v>
      </c>
      <c r="K9051" t="e">
        <f>VLOOKUP(B9051,'REGISTRO ABONOS'!$B$8:$BC$10041,54,0)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hidden="1" x14ac:dyDescent="0.2">
      <c r="B9052" s="31">
        <v>9043</v>
      </c>
      <c r="J9052">
        <f t="shared" si="146"/>
        <v>105000</v>
      </c>
      <c r="K9052" t="e">
        <f>VLOOKUP(B9052,'REGISTRO ABONOS'!$B$8:$BC$10041,54,0)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hidden="1" x14ac:dyDescent="0.2">
      <c r="B9053" s="31">
        <v>9044</v>
      </c>
      <c r="J9053">
        <f t="shared" si="146"/>
        <v>105000</v>
      </c>
      <c r="K9053" t="e">
        <f>VLOOKUP(B9053,'REGISTRO ABONOS'!$B$8:$BC$10041,54,0)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hidden="1" x14ac:dyDescent="0.2">
      <c r="B9054" s="31">
        <v>9045</v>
      </c>
      <c r="J9054">
        <f t="shared" si="146"/>
        <v>105000</v>
      </c>
      <c r="K9054" t="e">
        <f>VLOOKUP(B9054,'REGISTRO ABONOS'!$B$8:$BC$10041,54,0)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hidden="1" x14ac:dyDescent="0.2">
      <c r="B9055" s="31">
        <v>9046</v>
      </c>
      <c r="J9055">
        <f t="shared" si="146"/>
        <v>105000</v>
      </c>
      <c r="K9055" t="e">
        <f>VLOOKUP(B9055,'REGISTRO ABONOS'!$B$8:$BC$10041,54,0)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hidden="1" x14ac:dyDescent="0.2">
      <c r="B9056" s="31">
        <v>9047</v>
      </c>
      <c r="J9056">
        <f t="shared" si="146"/>
        <v>105000</v>
      </c>
      <c r="K9056" t="e">
        <f>VLOOKUP(B9056,'REGISTRO ABONOS'!$B$8:$BC$10041,54,0)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hidden="1" x14ac:dyDescent="0.2">
      <c r="B9057" s="31">
        <v>9048</v>
      </c>
      <c r="J9057">
        <f t="shared" si="146"/>
        <v>105000</v>
      </c>
      <c r="K9057" t="e">
        <f>VLOOKUP(B9057,'REGISTRO ABONOS'!$B$8:$BC$10041,54,0)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hidden="1" x14ac:dyDescent="0.2">
      <c r="B9058" s="31">
        <v>9049</v>
      </c>
      <c r="J9058">
        <f t="shared" si="146"/>
        <v>105000</v>
      </c>
      <c r="K9058" t="e">
        <f>VLOOKUP(B9058,'REGISTRO ABONOS'!$B$8:$BC$10041,54,0)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hidden="1" x14ac:dyDescent="0.2">
      <c r="B9059" s="31">
        <v>9050</v>
      </c>
      <c r="J9059">
        <f t="shared" si="146"/>
        <v>105000</v>
      </c>
      <c r="K9059" t="e">
        <f>VLOOKUP(B9059,'REGISTRO ABONOS'!$B$8:$BC$10041,54,0)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hidden="1" x14ac:dyDescent="0.2">
      <c r="B9060" s="31">
        <v>9051</v>
      </c>
      <c r="J9060">
        <f t="shared" si="146"/>
        <v>105000</v>
      </c>
      <c r="K9060" t="e">
        <f>VLOOKUP(B9060,'REGISTRO ABONOS'!$B$8:$BC$10041,54,0)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hidden="1" x14ac:dyDescent="0.2">
      <c r="B9061" s="31">
        <v>9052</v>
      </c>
      <c r="J9061">
        <f t="shared" si="146"/>
        <v>105000</v>
      </c>
      <c r="K9061" t="e">
        <f>VLOOKUP(B9061,'REGISTRO ABONOS'!$B$8:$BC$10041,54,0)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hidden="1" x14ac:dyDescent="0.2">
      <c r="B9062" s="31">
        <v>9053</v>
      </c>
      <c r="J9062">
        <f t="shared" si="146"/>
        <v>105000</v>
      </c>
      <c r="K9062" t="e">
        <f>VLOOKUP(B9062,'REGISTRO ABONOS'!$B$8:$BC$10041,54,0)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hidden="1" x14ac:dyDescent="0.2">
      <c r="B9063" s="31">
        <v>9054</v>
      </c>
      <c r="J9063">
        <f t="shared" si="146"/>
        <v>105000</v>
      </c>
      <c r="K9063" t="e">
        <f>VLOOKUP(B9063,'REGISTRO ABONOS'!$B$8:$BC$10041,54,0)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hidden="1" x14ac:dyDescent="0.2">
      <c r="B9064" s="31">
        <v>9055</v>
      </c>
      <c r="J9064">
        <f t="shared" si="146"/>
        <v>105000</v>
      </c>
      <c r="K9064" t="e">
        <f>VLOOKUP(B9064,'REGISTRO ABONOS'!$B$8:$BC$10041,54,0)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hidden="1" x14ac:dyDescent="0.2">
      <c r="B9065" s="31">
        <v>9056</v>
      </c>
      <c r="J9065">
        <f t="shared" si="146"/>
        <v>105000</v>
      </c>
      <c r="K9065" t="e">
        <f>VLOOKUP(B9065,'REGISTRO ABONOS'!$B$8:$BC$10041,54,0)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hidden="1" x14ac:dyDescent="0.2">
      <c r="B9066" s="31">
        <v>9057</v>
      </c>
      <c r="J9066">
        <f t="shared" ref="J9066:J9129" si="147">IF(C9066&gt;43607,130000,105000)</f>
        <v>105000</v>
      </c>
      <c r="K9066" t="e">
        <f>VLOOKUP(B9066,'REGISTRO ABONOS'!$B$8:$BC$10041,54,0)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hidden="1" x14ac:dyDescent="0.2">
      <c r="B9067" s="31">
        <v>9058</v>
      </c>
      <c r="J9067">
        <f t="shared" si="147"/>
        <v>105000</v>
      </c>
      <c r="K9067" t="e">
        <f>VLOOKUP(B9067,'REGISTRO ABONOS'!$B$8:$BC$10041,54,0)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hidden="1" x14ac:dyDescent="0.2">
      <c r="B9068" s="31">
        <v>9059</v>
      </c>
      <c r="J9068">
        <f t="shared" si="147"/>
        <v>105000</v>
      </c>
      <c r="K9068" t="e">
        <f>VLOOKUP(B9068,'REGISTRO ABONOS'!$B$8:$BC$10041,54,0)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hidden="1" x14ac:dyDescent="0.2">
      <c r="B9069" s="31">
        <v>9060</v>
      </c>
      <c r="J9069">
        <f t="shared" si="147"/>
        <v>105000</v>
      </c>
      <c r="K9069" t="e">
        <f>VLOOKUP(B9069,'REGISTRO ABONOS'!$B$8:$BC$10041,54,0)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hidden="1" x14ac:dyDescent="0.2">
      <c r="B9070" s="31">
        <v>9061</v>
      </c>
      <c r="J9070">
        <f t="shared" si="147"/>
        <v>105000</v>
      </c>
      <c r="K9070" t="e">
        <f>VLOOKUP(B9070,'REGISTRO ABONOS'!$B$8:$BC$10041,54,0)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hidden="1" x14ac:dyDescent="0.2">
      <c r="B9071" s="31">
        <v>9062</v>
      </c>
      <c r="J9071">
        <f t="shared" si="147"/>
        <v>105000</v>
      </c>
      <c r="K9071" t="e">
        <f>VLOOKUP(B9071,'REGISTRO ABONOS'!$B$8:$BC$10041,54,0)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hidden="1" x14ac:dyDescent="0.2">
      <c r="B9072" s="31">
        <v>9063</v>
      </c>
      <c r="J9072">
        <f t="shared" si="147"/>
        <v>105000</v>
      </c>
      <c r="K9072" t="e">
        <f>VLOOKUP(B9072,'REGISTRO ABONOS'!$B$8:$BC$10041,54,0)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hidden="1" x14ac:dyDescent="0.2">
      <c r="B9073" s="31">
        <v>9064</v>
      </c>
      <c r="J9073">
        <f t="shared" si="147"/>
        <v>105000</v>
      </c>
      <c r="K9073" t="e">
        <f>VLOOKUP(B9073,'REGISTRO ABONOS'!$B$8:$BC$10041,54,0)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hidden="1" x14ac:dyDescent="0.2">
      <c r="B9074" s="31">
        <v>9065</v>
      </c>
      <c r="J9074">
        <f t="shared" si="147"/>
        <v>105000</v>
      </c>
      <c r="K9074" t="e">
        <f>VLOOKUP(B9074,'REGISTRO ABONOS'!$B$8:$BC$10041,54,0)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hidden="1" x14ac:dyDescent="0.2">
      <c r="B9075" s="31">
        <v>9066</v>
      </c>
      <c r="J9075">
        <f t="shared" si="147"/>
        <v>105000</v>
      </c>
      <c r="K9075" t="e">
        <f>VLOOKUP(B9075,'REGISTRO ABONOS'!$B$8:$BC$10041,54,0)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hidden="1" x14ac:dyDescent="0.2">
      <c r="B9076" s="31">
        <v>9067</v>
      </c>
      <c r="J9076">
        <f t="shared" si="147"/>
        <v>105000</v>
      </c>
      <c r="K9076" t="e">
        <f>VLOOKUP(B9076,'REGISTRO ABONOS'!$B$8:$BC$10041,54,0)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hidden="1" x14ac:dyDescent="0.2">
      <c r="B9077" s="31">
        <v>9068</v>
      </c>
      <c r="J9077">
        <f t="shared" si="147"/>
        <v>105000</v>
      </c>
      <c r="K9077" t="e">
        <f>VLOOKUP(B9077,'REGISTRO ABONOS'!$B$8:$BC$10041,54,0)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hidden="1" x14ac:dyDescent="0.2">
      <c r="B9078" s="31">
        <v>9069</v>
      </c>
      <c r="J9078">
        <f t="shared" si="147"/>
        <v>105000</v>
      </c>
      <c r="K9078" t="e">
        <f>VLOOKUP(B9078,'REGISTRO ABONOS'!$B$8:$BC$10041,54,0)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hidden="1" x14ac:dyDescent="0.2">
      <c r="B9079" s="31">
        <v>9070</v>
      </c>
      <c r="J9079">
        <f t="shared" si="147"/>
        <v>105000</v>
      </c>
      <c r="K9079" t="e">
        <f>VLOOKUP(B9079,'REGISTRO ABONOS'!$B$8:$BC$10041,54,0)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hidden="1" x14ac:dyDescent="0.2">
      <c r="B9080" s="31">
        <v>9071</v>
      </c>
      <c r="J9080">
        <f t="shared" si="147"/>
        <v>105000</v>
      </c>
      <c r="K9080" t="e">
        <f>VLOOKUP(B9080,'REGISTRO ABONOS'!$B$8:$BC$10041,54,0)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hidden="1" x14ac:dyDescent="0.2">
      <c r="B9081" s="31">
        <v>9072</v>
      </c>
      <c r="J9081">
        <f t="shared" si="147"/>
        <v>105000</v>
      </c>
      <c r="K9081" t="e">
        <f>VLOOKUP(B9081,'REGISTRO ABONOS'!$B$8:$BC$10041,54,0)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hidden="1" x14ac:dyDescent="0.2">
      <c r="B9082" s="31">
        <v>9073</v>
      </c>
      <c r="J9082">
        <f t="shared" si="147"/>
        <v>105000</v>
      </c>
      <c r="K9082" t="e">
        <f>VLOOKUP(B9082,'REGISTRO ABONOS'!$B$8:$BC$10041,54,0)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hidden="1" x14ac:dyDescent="0.2">
      <c r="B9083" s="31">
        <v>9074</v>
      </c>
      <c r="J9083">
        <f t="shared" si="147"/>
        <v>105000</v>
      </c>
      <c r="K9083" t="e">
        <f>VLOOKUP(B9083,'REGISTRO ABONOS'!$B$8:$BC$10041,54,0)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hidden="1" x14ac:dyDescent="0.2">
      <c r="B9084" s="31">
        <v>9075</v>
      </c>
      <c r="J9084">
        <f t="shared" si="147"/>
        <v>105000</v>
      </c>
      <c r="K9084" t="e">
        <f>VLOOKUP(B9084,'REGISTRO ABONOS'!$B$8:$BC$10041,54,0)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hidden="1" x14ac:dyDescent="0.2">
      <c r="B9085" s="31">
        <v>9076</v>
      </c>
      <c r="J9085">
        <f t="shared" si="147"/>
        <v>105000</v>
      </c>
      <c r="K9085" t="e">
        <f>VLOOKUP(B9085,'REGISTRO ABONOS'!$B$8:$BC$10041,54,0)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hidden="1" x14ac:dyDescent="0.2">
      <c r="B9086" s="31">
        <v>9077</v>
      </c>
      <c r="J9086">
        <f t="shared" si="147"/>
        <v>105000</v>
      </c>
      <c r="K9086" t="e">
        <f>VLOOKUP(B9086,'REGISTRO ABONOS'!$B$8:$BC$10041,54,0)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hidden="1" x14ac:dyDescent="0.2">
      <c r="B9087" s="31">
        <v>9078</v>
      </c>
      <c r="J9087">
        <f t="shared" si="147"/>
        <v>105000</v>
      </c>
      <c r="K9087" t="e">
        <f>VLOOKUP(B9087,'REGISTRO ABONOS'!$B$8:$BC$10041,54,0)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hidden="1" x14ac:dyDescent="0.2">
      <c r="B9088" s="31">
        <v>9079</v>
      </c>
      <c r="J9088">
        <f t="shared" si="147"/>
        <v>105000</v>
      </c>
      <c r="K9088" t="e">
        <f>VLOOKUP(B9088,'REGISTRO ABONOS'!$B$8:$BC$10041,54,0)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hidden="1" x14ac:dyDescent="0.2">
      <c r="B9089" s="31">
        <v>9080</v>
      </c>
      <c r="J9089">
        <f t="shared" si="147"/>
        <v>105000</v>
      </c>
      <c r="K9089" t="e">
        <f>VLOOKUP(B9089,'REGISTRO ABONOS'!$B$8:$BC$10041,54,0)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hidden="1" x14ac:dyDescent="0.2">
      <c r="B9090" s="31">
        <v>9081</v>
      </c>
      <c r="J9090">
        <f t="shared" si="147"/>
        <v>105000</v>
      </c>
      <c r="K9090" t="e">
        <f>VLOOKUP(B9090,'REGISTRO ABONOS'!$B$8:$BC$10041,54,0)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hidden="1" x14ac:dyDescent="0.2">
      <c r="B9091" s="31">
        <v>9082</v>
      </c>
      <c r="J9091">
        <f t="shared" si="147"/>
        <v>105000</v>
      </c>
      <c r="K9091" t="e">
        <f>VLOOKUP(B9091,'REGISTRO ABONOS'!$B$8:$BC$10041,54,0)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hidden="1" x14ac:dyDescent="0.2">
      <c r="B9092" s="31">
        <v>9083</v>
      </c>
      <c r="J9092">
        <f t="shared" si="147"/>
        <v>105000</v>
      </c>
      <c r="K9092" t="e">
        <f>VLOOKUP(B9092,'REGISTRO ABONOS'!$B$8:$BC$10041,54,0)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hidden="1" x14ac:dyDescent="0.2">
      <c r="B9093" s="31">
        <v>9084</v>
      </c>
      <c r="J9093">
        <f t="shared" si="147"/>
        <v>105000</v>
      </c>
      <c r="K9093" t="e">
        <f>VLOOKUP(B9093,'REGISTRO ABONOS'!$B$8:$BC$10041,54,0)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hidden="1" x14ac:dyDescent="0.2">
      <c r="B9094" s="31">
        <v>9085</v>
      </c>
      <c r="J9094">
        <f t="shared" si="147"/>
        <v>105000</v>
      </c>
      <c r="K9094" t="e">
        <f>VLOOKUP(B9094,'REGISTRO ABONOS'!$B$8:$BC$10041,54,0)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hidden="1" x14ac:dyDescent="0.2">
      <c r="B9095" s="31">
        <v>9086</v>
      </c>
      <c r="J9095">
        <f t="shared" si="147"/>
        <v>105000</v>
      </c>
      <c r="K9095" t="e">
        <f>VLOOKUP(B9095,'REGISTRO ABONOS'!$B$8:$BC$10041,54,0)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hidden="1" x14ac:dyDescent="0.2">
      <c r="B9096" s="31">
        <v>9087</v>
      </c>
      <c r="J9096">
        <f t="shared" si="147"/>
        <v>105000</v>
      </c>
      <c r="K9096" t="e">
        <f>VLOOKUP(B9096,'REGISTRO ABONOS'!$B$8:$BC$10041,54,0)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hidden="1" x14ac:dyDescent="0.2">
      <c r="B9097" s="31">
        <v>9088</v>
      </c>
      <c r="J9097">
        <f t="shared" si="147"/>
        <v>105000</v>
      </c>
      <c r="K9097" t="e">
        <f>VLOOKUP(B9097,'REGISTRO ABONOS'!$B$8:$BC$10041,54,0)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hidden="1" x14ac:dyDescent="0.2">
      <c r="B9098" s="31">
        <v>9089</v>
      </c>
      <c r="J9098">
        <f t="shared" si="147"/>
        <v>105000</v>
      </c>
      <c r="K9098" t="e">
        <f>VLOOKUP(B9098,'REGISTRO ABONOS'!$B$8:$BC$10041,54,0)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hidden="1" x14ac:dyDescent="0.2">
      <c r="B9099" s="31">
        <v>9090</v>
      </c>
      <c r="J9099">
        <f t="shared" si="147"/>
        <v>105000</v>
      </c>
      <c r="K9099" t="e">
        <f>VLOOKUP(B9099,'REGISTRO ABONOS'!$B$8:$BC$10041,54,0)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hidden="1" x14ac:dyDescent="0.2">
      <c r="B9100" s="31">
        <v>9091</v>
      </c>
      <c r="J9100">
        <f t="shared" si="147"/>
        <v>105000</v>
      </c>
      <c r="K9100" t="e">
        <f>VLOOKUP(B9100,'REGISTRO ABONOS'!$B$8:$BC$10041,54,0)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hidden="1" x14ac:dyDescent="0.2">
      <c r="B9101" s="31">
        <v>9092</v>
      </c>
      <c r="J9101">
        <f t="shared" si="147"/>
        <v>105000</v>
      </c>
      <c r="K9101" t="e">
        <f>VLOOKUP(B9101,'REGISTRO ABONOS'!$B$8:$BC$10041,54,0)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hidden="1" x14ac:dyDescent="0.2">
      <c r="B9102" s="31">
        <v>9093</v>
      </c>
      <c r="J9102">
        <f t="shared" si="147"/>
        <v>105000</v>
      </c>
      <c r="K9102" t="e">
        <f>VLOOKUP(B9102,'REGISTRO ABONOS'!$B$8:$BC$10041,54,0)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hidden="1" x14ac:dyDescent="0.2">
      <c r="B9103" s="31">
        <v>9094</v>
      </c>
      <c r="J9103">
        <f t="shared" si="147"/>
        <v>105000</v>
      </c>
      <c r="K9103" t="e">
        <f>VLOOKUP(B9103,'REGISTRO ABONOS'!$B$8:$BC$10041,54,0)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hidden="1" x14ac:dyDescent="0.2">
      <c r="B9104" s="31">
        <v>9095</v>
      </c>
      <c r="J9104">
        <f t="shared" si="147"/>
        <v>105000</v>
      </c>
      <c r="K9104" t="e">
        <f>VLOOKUP(B9104,'REGISTRO ABONOS'!$B$8:$BC$10041,54,0)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hidden="1" x14ac:dyDescent="0.2">
      <c r="B9105" s="31">
        <v>9096</v>
      </c>
      <c r="J9105">
        <f t="shared" si="147"/>
        <v>105000</v>
      </c>
      <c r="K9105" t="e">
        <f>VLOOKUP(B9105,'REGISTRO ABONOS'!$B$8:$BC$10041,54,0)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hidden="1" x14ac:dyDescent="0.2">
      <c r="B9106" s="31">
        <v>9097</v>
      </c>
      <c r="J9106">
        <f t="shared" si="147"/>
        <v>105000</v>
      </c>
      <c r="K9106" t="e">
        <f>VLOOKUP(B9106,'REGISTRO ABONOS'!$B$8:$BC$10041,54,0)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hidden="1" x14ac:dyDescent="0.2">
      <c r="B9107" s="31">
        <v>9098</v>
      </c>
      <c r="J9107">
        <f t="shared" si="147"/>
        <v>105000</v>
      </c>
      <c r="K9107" t="e">
        <f>VLOOKUP(B9107,'REGISTRO ABONOS'!$B$8:$BC$10041,54,0)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hidden="1" x14ac:dyDescent="0.2">
      <c r="B9108" s="31">
        <v>9099</v>
      </c>
      <c r="J9108">
        <f t="shared" si="147"/>
        <v>105000</v>
      </c>
      <c r="K9108" t="e">
        <f>VLOOKUP(B9108,'REGISTRO ABONOS'!$B$8:$BC$10041,54,0)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hidden="1" x14ac:dyDescent="0.2">
      <c r="B9109" s="31">
        <v>9100</v>
      </c>
      <c r="J9109">
        <f t="shared" si="147"/>
        <v>105000</v>
      </c>
      <c r="K9109" t="e">
        <f>VLOOKUP(B9109,'REGISTRO ABONOS'!$B$8:$BC$10041,54,0)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hidden="1" x14ac:dyDescent="0.2">
      <c r="B9110" s="31">
        <v>9101</v>
      </c>
      <c r="J9110">
        <f t="shared" si="147"/>
        <v>105000</v>
      </c>
      <c r="K9110" t="e">
        <f>VLOOKUP(B9110,'REGISTRO ABONOS'!$B$8:$BC$10041,54,0)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7"/>
        <v>105000</v>
      </c>
      <c r="K9111" t="e">
        <f>VLOOKUP(B9111,'REGISTRO ABONOS'!$B$8:$BC$10041,54,0)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hidden="1" x14ac:dyDescent="0.2">
      <c r="B9112" s="31">
        <v>9103</v>
      </c>
      <c r="J9112">
        <f t="shared" si="147"/>
        <v>105000</v>
      </c>
      <c r="K9112" t="e">
        <f>VLOOKUP(B9112,'REGISTRO ABONOS'!$B$8:$BC$10041,54,0)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hidden="1" x14ac:dyDescent="0.2">
      <c r="B9113" s="31">
        <v>9104</v>
      </c>
      <c r="J9113">
        <f t="shared" si="147"/>
        <v>105000</v>
      </c>
      <c r="K9113" t="e">
        <f>VLOOKUP(B9113,'REGISTRO ABONOS'!$B$8:$BC$10041,54,0)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hidden="1" x14ac:dyDescent="0.2">
      <c r="B9114" s="31">
        <v>9105</v>
      </c>
      <c r="J9114">
        <f t="shared" si="147"/>
        <v>105000</v>
      </c>
      <c r="K9114" t="e">
        <f>VLOOKUP(B9114,'REGISTRO ABONOS'!$B$8:$BC$10041,54,0)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hidden="1" x14ac:dyDescent="0.2">
      <c r="B9115" s="31">
        <v>9106</v>
      </c>
      <c r="J9115">
        <f t="shared" si="147"/>
        <v>105000</v>
      </c>
      <c r="K9115" t="e">
        <f>VLOOKUP(B9115,'REGISTRO ABONOS'!$B$8:$BC$10041,54,0)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hidden="1" x14ac:dyDescent="0.2">
      <c r="B9116" s="31">
        <v>9107</v>
      </c>
      <c r="J9116">
        <f t="shared" si="147"/>
        <v>105000</v>
      </c>
      <c r="K9116" t="e">
        <f>VLOOKUP(B9116,'REGISTRO ABONOS'!$B$8:$BC$10041,54,0)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hidden="1" x14ac:dyDescent="0.2">
      <c r="B9117" s="31">
        <v>9108</v>
      </c>
      <c r="J9117">
        <f t="shared" si="147"/>
        <v>105000</v>
      </c>
      <c r="K9117" t="e">
        <f>VLOOKUP(B9117,'REGISTRO ABONOS'!$B$8:$BC$10041,54,0)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hidden="1" x14ac:dyDescent="0.2">
      <c r="B9118" s="31">
        <v>9109</v>
      </c>
      <c r="J9118">
        <f t="shared" si="147"/>
        <v>105000</v>
      </c>
      <c r="K9118" t="e">
        <f>VLOOKUP(B9118,'REGISTRO ABONOS'!$B$8:$BC$10041,54,0)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hidden="1" x14ac:dyDescent="0.2">
      <c r="B9119" s="31">
        <v>9110</v>
      </c>
      <c r="J9119">
        <f t="shared" si="147"/>
        <v>105000</v>
      </c>
      <c r="K9119" t="e">
        <f>VLOOKUP(B9119,'REGISTRO ABONOS'!$B$8:$BC$10041,54,0)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hidden="1" x14ac:dyDescent="0.2">
      <c r="B9120" s="31">
        <v>9111</v>
      </c>
      <c r="J9120">
        <f t="shared" si="147"/>
        <v>105000</v>
      </c>
      <c r="K9120" t="e">
        <f>VLOOKUP(B9120,'REGISTRO ABONOS'!$B$8:$BC$10041,54,0)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hidden="1" x14ac:dyDescent="0.2">
      <c r="B9121" s="31">
        <v>9112</v>
      </c>
      <c r="J9121">
        <f t="shared" si="147"/>
        <v>105000</v>
      </c>
      <c r="K9121" t="e">
        <f>VLOOKUP(B9121,'REGISTRO ABONOS'!$B$8:$BC$10041,54,0)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7"/>
        <v>105000</v>
      </c>
      <c r="K9122" t="e">
        <f>VLOOKUP(B9122,'REGISTRO ABONOS'!$B$8:$BC$10041,54,0)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hidden="1" x14ac:dyDescent="0.2">
      <c r="B9123" s="31">
        <v>9114</v>
      </c>
      <c r="J9123">
        <f t="shared" si="147"/>
        <v>105000</v>
      </c>
      <c r="K9123" t="e">
        <f>VLOOKUP(B9123,'REGISTRO ABONOS'!$B$8:$BC$10041,54,0)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hidden="1" x14ac:dyDescent="0.2">
      <c r="B9124" s="31">
        <v>9115</v>
      </c>
      <c r="J9124">
        <f t="shared" si="147"/>
        <v>105000</v>
      </c>
      <c r="K9124" t="e">
        <f>VLOOKUP(B9124,'REGISTRO ABONOS'!$B$8:$BC$10041,54,0)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hidden="1" x14ac:dyDescent="0.2">
      <c r="B9125" s="31">
        <v>9116</v>
      </c>
      <c r="J9125">
        <f t="shared" si="147"/>
        <v>105000</v>
      </c>
      <c r="K9125" t="e">
        <f>VLOOKUP(B9125,'REGISTRO ABONOS'!$B$8:$BC$10041,54,0)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hidden="1" x14ac:dyDescent="0.2">
      <c r="B9126" s="31">
        <v>9117</v>
      </c>
      <c r="J9126">
        <f t="shared" si="147"/>
        <v>105000</v>
      </c>
      <c r="K9126" t="e">
        <f>VLOOKUP(B9126,'REGISTRO ABONOS'!$B$8:$BC$10041,54,0)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hidden="1" x14ac:dyDescent="0.2">
      <c r="B9127" s="31">
        <v>9118</v>
      </c>
      <c r="J9127">
        <f t="shared" si="147"/>
        <v>105000</v>
      </c>
      <c r="K9127" t="e">
        <f>VLOOKUP(B9127,'REGISTRO ABONOS'!$B$8:$BC$10041,54,0)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hidden="1" x14ac:dyDescent="0.2">
      <c r="B9128" s="31">
        <v>9119</v>
      </c>
      <c r="J9128">
        <f t="shared" si="147"/>
        <v>105000</v>
      </c>
      <c r="K9128" t="e">
        <f>VLOOKUP(B9128,'REGISTRO ABONOS'!$B$8:$BC$10041,54,0)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hidden="1" x14ac:dyDescent="0.2">
      <c r="B9129" s="31">
        <v>9120</v>
      </c>
      <c r="J9129">
        <f t="shared" si="147"/>
        <v>105000</v>
      </c>
      <c r="K9129" t="e">
        <f>VLOOKUP(B9129,'REGISTRO ABONOS'!$B$8:$BC$10041,54,0)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hidden="1" x14ac:dyDescent="0.2">
      <c r="B9130" s="31">
        <v>9121</v>
      </c>
      <c r="J9130">
        <f t="shared" ref="J9130:J9193" si="148">IF(C9130&gt;43607,130000,105000)</f>
        <v>105000</v>
      </c>
      <c r="K9130" t="e">
        <f>VLOOKUP(B9130,'REGISTRO ABONOS'!$B$8:$BC$10041,54,0)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hidden="1" x14ac:dyDescent="0.2">
      <c r="B9131" s="31">
        <v>9122</v>
      </c>
      <c r="J9131">
        <f t="shared" si="148"/>
        <v>105000</v>
      </c>
      <c r="K9131" t="e">
        <f>VLOOKUP(B9131,'REGISTRO ABONOS'!$B$8:$BC$10041,54,0)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hidden="1" x14ac:dyDescent="0.2">
      <c r="B9132" s="31">
        <v>9123</v>
      </c>
      <c r="J9132">
        <f t="shared" si="148"/>
        <v>105000</v>
      </c>
      <c r="K9132" t="e">
        <f>VLOOKUP(B9132,'REGISTRO ABONOS'!$B$8:$BC$10041,54,0)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hidden="1" x14ac:dyDescent="0.2">
      <c r="B9133" s="31">
        <v>9124</v>
      </c>
      <c r="J9133">
        <f t="shared" si="148"/>
        <v>105000</v>
      </c>
      <c r="K9133" t="e">
        <f>VLOOKUP(B9133,'REGISTRO ABONOS'!$B$8:$BC$10041,54,0)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hidden="1" x14ac:dyDescent="0.2">
      <c r="B9134" s="31">
        <v>9125</v>
      </c>
      <c r="J9134">
        <f t="shared" si="148"/>
        <v>105000</v>
      </c>
      <c r="K9134" t="e">
        <f>VLOOKUP(B9134,'REGISTRO ABONOS'!$B$8:$BC$10041,54,0)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hidden="1" x14ac:dyDescent="0.2">
      <c r="B9135" s="31">
        <v>9126</v>
      </c>
      <c r="J9135">
        <f t="shared" si="148"/>
        <v>105000</v>
      </c>
      <c r="K9135" t="e">
        <f>VLOOKUP(B9135,'REGISTRO ABONOS'!$B$8:$BC$10041,54,0)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hidden="1" x14ac:dyDescent="0.2">
      <c r="B9136" s="31">
        <v>9127</v>
      </c>
      <c r="J9136">
        <f t="shared" si="148"/>
        <v>105000</v>
      </c>
      <c r="K9136" t="e">
        <f>VLOOKUP(B9136,'REGISTRO ABONOS'!$B$8:$BC$10041,54,0)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hidden="1" x14ac:dyDescent="0.2">
      <c r="B9137" s="31">
        <v>9128</v>
      </c>
      <c r="J9137">
        <f t="shared" si="148"/>
        <v>105000</v>
      </c>
      <c r="K9137" t="e">
        <f>VLOOKUP(B9137,'REGISTRO ABONOS'!$B$8:$BC$10041,54,0)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hidden="1" x14ac:dyDescent="0.2">
      <c r="B9138" s="31">
        <v>9129</v>
      </c>
      <c r="J9138">
        <f t="shared" si="148"/>
        <v>105000</v>
      </c>
      <c r="K9138" t="e">
        <f>VLOOKUP(B9138,'REGISTRO ABONOS'!$B$8:$BC$10041,54,0)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hidden="1" x14ac:dyDescent="0.2">
      <c r="B9139" s="31">
        <v>9130</v>
      </c>
      <c r="J9139">
        <f t="shared" si="148"/>
        <v>105000</v>
      </c>
      <c r="K9139" t="e">
        <f>VLOOKUP(B9139,'REGISTRO ABONOS'!$B$8:$BC$10041,54,0)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hidden="1" x14ac:dyDescent="0.2">
      <c r="B9140" s="31">
        <v>9131</v>
      </c>
      <c r="J9140">
        <f t="shared" si="148"/>
        <v>105000</v>
      </c>
      <c r="K9140" t="e">
        <f>VLOOKUP(B9140,'REGISTRO ABONOS'!$B$8:$BC$10041,54,0)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hidden="1" x14ac:dyDescent="0.2">
      <c r="B9141" s="31">
        <v>9132</v>
      </c>
      <c r="J9141">
        <f t="shared" si="148"/>
        <v>105000</v>
      </c>
      <c r="K9141" t="e">
        <f>VLOOKUP(B9141,'REGISTRO ABONOS'!$B$8:$BC$10041,54,0)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hidden="1" x14ac:dyDescent="0.2">
      <c r="B9142" s="31">
        <v>9133</v>
      </c>
      <c r="J9142">
        <f t="shared" si="148"/>
        <v>105000</v>
      </c>
      <c r="K9142" t="e">
        <f>VLOOKUP(B9142,'REGISTRO ABONOS'!$B$8:$BC$10041,54,0)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hidden="1" x14ac:dyDescent="0.2">
      <c r="B9143" s="31">
        <v>9134</v>
      </c>
      <c r="J9143">
        <f t="shared" si="148"/>
        <v>105000</v>
      </c>
      <c r="K9143" t="e">
        <f>VLOOKUP(B9143,'REGISTRO ABONOS'!$B$8:$BC$10041,54,0)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hidden="1" x14ac:dyDescent="0.2">
      <c r="B9144" s="31">
        <v>9135</v>
      </c>
      <c r="J9144">
        <f t="shared" si="148"/>
        <v>105000</v>
      </c>
      <c r="K9144" t="e">
        <f>VLOOKUP(B9144,'REGISTRO ABONOS'!$B$8:$BC$10041,54,0)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hidden="1" x14ac:dyDescent="0.2">
      <c r="B9145" s="31">
        <v>9136</v>
      </c>
      <c r="J9145">
        <f t="shared" si="148"/>
        <v>105000</v>
      </c>
      <c r="K9145" t="e">
        <f>VLOOKUP(B9145,'REGISTRO ABONOS'!$B$8:$BC$10041,54,0)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hidden="1" x14ac:dyDescent="0.2">
      <c r="B9146" s="31">
        <v>9137</v>
      </c>
      <c r="J9146">
        <f t="shared" si="148"/>
        <v>105000</v>
      </c>
      <c r="K9146" t="e">
        <f>VLOOKUP(B9146,'REGISTRO ABONOS'!$B$8:$BC$10041,54,0)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hidden="1" x14ac:dyDescent="0.2">
      <c r="B9147" s="31">
        <v>9138</v>
      </c>
      <c r="J9147">
        <f t="shared" si="148"/>
        <v>105000</v>
      </c>
      <c r="K9147" t="e">
        <f>VLOOKUP(B9147,'REGISTRO ABONOS'!$B$8:$BC$10041,54,0)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hidden="1" x14ac:dyDescent="0.2">
      <c r="B9148" s="31">
        <v>9139</v>
      </c>
      <c r="J9148">
        <f t="shared" si="148"/>
        <v>105000</v>
      </c>
      <c r="K9148" t="e">
        <f>VLOOKUP(B9148,'REGISTRO ABONOS'!$B$8:$BC$10041,54,0)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hidden="1" x14ac:dyDescent="0.2">
      <c r="B9149" s="31">
        <v>9140</v>
      </c>
      <c r="J9149">
        <f t="shared" si="148"/>
        <v>105000</v>
      </c>
      <c r="K9149" t="e">
        <f>VLOOKUP(B9149,'REGISTRO ABONOS'!$B$8:$BC$10041,54,0)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hidden="1" x14ac:dyDescent="0.2">
      <c r="B9150" s="31">
        <v>9141</v>
      </c>
      <c r="J9150">
        <f t="shared" si="148"/>
        <v>105000</v>
      </c>
      <c r="K9150" t="e">
        <f>VLOOKUP(B9150,'REGISTRO ABONOS'!$B$8:$BC$10041,54,0)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hidden="1" x14ac:dyDescent="0.2">
      <c r="B9151" s="31">
        <v>9142</v>
      </c>
      <c r="J9151">
        <f t="shared" si="148"/>
        <v>105000</v>
      </c>
      <c r="K9151" t="e">
        <f>VLOOKUP(B9151,'REGISTRO ABONOS'!$B$8:$BC$10041,54,0)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hidden="1" x14ac:dyDescent="0.2">
      <c r="B9152" s="31">
        <v>9143</v>
      </c>
      <c r="J9152">
        <f t="shared" si="148"/>
        <v>105000</v>
      </c>
      <c r="K9152" t="e">
        <f>VLOOKUP(B9152,'REGISTRO ABONOS'!$B$8:$BC$10041,54,0)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hidden="1" x14ac:dyDescent="0.2">
      <c r="B9153" s="31">
        <v>9144</v>
      </c>
      <c r="J9153">
        <f t="shared" si="148"/>
        <v>105000</v>
      </c>
      <c r="K9153" t="e">
        <f>VLOOKUP(B9153,'REGISTRO ABONOS'!$B$8:$BC$10041,54,0)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hidden="1" x14ac:dyDescent="0.2">
      <c r="B9154" s="31">
        <v>9145</v>
      </c>
      <c r="J9154">
        <f t="shared" si="148"/>
        <v>105000</v>
      </c>
      <c r="K9154" t="e">
        <f>VLOOKUP(B9154,'REGISTRO ABONOS'!$B$8:$BC$10041,54,0)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hidden="1" x14ac:dyDescent="0.2">
      <c r="B9155" s="31">
        <v>9146</v>
      </c>
      <c r="J9155">
        <f t="shared" si="148"/>
        <v>105000</v>
      </c>
      <c r="K9155" t="e">
        <f>VLOOKUP(B9155,'REGISTRO ABONOS'!$B$8:$BC$10041,54,0)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hidden="1" x14ac:dyDescent="0.2">
      <c r="B9156" s="31">
        <v>9147</v>
      </c>
      <c r="J9156">
        <f t="shared" si="148"/>
        <v>105000</v>
      </c>
      <c r="K9156" t="e">
        <f>VLOOKUP(B9156,'REGISTRO ABONOS'!$B$8:$BC$10041,54,0)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hidden="1" x14ac:dyDescent="0.2">
      <c r="B9157" s="31">
        <v>9148</v>
      </c>
      <c r="J9157">
        <f t="shared" si="148"/>
        <v>105000</v>
      </c>
      <c r="K9157" t="e">
        <f>VLOOKUP(B9157,'REGISTRO ABONOS'!$B$8:$BC$10041,54,0)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hidden="1" x14ac:dyDescent="0.2">
      <c r="B9158" s="31">
        <v>9149</v>
      </c>
      <c r="J9158">
        <f t="shared" si="148"/>
        <v>105000</v>
      </c>
      <c r="K9158" t="e">
        <f>VLOOKUP(B9158,'REGISTRO ABONOS'!$B$8:$BC$10041,54,0)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hidden="1" x14ac:dyDescent="0.2">
      <c r="B9159" s="31">
        <v>9150</v>
      </c>
      <c r="J9159">
        <f t="shared" si="148"/>
        <v>105000</v>
      </c>
      <c r="K9159" t="e">
        <f>VLOOKUP(B9159,'REGISTRO ABONOS'!$B$8:$BC$10041,54,0)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hidden="1" x14ac:dyDescent="0.2">
      <c r="B9160" s="31">
        <v>9151</v>
      </c>
      <c r="J9160">
        <f t="shared" si="148"/>
        <v>105000</v>
      </c>
      <c r="K9160" t="e">
        <f>VLOOKUP(B9160,'REGISTRO ABONOS'!$B$8:$BC$10041,54,0)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hidden="1" x14ac:dyDescent="0.2">
      <c r="B9161" s="31">
        <v>9152</v>
      </c>
      <c r="J9161">
        <f t="shared" si="148"/>
        <v>105000</v>
      </c>
      <c r="K9161" t="e">
        <f>VLOOKUP(B9161,'REGISTRO ABONOS'!$B$8:$BC$10041,54,0)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hidden="1" x14ac:dyDescent="0.2">
      <c r="B9162" s="31">
        <v>9153</v>
      </c>
      <c r="J9162">
        <f t="shared" si="148"/>
        <v>105000</v>
      </c>
      <c r="K9162" t="e">
        <f>VLOOKUP(B9162,'REGISTRO ABONOS'!$B$8:$BC$10041,54,0)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hidden="1" x14ac:dyDescent="0.2">
      <c r="B9163" s="31">
        <v>9154</v>
      </c>
      <c r="J9163">
        <f t="shared" si="148"/>
        <v>105000</v>
      </c>
      <c r="K9163" t="e">
        <f>VLOOKUP(B9163,'REGISTRO ABONOS'!$B$8:$BC$10041,54,0)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hidden="1" x14ac:dyDescent="0.2">
      <c r="B9164" s="31">
        <v>9155</v>
      </c>
      <c r="J9164">
        <f t="shared" si="148"/>
        <v>105000</v>
      </c>
      <c r="K9164" t="e">
        <f>VLOOKUP(B9164,'REGISTRO ABONOS'!$B$8:$BC$10041,54,0)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hidden="1" x14ac:dyDescent="0.2">
      <c r="B9165" s="31">
        <v>9156</v>
      </c>
      <c r="J9165">
        <f t="shared" si="148"/>
        <v>105000</v>
      </c>
      <c r="K9165" t="e">
        <f>VLOOKUP(B9165,'REGISTRO ABONOS'!$B$8:$BC$10041,54,0)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hidden="1" x14ac:dyDescent="0.2">
      <c r="B9166" s="31">
        <v>9157</v>
      </c>
      <c r="J9166">
        <f t="shared" si="148"/>
        <v>105000</v>
      </c>
      <c r="K9166" t="e">
        <f>VLOOKUP(B9166,'REGISTRO ABONOS'!$B$8:$BC$10041,54,0)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hidden="1" x14ac:dyDescent="0.2">
      <c r="B9167" s="31">
        <v>9158</v>
      </c>
      <c r="J9167">
        <f t="shared" si="148"/>
        <v>105000</v>
      </c>
      <c r="K9167" t="e">
        <f>VLOOKUP(B9167,'REGISTRO ABONOS'!$B$8:$BC$10041,54,0)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hidden="1" x14ac:dyDescent="0.2">
      <c r="B9168" s="31">
        <v>9159</v>
      </c>
      <c r="J9168">
        <f t="shared" si="148"/>
        <v>105000</v>
      </c>
      <c r="K9168" t="e">
        <f>VLOOKUP(B9168,'REGISTRO ABONOS'!$B$8:$BC$10041,54,0)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hidden="1" x14ac:dyDescent="0.2">
      <c r="B9169" s="31">
        <v>9160</v>
      </c>
      <c r="J9169">
        <f t="shared" si="148"/>
        <v>105000</v>
      </c>
      <c r="K9169" t="e">
        <f>VLOOKUP(B9169,'REGISTRO ABONOS'!$B$8:$BC$10041,54,0)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hidden="1" x14ac:dyDescent="0.2">
      <c r="B9170" s="31">
        <v>9161</v>
      </c>
      <c r="J9170">
        <f t="shared" si="148"/>
        <v>105000</v>
      </c>
      <c r="K9170" t="e">
        <f>VLOOKUP(B9170,'REGISTRO ABONOS'!$B$8:$BC$10041,54,0)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hidden="1" x14ac:dyDescent="0.2">
      <c r="B9171" s="31">
        <v>9162</v>
      </c>
      <c r="J9171">
        <f t="shared" si="148"/>
        <v>105000</v>
      </c>
      <c r="K9171" t="e">
        <f>VLOOKUP(B9171,'REGISTRO ABONOS'!$B$8:$BC$10041,54,0)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hidden="1" x14ac:dyDescent="0.2">
      <c r="B9172" s="31">
        <v>9163</v>
      </c>
      <c r="J9172">
        <f t="shared" si="148"/>
        <v>105000</v>
      </c>
      <c r="K9172" t="e">
        <f>VLOOKUP(B9172,'REGISTRO ABONOS'!$B$8:$BC$10041,54,0)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hidden="1" x14ac:dyDescent="0.2">
      <c r="B9173" s="31">
        <v>9164</v>
      </c>
      <c r="J9173">
        <f t="shared" si="148"/>
        <v>105000</v>
      </c>
      <c r="K9173" t="e">
        <f>VLOOKUP(B9173,'REGISTRO ABONOS'!$B$8:$BC$10041,54,0)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hidden="1" x14ac:dyDescent="0.2">
      <c r="B9174" s="31">
        <v>9165</v>
      </c>
      <c r="J9174">
        <f t="shared" si="148"/>
        <v>105000</v>
      </c>
      <c r="K9174" t="e">
        <f>VLOOKUP(B9174,'REGISTRO ABONOS'!$B$8:$BC$10041,54,0)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hidden="1" x14ac:dyDescent="0.2">
      <c r="B9175" s="31">
        <v>9166</v>
      </c>
      <c r="J9175">
        <f t="shared" si="148"/>
        <v>105000</v>
      </c>
      <c r="K9175" t="e">
        <f>VLOOKUP(B9175,'REGISTRO ABONOS'!$B$8:$BC$10041,54,0)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hidden="1" x14ac:dyDescent="0.2">
      <c r="B9176" s="31">
        <v>9167</v>
      </c>
      <c r="J9176">
        <f t="shared" si="148"/>
        <v>105000</v>
      </c>
      <c r="K9176" t="e">
        <f>VLOOKUP(B9176,'REGISTRO ABONOS'!$B$8:$BC$10041,54,0)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hidden="1" x14ac:dyDescent="0.2">
      <c r="B9177" s="31">
        <v>9168</v>
      </c>
      <c r="J9177">
        <f t="shared" si="148"/>
        <v>105000</v>
      </c>
      <c r="K9177" t="e">
        <f>VLOOKUP(B9177,'REGISTRO ABONOS'!$B$8:$BC$10041,54,0)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hidden="1" x14ac:dyDescent="0.2">
      <c r="B9178" s="31">
        <v>9169</v>
      </c>
      <c r="J9178">
        <f t="shared" si="148"/>
        <v>105000</v>
      </c>
      <c r="K9178" t="e">
        <f>VLOOKUP(B9178,'REGISTRO ABONOS'!$B$8:$BC$10041,54,0)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hidden="1" x14ac:dyDescent="0.2">
      <c r="B9179" s="31">
        <v>9170</v>
      </c>
      <c r="J9179">
        <f t="shared" si="148"/>
        <v>105000</v>
      </c>
      <c r="K9179" t="e">
        <f>VLOOKUP(B9179,'REGISTRO ABONOS'!$B$8:$BC$10041,54,0)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hidden="1" x14ac:dyDescent="0.2">
      <c r="B9180" s="31">
        <v>9171</v>
      </c>
      <c r="J9180">
        <f t="shared" si="148"/>
        <v>105000</v>
      </c>
      <c r="K9180" t="e">
        <f>VLOOKUP(B9180,'REGISTRO ABONOS'!$B$8:$BC$10041,54,0)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hidden="1" x14ac:dyDescent="0.2">
      <c r="B9181" s="31">
        <v>9172</v>
      </c>
      <c r="J9181">
        <f t="shared" si="148"/>
        <v>105000</v>
      </c>
      <c r="K9181" t="e">
        <f>VLOOKUP(B9181,'REGISTRO ABONOS'!$B$8:$BC$10041,54,0)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hidden="1" x14ac:dyDescent="0.2">
      <c r="B9182" s="31">
        <v>9173</v>
      </c>
      <c r="J9182">
        <f t="shared" si="148"/>
        <v>105000</v>
      </c>
      <c r="K9182" t="e">
        <f>VLOOKUP(B9182,'REGISTRO ABONOS'!$B$8:$BC$10041,54,0)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hidden="1" x14ac:dyDescent="0.2">
      <c r="B9183" s="31">
        <v>9174</v>
      </c>
      <c r="J9183">
        <f t="shared" si="148"/>
        <v>105000</v>
      </c>
      <c r="K9183" t="e">
        <f>VLOOKUP(B9183,'REGISTRO ABONOS'!$B$8:$BC$10041,54,0)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hidden="1" x14ac:dyDescent="0.2">
      <c r="B9184" s="31">
        <v>9175</v>
      </c>
      <c r="J9184">
        <f t="shared" si="148"/>
        <v>105000</v>
      </c>
      <c r="K9184" t="e">
        <f>VLOOKUP(B9184,'REGISTRO ABONOS'!$B$8:$BC$10041,54,0)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hidden="1" x14ac:dyDescent="0.2">
      <c r="B9185" s="31">
        <v>9176</v>
      </c>
      <c r="J9185">
        <f t="shared" si="148"/>
        <v>105000</v>
      </c>
      <c r="K9185" t="e">
        <f>VLOOKUP(B9185,'REGISTRO ABONOS'!$B$8:$BC$10041,54,0)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hidden="1" x14ac:dyDescent="0.2">
      <c r="B9186" s="31">
        <v>9177</v>
      </c>
      <c r="J9186">
        <f t="shared" si="148"/>
        <v>105000</v>
      </c>
      <c r="K9186" t="e">
        <f>VLOOKUP(B9186,'REGISTRO ABONOS'!$B$8:$BC$10041,54,0)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hidden="1" x14ac:dyDescent="0.2">
      <c r="B9187" s="31">
        <v>9178</v>
      </c>
      <c r="J9187">
        <f t="shared" si="148"/>
        <v>105000</v>
      </c>
      <c r="K9187" t="e">
        <f>VLOOKUP(B9187,'REGISTRO ABONOS'!$B$8:$BC$10041,54,0)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hidden="1" x14ac:dyDescent="0.2">
      <c r="B9188" s="31">
        <v>9179</v>
      </c>
      <c r="J9188">
        <f t="shared" si="148"/>
        <v>105000</v>
      </c>
      <c r="K9188" t="e">
        <f>VLOOKUP(B9188,'REGISTRO ABONOS'!$B$8:$BC$10041,54,0)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hidden="1" x14ac:dyDescent="0.2">
      <c r="B9189" s="31">
        <v>9180</v>
      </c>
      <c r="J9189">
        <f t="shared" si="148"/>
        <v>105000</v>
      </c>
      <c r="K9189" t="e">
        <f>VLOOKUP(B9189,'REGISTRO ABONOS'!$B$8:$BC$10041,54,0)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hidden="1" x14ac:dyDescent="0.2">
      <c r="B9190" s="31">
        <v>9181</v>
      </c>
      <c r="J9190">
        <f t="shared" si="148"/>
        <v>105000</v>
      </c>
      <c r="K9190" t="e">
        <f>VLOOKUP(B9190,'REGISTRO ABONOS'!$B$8:$BC$10041,54,0)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hidden="1" x14ac:dyDescent="0.2">
      <c r="B9191" s="31">
        <v>9182</v>
      </c>
      <c r="J9191">
        <f t="shared" si="148"/>
        <v>105000</v>
      </c>
      <c r="K9191" t="e">
        <f>VLOOKUP(B9191,'REGISTRO ABONOS'!$B$8:$BC$10041,54,0)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hidden="1" x14ac:dyDescent="0.2">
      <c r="B9192" s="31">
        <v>9183</v>
      </c>
      <c r="J9192">
        <f t="shared" si="148"/>
        <v>105000</v>
      </c>
      <c r="K9192" t="e">
        <f>VLOOKUP(B9192,'REGISTRO ABONOS'!$B$8:$BC$10041,54,0)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hidden="1" x14ac:dyDescent="0.2">
      <c r="B9193" s="31">
        <v>9184</v>
      </c>
      <c r="J9193">
        <f t="shared" si="148"/>
        <v>105000</v>
      </c>
      <c r="K9193" t="e">
        <f>VLOOKUP(B9193,'REGISTRO ABONOS'!$B$8:$BC$10041,54,0)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hidden="1" x14ac:dyDescent="0.2">
      <c r="B9194" s="31">
        <v>9185</v>
      </c>
      <c r="J9194">
        <f t="shared" ref="J9194:J9257" si="149">IF(C9194&gt;43607,130000,105000)</f>
        <v>105000</v>
      </c>
      <c r="K9194" t="e">
        <f>VLOOKUP(B9194,'REGISTRO ABONOS'!$B$8:$BC$10041,54,0)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hidden="1" x14ac:dyDescent="0.2">
      <c r="B9195" s="31">
        <v>9186</v>
      </c>
      <c r="J9195">
        <f t="shared" si="149"/>
        <v>105000</v>
      </c>
      <c r="K9195" t="e">
        <f>VLOOKUP(B9195,'REGISTRO ABONOS'!$B$8:$BC$10041,54,0)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hidden="1" x14ac:dyDescent="0.2">
      <c r="B9196" s="31">
        <v>9187</v>
      </c>
      <c r="J9196">
        <f t="shared" si="149"/>
        <v>105000</v>
      </c>
      <c r="K9196" t="e">
        <f>VLOOKUP(B9196,'REGISTRO ABONOS'!$B$8:$BC$10041,54,0)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hidden="1" x14ac:dyDescent="0.2">
      <c r="B9197" s="31">
        <v>9188</v>
      </c>
      <c r="J9197">
        <f t="shared" si="149"/>
        <v>105000</v>
      </c>
      <c r="K9197" t="e">
        <f>VLOOKUP(B9197,'REGISTRO ABONOS'!$B$8:$BC$10041,54,0)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hidden="1" x14ac:dyDescent="0.2">
      <c r="B9198" s="31">
        <v>9189</v>
      </c>
      <c r="J9198">
        <f t="shared" si="149"/>
        <v>105000</v>
      </c>
      <c r="K9198" t="e">
        <f>VLOOKUP(B9198,'REGISTRO ABONOS'!$B$8:$BC$10041,54,0)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hidden="1" x14ac:dyDescent="0.2">
      <c r="B9199" s="31">
        <v>9190</v>
      </c>
      <c r="J9199">
        <f t="shared" si="149"/>
        <v>105000</v>
      </c>
      <c r="K9199" t="e">
        <f>VLOOKUP(B9199,'REGISTRO ABONOS'!$B$8:$BC$10041,54,0)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hidden="1" x14ac:dyDescent="0.2">
      <c r="B9200" s="31">
        <v>9191</v>
      </c>
      <c r="J9200">
        <f t="shared" si="149"/>
        <v>105000</v>
      </c>
      <c r="K9200" t="e">
        <f>VLOOKUP(B9200,'REGISTRO ABONOS'!$B$8:$BC$10041,54,0)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hidden="1" x14ac:dyDescent="0.2">
      <c r="B9201" s="31">
        <v>9192</v>
      </c>
      <c r="J9201">
        <f t="shared" si="149"/>
        <v>105000</v>
      </c>
      <c r="K9201" t="e">
        <f>VLOOKUP(B9201,'REGISTRO ABONOS'!$B$8:$BC$10041,54,0)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hidden="1" x14ac:dyDescent="0.2">
      <c r="B9202" s="31">
        <v>9193</v>
      </c>
      <c r="J9202">
        <f t="shared" si="149"/>
        <v>105000</v>
      </c>
      <c r="K9202" t="e">
        <f>VLOOKUP(B9202,'REGISTRO ABONOS'!$B$8:$BC$10041,54,0)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hidden="1" x14ac:dyDescent="0.2">
      <c r="B9203" s="31">
        <v>9194</v>
      </c>
      <c r="J9203">
        <f t="shared" si="149"/>
        <v>105000</v>
      </c>
      <c r="K9203" t="e">
        <f>VLOOKUP(B9203,'REGISTRO ABONOS'!$B$8:$BC$10041,54,0)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hidden="1" x14ac:dyDescent="0.2">
      <c r="B9204" s="31">
        <v>9195</v>
      </c>
      <c r="J9204">
        <f t="shared" si="149"/>
        <v>105000</v>
      </c>
      <c r="K9204" t="e">
        <f>VLOOKUP(B9204,'REGISTRO ABONOS'!$B$8:$BC$10041,54,0)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hidden="1" x14ac:dyDescent="0.2">
      <c r="B9205" s="31">
        <v>9196</v>
      </c>
      <c r="J9205">
        <f t="shared" si="149"/>
        <v>105000</v>
      </c>
      <c r="K9205" t="e">
        <f>VLOOKUP(B9205,'REGISTRO ABONOS'!$B$8:$BC$10041,54,0)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hidden="1" x14ac:dyDescent="0.2">
      <c r="B9206" s="31">
        <v>9197</v>
      </c>
      <c r="J9206">
        <f t="shared" si="149"/>
        <v>105000</v>
      </c>
      <c r="K9206" t="e">
        <f>VLOOKUP(B9206,'REGISTRO ABONOS'!$B$8:$BC$10041,54,0)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hidden="1" x14ac:dyDescent="0.2">
      <c r="B9207" s="31">
        <v>9198</v>
      </c>
      <c r="J9207">
        <f t="shared" si="149"/>
        <v>105000</v>
      </c>
      <c r="K9207" t="e">
        <f>VLOOKUP(B9207,'REGISTRO ABONOS'!$B$8:$BC$10041,54,0)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hidden="1" x14ac:dyDescent="0.2">
      <c r="B9208" s="31">
        <v>9199</v>
      </c>
      <c r="J9208">
        <f t="shared" si="149"/>
        <v>105000</v>
      </c>
      <c r="K9208" t="e">
        <f>VLOOKUP(B9208,'REGISTRO ABONOS'!$B$8:$BC$10041,54,0)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hidden="1" x14ac:dyDescent="0.2">
      <c r="B9209" s="31">
        <v>9200</v>
      </c>
      <c r="J9209">
        <f t="shared" si="149"/>
        <v>105000</v>
      </c>
      <c r="K9209" t="e">
        <f>VLOOKUP(B9209,'REGISTRO ABONOS'!$B$8:$BC$10041,54,0)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hidden="1" x14ac:dyDescent="0.2">
      <c r="B9210" s="31">
        <v>9201</v>
      </c>
      <c r="J9210">
        <f t="shared" si="149"/>
        <v>105000</v>
      </c>
      <c r="K9210" t="e">
        <f>VLOOKUP(B9210,'REGISTRO ABONOS'!$B$8:$BC$10041,54,0)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hidden="1" x14ac:dyDescent="0.2">
      <c r="B9211" s="31">
        <v>9202</v>
      </c>
      <c r="J9211">
        <f t="shared" si="149"/>
        <v>105000</v>
      </c>
      <c r="K9211" t="e">
        <f>VLOOKUP(B9211,'REGISTRO ABONOS'!$B$8:$BC$10041,54,0)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hidden="1" x14ac:dyDescent="0.2">
      <c r="B9212" s="31">
        <v>9203</v>
      </c>
      <c r="J9212">
        <f t="shared" si="149"/>
        <v>105000</v>
      </c>
      <c r="K9212" t="e">
        <f>VLOOKUP(B9212,'REGISTRO ABONOS'!$B$8:$BC$10041,54,0)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hidden="1" x14ac:dyDescent="0.2">
      <c r="B9213" s="31">
        <v>9204</v>
      </c>
      <c r="J9213">
        <f t="shared" si="149"/>
        <v>105000</v>
      </c>
      <c r="K9213" t="e">
        <f>VLOOKUP(B9213,'REGISTRO ABONOS'!$B$8:$BC$10041,54,0)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hidden="1" x14ac:dyDescent="0.2">
      <c r="B9214" s="31">
        <v>9205</v>
      </c>
      <c r="J9214">
        <f t="shared" si="149"/>
        <v>105000</v>
      </c>
      <c r="K9214" t="e">
        <f>VLOOKUP(B9214,'REGISTRO ABONOS'!$B$8:$BC$10041,54,0)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hidden="1" x14ac:dyDescent="0.2">
      <c r="B9215" s="31">
        <v>9206</v>
      </c>
      <c r="J9215">
        <f t="shared" si="149"/>
        <v>105000</v>
      </c>
      <c r="K9215" t="e">
        <f>VLOOKUP(B9215,'REGISTRO ABONOS'!$B$8:$BC$10041,54,0)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hidden="1" x14ac:dyDescent="0.2">
      <c r="B9216" s="31">
        <v>9207</v>
      </c>
      <c r="J9216">
        <f t="shared" si="149"/>
        <v>105000</v>
      </c>
      <c r="K9216" t="e">
        <f>VLOOKUP(B9216,'REGISTRO ABONOS'!$B$8:$BC$10041,54,0)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hidden="1" x14ac:dyDescent="0.2">
      <c r="B9217" s="31">
        <v>9208</v>
      </c>
      <c r="J9217">
        <f t="shared" si="149"/>
        <v>105000</v>
      </c>
      <c r="K9217" t="e">
        <f>VLOOKUP(B9217,'REGISTRO ABONOS'!$B$8:$BC$10041,54,0)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hidden="1" x14ac:dyDescent="0.2">
      <c r="B9218" s="31">
        <v>9209</v>
      </c>
      <c r="J9218">
        <f t="shared" si="149"/>
        <v>105000</v>
      </c>
      <c r="K9218" t="e">
        <f>VLOOKUP(B9218,'REGISTRO ABONOS'!$B$8:$BC$10041,54,0)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hidden="1" x14ac:dyDescent="0.2">
      <c r="B9219" s="31">
        <v>9210</v>
      </c>
      <c r="J9219">
        <f t="shared" si="149"/>
        <v>105000</v>
      </c>
      <c r="K9219" t="e">
        <f>VLOOKUP(B9219,'REGISTRO ABONOS'!$B$8:$BC$10041,54,0)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hidden="1" x14ac:dyDescent="0.2">
      <c r="B9220" s="31">
        <v>9211</v>
      </c>
      <c r="J9220">
        <f t="shared" si="149"/>
        <v>105000</v>
      </c>
      <c r="K9220" t="e">
        <f>VLOOKUP(B9220,'REGISTRO ABONOS'!$B$8:$BC$10041,54,0)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hidden="1" x14ac:dyDescent="0.2">
      <c r="B9221" s="31">
        <v>9212</v>
      </c>
      <c r="J9221">
        <f t="shared" si="149"/>
        <v>105000</v>
      </c>
      <c r="K9221" t="e">
        <f>VLOOKUP(B9221,'REGISTRO ABONOS'!$B$8:$BC$10041,54,0)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hidden="1" x14ac:dyDescent="0.2">
      <c r="B9222" s="31">
        <v>9213</v>
      </c>
      <c r="J9222">
        <f t="shared" si="149"/>
        <v>105000</v>
      </c>
      <c r="K9222" t="e">
        <f>VLOOKUP(B9222,'REGISTRO ABONOS'!$B$8:$BC$10041,54,0)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hidden="1" x14ac:dyDescent="0.2">
      <c r="B9223" s="31">
        <v>9214</v>
      </c>
      <c r="J9223">
        <f t="shared" si="149"/>
        <v>105000</v>
      </c>
      <c r="K9223" t="e">
        <f>VLOOKUP(B9223,'REGISTRO ABONOS'!$B$8:$BC$10041,54,0)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hidden="1" x14ac:dyDescent="0.2">
      <c r="B9224" s="31">
        <v>9215</v>
      </c>
      <c r="J9224">
        <f t="shared" si="149"/>
        <v>105000</v>
      </c>
      <c r="K9224" t="e">
        <f>VLOOKUP(B9224,'REGISTRO ABONOS'!$B$8:$BC$10041,54,0)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hidden="1" x14ac:dyDescent="0.2">
      <c r="B9225" s="31">
        <v>9216</v>
      </c>
      <c r="J9225">
        <f t="shared" si="149"/>
        <v>105000</v>
      </c>
      <c r="K9225" t="e">
        <f>VLOOKUP(B9225,'REGISTRO ABONOS'!$B$8:$BC$10041,54,0)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hidden="1" x14ac:dyDescent="0.2">
      <c r="B9226" s="31">
        <v>9217</v>
      </c>
      <c r="J9226">
        <f t="shared" si="149"/>
        <v>105000</v>
      </c>
      <c r="K9226" t="e">
        <f>VLOOKUP(B9226,'REGISTRO ABONOS'!$B$8:$BC$10041,54,0)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hidden="1" x14ac:dyDescent="0.2">
      <c r="B9227" s="31">
        <v>9218</v>
      </c>
      <c r="J9227">
        <f t="shared" si="149"/>
        <v>105000</v>
      </c>
      <c r="K9227" t="e">
        <f>VLOOKUP(B9227,'REGISTRO ABONOS'!$B$8:$BC$10041,54,0)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hidden="1" x14ac:dyDescent="0.2">
      <c r="B9228" s="31">
        <v>9219</v>
      </c>
      <c r="J9228">
        <f t="shared" si="149"/>
        <v>105000</v>
      </c>
      <c r="K9228" t="e">
        <f>VLOOKUP(B9228,'REGISTRO ABONOS'!$B$8:$BC$10041,54,0)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hidden="1" x14ac:dyDescent="0.2">
      <c r="B9229" s="31">
        <v>9220</v>
      </c>
      <c r="J9229">
        <f t="shared" si="149"/>
        <v>105000</v>
      </c>
      <c r="K9229" t="e">
        <f>VLOOKUP(B9229,'REGISTRO ABONOS'!$B$8:$BC$10041,54,0)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hidden="1" x14ac:dyDescent="0.2">
      <c r="B9230" s="31">
        <v>9221</v>
      </c>
      <c r="J9230">
        <f t="shared" si="149"/>
        <v>105000</v>
      </c>
      <c r="K9230" t="e">
        <f>VLOOKUP(B9230,'REGISTRO ABONOS'!$B$8:$BC$10041,54,0)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hidden="1" x14ac:dyDescent="0.2">
      <c r="B9231" s="31">
        <v>9222</v>
      </c>
      <c r="J9231">
        <f t="shared" si="149"/>
        <v>105000</v>
      </c>
      <c r="K9231" t="e">
        <f>VLOOKUP(B9231,'REGISTRO ABONOS'!$B$8:$BC$10041,54,0)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hidden="1" x14ac:dyDescent="0.2">
      <c r="B9232" s="31">
        <v>9223</v>
      </c>
      <c r="J9232">
        <f t="shared" si="149"/>
        <v>105000</v>
      </c>
      <c r="K9232" t="e">
        <f>VLOOKUP(B9232,'REGISTRO ABONOS'!$B$8:$BC$10041,54,0)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hidden="1" x14ac:dyDescent="0.2">
      <c r="B9233" s="31">
        <v>9224</v>
      </c>
      <c r="J9233">
        <f t="shared" si="149"/>
        <v>105000</v>
      </c>
      <c r="K9233" t="e">
        <f>VLOOKUP(B9233,'REGISTRO ABONOS'!$B$8:$BC$10041,54,0)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hidden="1" x14ac:dyDescent="0.2">
      <c r="B9234" s="31">
        <v>9225</v>
      </c>
      <c r="J9234">
        <f t="shared" si="149"/>
        <v>105000</v>
      </c>
      <c r="K9234" t="e">
        <f>VLOOKUP(B9234,'REGISTRO ABONOS'!$B$8:$BC$10041,54,0)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hidden="1" x14ac:dyDescent="0.2">
      <c r="B9235" s="31">
        <v>9226</v>
      </c>
      <c r="J9235">
        <f t="shared" si="149"/>
        <v>105000</v>
      </c>
      <c r="K9235" t="e">
        <f>VLOOKUP(B9235,'REGISTRO ABONOS'!$B$8:$BC$10041,54,0)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hidden="1" x14ac:dyDescent="0.2">
      <c r="B9236" s="31">
        <v>9227</v>
      </c>
      <c r="J9236">
        <f t="shared" si="149"/>
        <v>105000</v>
      </c>
      <c r="K9236" t="e">
        <f>VLOOKUP(B9236,'REGISTRO ABONOS'!$B$8:$BC$10041,54,0)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hidden="1" x14ac:dyDescent="0.2">
      <c r="B9237" s="31">
        <v>9228</v>
      </c>
      <c r="J9237">
        <f t="shared" si="149"/>
        <v>105000</v>
      </c>
      <c r="K9237" t="e">
        <f>VLOOKUP(B9237,'REGISTRO ABONOS'!$B$8:$BC$10041,54,0)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hidden="1" x14ac:dyDescent="0.2">
      <c r="B9238" s="31">
        <v>9229</v>
      </c>
      <c r="J9238">
        <f t="shared" si="149"/>
        <v>105000</v>
      </c>
      <c r="K9238" t="e">
        <f>VLOOKUP(B9238,'REGISTRO ABONOS'!$B$8:$BC$10041,54,0)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hidden="1" x14ac:dyDescent="0.2">
      <c r="B9239" s="31">
        <v>9230</v>
      </c>
      <c r="J9239">
        <f t="shared" si="149"/>
        <v>105000</v>
      </c>
      <c r="K9239" t="e">
        <f>VLOOKUP(B9239,'REGISTRO ABONOS'!$B$8:$BC$10041,54,0)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hidden="1" x14ac:dyDescent="0.2">
      <c r="B9240" s="31">
        <v>9231</v>
      </c>
      <c r="J9240">
        <f t="shared" si="149"/>
        <v>105000</v>
      </c>
      <c r="K9240" t="e">
        <f>VLOOKUP(B9240,'REGISTRO ABONOS'!$B$8:$BC$10041,54,0)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hidden="1" x14ac:dyDescent="0.2">
      <c r="B9241" s="31">
        <v>9232</v>
      </c>
      <c r="J9241">
        <f t="shared" si="149"/>
        <v>105000</v>
      </c>
      <c r="K9241" t="e">
        <f>VLOOKUP(B9241,'REGISTRO ABONOS'!$B$8:$BC$10041,54,0)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hidden="1" x14ac:dyDescent="0.2">
      <c r="B9242" s="31">
        <v>9233</v>
      </c>
      <c r="J9242">
        <f t="shared" si="149"/>
        <v>105000</v>
      </c>
      <c r="K9242" t="e">
        <f>VLOOKUP(B9242,'REGISTRO ABONOS'!$B$8:$BC$10041,54,0)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hidden="1" x14ac:dyDescent="0.2">
      <c r="B9243" s="31">
        <v>9234</v>
      </c>
      <c r="J9243">
        <f t="shared" si="149"/>
        <v>105000</v>
      </c>
      <c r="K9243" t="e">
        <f>VLOOKUP(B9243,'REGISTRO ABONOS'!$B$8:$BC$10041,54,0)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hidden="1" x14ac:dyDescent="0.2">
      <c r="B9244" s="31">
        <v>9235</v>
      </c>
      <c r="J9244">
        <f t="shared" si="149"/>
        <v>105000</v>
      </c>
      <c r="K9244" t="e">
        <f>VLOOKUP(B9244,'REGISTRO ABONOS'!$B$8:$BC$10041,54,0)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hidden="1" x14ac:dyDescent="0.2">
      <c r="B9245" s="31">
        <v>9236</v>
      </c>
      <c r="J9245">
        <f t="shared" si="149"/>
        <v>105000</v>
      </c>
      <c r="K9245" t="e">
        <f>VLOOKUP(B9245,'REGISTRO ABONOS'!$B$8:$BC$10041,54,0)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hidden="1" x14ac:dyDescent="0.2">
      <c r="B9246" s="31">
        <v>9237</v>
      </c>
      <c r="J9246">
        <f t="shared" si="149"/>
        <v>105000</v>
      </c>
      <c r="K9246" t="e">
        <f>VLOOKUP(B9246,'REGISTRO ABONOS'!$B$8:$BC$10041,54,0)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hidden="1" x14ac:dyDescent="0.2">
      <c r="B9247" s="31">
        <v>9238</v>
      </c>
      <c r="J9247">
        <f t="shared" si="149"/>
        <v>105000</v>
      </c>
      <c r="K9247" t="e">
        <f>VLOOKUP(B9247,'REGISTRO ABONOS'!$B$8:$BC$10041,54,0)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hidden="1" x14ac:dyDescent="0.2">
      <c r="B9248" s="31">
        <v>9239</v>
      </c>
      <c r="J9248">
        <f t="shared" si="149"/>
        <v>105000</v>
      </c>
      <c r="K9248" t="e">
        <f>VLOOKUP(B9248,'REGISTRO ABONOS'!$B$8:$BC$10041,54,0)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hidden="1" x14ac:dyDescent="0.2">
      <c r="B9249" s="31">
        <v>9240</v>
      </c>
      <c r="J9249">
        <f t="shared" si="149"/>
        <v>105000</v>
      </c>
      <c r="K9249" t="e">
        <f>VLOOKUP(B9249,'REGISTRO ABONOS'!$B$8:$BC$10041,54,0)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hidden="1" x14ac:dyDescent="0.2">
      <c r="B9250" s="31">
        <v>9241</v>
      </c>
      <c r="J9250">
        <f t="shared" si="149"/>
        <v>105000</v>
      </c>
      <c r="K9250" t="e">
        <f>VLOOKUP(B9250,'REGISTRO ABONOS'!$B$8:$BC$10041,54,0)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hidden="1" x14ac:dyDescent="0.2">
      <c r="B9251" s="31">
        <v>9242</v>
      </c>
      <c r="J9251">
        <f t="shared" si="149"/>
        <v>105000</v>
      </c>
      <c r="K9251" t="e">
        <f>VLOOKUP(B9251,'REGISTRO ABONOS'!$B$8:$BC$10041,54,0)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hidden="1" x14ac:dyDescent="0.2">
      <c r="B9252" s="31">
        <v>9243</v>
      </c>
      <c r="C9252" s="10">
        <v>43571</v>
      </c>
      <c r="D9252" t="s">
        <v>509</v>
      </c>
      <c r="H9252" t="s">
        <v>509</v>
      </c>
      <c r="I9252" t="s">
        <v>322</v>
      </c>
      <c r="J9252">
        <f t="shared" si="149"/>
        <v>105000</v>
      </c>
      <c r="K9252" t="e">
        <f>VLOOKUP(B9252,'REGISTRO ABONOS'!$B$8:$BC$10041,54,0)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hidden="1" x14ac:dyDescent="0.2">
      <c r="B9253" s="31">
        <v>9244</v>
      </c>
      <c r="J9253">
        <f t="shared" si="149"/>
        <v>105000</v>
      </c>
      <c r="K9253" t="e">
        <f>VLOOKUP(B9253,'REGISTRO ABONOS'!$B$8:$BC$10041,54,0)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hidden="1" x14ac:dyDescent="0.2">
      <c r="B9254" s="31">
        <v>9245</v>
      </c>
      <c r="J9254">
        <f t="shared" si="149"/>
        <v>105000</v>
      </c>
      <c r="K9254" t="e">
        <f>VLOOKUP(B9254,'REGISTRO ABONOS'!$B$8:$BC$10041,54,0)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hidden="1" x14ac:dyDescent="0.2">
      <c r="B9255" s="31">
        <v>9246</v>
      </c>
      <c r="J9255">
        <f t="shared" si="149"/>
        <v>105000</v>
      </c>
      <c r="K9255" t="e">
        <f>VLOOKUP(B9255,'REGISTRO ABONOS'!$B$8:$BC$10041,54,0)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hidden="1" x14ac:dyDescent="0.2">
      <c r="B9256" s="31">
        <v>9247</v>
      </c>
      <c r="J9256">
        <f t="shared" si="149"/>
        <v>105000</v>
      </c>
      <c r="K9256" t="e">
        <f>VLOOKUP(B9256,'REGISTRO ABONOS'!$B$8:$BC$10041,54,0)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hidden="1" x14ac:dyDescent="0.2">
      <c r="B9257" s="31">
        <v>9248</v>
      </c>
      <c r="J9257">
        <f t="shared" si="149"/>
        <v>105000</v>
      </c>
      <c r="K9257" t="e">
        <f>VLOOKUP(B9257,'REGISTRO ABONOS'!$B$8:$BC$10041,54,0)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hidden="1" x14ac:dyDescent="0.2">
      <c r="B9258" s="31">
        <v>9249</v>
      </c>
      <c r="J9258">
        <f t="shared" ref="J9258:J9321" si="150">IF(C9258&gt;43607,130000,105000)</f>
        <v>105000</v>
      </c>
      <c r="K9258" t="e">
        <f>VLOOKUP(B9258,'REGISTRO ABONOS'!$B$8:$BC$10041,54,0)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hidden="1" x14ac:dyDescent="0.2">
      <c r="B9259" s="31">
        <v>9250</v>
      </c>
      <c r="J9259">
        <f t="shared" si="150"/>
        <v>105000</v>
      </c>
      <c r="K9259" t="e">
        <f>VLOOKUP(B9259,'REGISTRO ABONOS'!$B$8:$BC$10041,54,0)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hidden="1" x14ac:dyDescent="0.2">
      <c r="B9260" s="31">
        <v>9251</v>
      </c>
      <c r="J9260">
        <f t="shared" si="150"/>
        <v>105000</v>
      </c>
      <c r="K9260" t="e">
        <f>VLOOKUP(B9260,'REGISTRO ABONOS'!$B$8:$BC$10041,54,0)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hidden="1" x14ac:dyDescent="0.2">
      <c r="B9261" s="31">
        <v>9252</v>
      </c>
      <c r="J9261">
        <f t="shared" si="150"/>
        <v>105000</v>
      </c>
      <c r="K9261" t="e">
        <f>VLOOKUP(B9261,'REGISTRO ABONOS'!$B$8:$BC$10041,54,0)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hidden="1" x14ac:dyDescent="0.2">
      <c r="B9262" s="31">
        <v>9253</v>
      </c>
      <c r="J9262">
        <f t="shared" si="150"/>
        <v>105000</v>
      </c>
      <c r="K9262" t="e">
        <f>VLOOKUP(B9262,'REGISTRO ABONOS'!$B$8:$BC$10041,54,0)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hidden="1" x14ac:dyDescent="0.2">
      <c r="B9263" s="31">
        <v>9254</v>
      </c>
      <c r="J9263">
        <f t="shared" si="150"/>
        <v>105000</v>
      </c>
      <c r="K9263" t="e">
        <f>VLOOKUP(B9263,'REGISTRO ABONOS'!$B$8:$BC$10041,54,0)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hidden="1" x14ac:dyDescent="0.2">
      <c r="B9264" s="31">
        <v>9255</v>
      </c>
      <c r="J9264">
        <f t="shared" si="150"/>
        <v>105000</v>
      </c>
      <c r="K9264" t="e">
        <f>VLOOKUP(B9264,'REGISTRO ABONOS'!$B$8:$BC$10041,54,0)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hidden="1" x14ac:dyDescent="0.2">
      <c r="B9265" s="31">
        <v>9256</v>
      </c>
      <c r="J9265">
        <f t="shared" si="150"/>
        <v>105000</v>
      </c>
      <c r="K9265" t="e">
        <f>VLOOKUP(B9265,'REGISTRO ABONOS'!$B$8:$BC$10041,54,0)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hidden="1" x14ac:dyDescent="0.2">
      <c r="B9266" s="31">
        <v>9257</v>
      </c>
      <c r="J9266">
        <f t="shared" si="150"/>
        <v>105000</v>
      </c>
      <c r="K9266" t="e">
        <f>VLOOKUP(B9266,'REGISTRO ABONOS'!$B$8:$BC$10041,54,0)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hidden="1" x14ac:dyDescent="0.2">
      <c r="B9267" s="31">
        <v>9258</v>
      </c>
      <c r="J9267">
        <f t="shared" si="150"/>
        <v>105000</v>
      </c>
      <c r="K9267" t="e">
        <f>VLOOKUP(B9267,'REGISTRO ABONOS'!$B$8:$BC$10041,54,0)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hidden="1" x14ac:dyDescent="0.2">
      <c r="B9268" s="31">
        <v>9259</v>
      </c>
      <c r="J9268">
        <f t="shared" si="150"/>
        <v>105000</v>
      </c>
      <c r="K9268" t="e">
        <f>VLOOKUP(B9268,'REGISTRO ABONOS'!$B$8:$BC$10041,54,0)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hidden="1" x14ac:dyDescent="0.2">
      <c r="B9269" s="31">
        <v>9260</v>
      </c>
      <c r="J9269">
        <f t="shared" si="150"/>
        <v>105000</v>
      </c>
      <c r="K9269" t="e">
        <f>VLOOKUP(B9269,'REGISTRO ABONOS'!$B$8:$BC$10041,54,0)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hidden="1" x14ac:dyDescent="0.2">
      <c r="B9270" s="31">
        <v>9261</v>
      </c>
      <c r="J9270">
        <f t="shared" si="150"/>
        <v>105000</v>
      </c>
      <c r="K9270" t="e">
        <f>VLOOKUP(B9270,'REGISTRO ABONOS'!$B$8:$BC$10041,54,0)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hidden="1" x14ac:dyDescent="0.2">
      <c r="B9271" s="31">
        <v>9262</v>
      </c>
      <c r="J9271">
        <f t="shared" si="150"/>
        <v>105000</v>
      </c>
      <c r="K9271" t="e">
        <f>VLOOKUP(B9271,'REGISTRO ABONOS'!$B$8:$BC$10041,54,0)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hidden="1" x14ac:dyDescent="0.2">
      <c r="B9272" s="31">
        <v>9263</v>
      </c>
      <c r="J9272">
        <f t="shared" si="150"/>
        <v>105000</v>
      </c>
      <c r="K9272" t="e">
        <f>VLOOKUP(B9272,'REGISTRO ABONOS'!$B$8:$BC$10041,54,0)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hidden="1" x14ac:dyDescent="0.2">
      <c r="B9273" s="31">
        <v>9264</v>
      </c>
      <c r="J9273">
        <f t="shared" si="150"/>
        <v>105000</v>
      </c>
      <c r="K9273" t="e">
        <f>VLOOKUP(B9273,'REGISTRO ABONOS'!$B$8:$BC$10041,54,0)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hidden="1" x14ac:dyDescent="0.2">
      <c r="B9274" s="31">
        <v>9265</v>
      </c>
      <c r="J9274">
        <f t="shared" si="150"/>
        <v>105000</v>
      </c>
      <c r="K9274" t="e">
        <f>VLOOKUP(B9274,'REGISTRO ABONOS'!$B$8:$BC$10041,54,0)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hidden="1" x14ac:dyDescent="0.2">
      <c r="B9275" s="31">
        <v>9266</v>
      </c>
      <c r="J9275">
        <f t="shared" si="150"/>
        <v>105000</v>
      </c>
      <c r="K9275" t="e">
        <f>VLOOKUP(B9275,'REGISTRO ABONOS'!$B$8:$BC$10041,54,0)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hidden="1" x14ac:dyDescent="0.2">
      <c r="B9276" s="31">
        <v>9267</v>
      </c>
      <c r="J9276">
        <f t="shared" si="150"/>
        <v>105000</v>
      </c>
      <c r="K9276" t="e">
        <f>VLOOKUP(B9276,'REGISTRO ABONOS'!$B$8:$BC$10041,54,0)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hidden="1" x14ac:dyDescent="0.2">
      <c r="B9277" s="31">
        <v>9268</v>
      </c>
      <c r="J9277">
        <f t="shared" si="150"/>
        <v>105000</v>
      </c>
      <c r="K9277" t="e">
        <f>VLOOKUP(B9277,'REGISTRO ABONOS'!$B$8:$BC$10041,54,0)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hidden="1" x14ac:dyDescent="0.2">
      <c r="B9278" s="31">
        <v>9269</v>
      </c>
      <c r="J9278">
        <f t="shared" si="150"/>
        <v>105000</v>
      </c>
      <c r="K9278" t="e">
        <f>VLOOKUP(B9278,'REGISTRO ABONOS'!$B$8:$BC$10041,54,0)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hidden="1" x14ac:dyDescent="0.2">
      <c r="B9279" s="31">
        <v>9270</v>
      </c>
      <c r="J9279">
        <f t="shared" si="150"/>
        <v>105000</v>
      </c>
      <c r="K9279" t="e">
        <f>VLOOKUP(B9279,'REGISTRO ABONOS'!$B$8:$BC$10041,54,0)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hidden="1" x14ac:dyDescent="0.2">
      <c r="B9280" s="31">
        <v>9271</v>
      </c>
      <c r="J9280">
        <f t="shared" si="150"/>
        <v>105000</v>
      </c>
      <c r="K9280" t="e">
        <f>VLOOKUP(B9280,'REGISTRO ABONOS'!$B$8:$BC$10041,54,0)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hidden="1" x14ac:dyDescent="0.2">
      <c r="B9281" s="31">
        <v>9272</v>
      </c>
      <c r="J9281">
        <f t="shared" si="150"/>
        <v>105000</v>
      </c>
      <c r="K9281" t="e">
        <f>VLOOKUP(B9281,'REGISTRO ABONOS'!$B$8:$BC$10041,54,0)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hidden="1" x14ac:dyDescent="0.2">
      <c r="B9282" s="31">
        <v>9273</v>
      </c>
      <c r="J9282">
        <f t="shared" si="150"/>
        <v>105000</v>
      </c>
      <c r="K9282" t="e">
        <f>VLOOKUP(B9282,'REGISTRO ABONOS'!$B$8:$BC$10041,54,0)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hidden="1" x14ac:dyDescent="0.2">
      <c r="B9283" s="31">
        <v>9274</v>
      </c>
      <c r="J9283">
        <f t="shared" si="150"/>
        <v>105000</v>
      </c>
      <c r="K9283" t="e">
        <f>VLOOKUP(B9283,'REGISTRO ABONOS'!$B$8:$BC$10041,54,0)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hidden="1" x14ac:dyDescent="0.2">
      <c r="B9284" s="31">
        <v>9275</v>
      </c>
      <c r="J9284">
        <f t="shared" si="150"/>
        <v>105000</v>
      </c>
      <c r="K9284" t="e">
        <f>VLOOKUP(B9284,'REGISTRO ABONOS'!$B$8:$BC$10041,54,0)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hidden="1" x14ac:dyDescent="0.2">
      <c r="B9285" s="31">
        <v>9276</v>
      </c>
      <c r="J9285">
        <f t="shared" si="150"/>
        <v>105000</v>
      </c>
      <c r="K9285" t="e">
        <f>VLOOKUP(B9285,'REGISTRO ABONOS'!$B$8:$BC$10041,54,0)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hidden="1" x14ac:dyDescent="0.2">
      <c r="B9286" s="31">
        <v>9277</v>
      </c>
      <c r="J9286">
        <f t="shared" si="150"/>
        <v>105000</v>
      </c>
      <c r="K9286" t="e">
        <f>VLOOKUP(B9286,'REGISTRO ABONOS'!$B$8:$BC$10041,54,0)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hidden="1" x14ac:dyDescent="0.2">
      <c r="B9287" s="31">
        <v>9278</v>
      </c>
      <c r="J9287">
        <f t="shared" si="150"/>
        <v>105000</v>
      </c>
      <c r="K9287" t="e">
        <f>VLOOKUP(B9287,'REGISTRO ABONOS'!$B$8:$BC$10041,54,0)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hidden="1" x14ac:dyDescent="0.2">
      <c r="B9288" s="31">
        <v>9279</v>
      </c>
      <c r="J9288">
        <f t="shared" si="150"/>
        <v>105000</v>
      </c>
      <c r="K9288" t="e">
        <f>VLOOKUP(B9288,'REGISTRO ABONOS'!$B$8:$BC$10041,54,0)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hidden="1" x14ac:dyDescent="0.2">
      <c r="B9289" s="31">
        <v>9280</v>
      </c>
      <c r="J9289">
        <f t="shared" si="150"/>
        <v>105000</v>
      </c>
      <c r="K9289" t="e">
        <f>VLOOKUP(B9289,'REGISTRO ABONOS'!$B$8:$BC$10041,54,0)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hidden="1" x14ac:dyDescent="0.2">
      <c r="B9290" s="31">
        <v>9281</v>
      </c>
      <c r="J9290">
        <f t="shared" si="150"/>
        <v>105000</v>
      </c>
      <c r="K9290" t="e">
        <f>VLOOKUP(B9290,'REGISTRO ABONOS'!$B$8:$BC$10041,54,0)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hidden="1" x14ac:dyDescent="0.2">
      <c r="B9291" s="31">
        <v>9282</v>
      </c>
      <c r="J9291">
        <f t="shared" si="150"/>
        <v>105000</v>
      </c>
      <c r="K9291" t="e">
        <f>VLOOKUP(B9291,'REGISTRO ABONOS'!$B$8:$BC$10041,54,0)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hidden="1" x14ac:dyDescent="0.2">
      <c r="B9292" s="31">
        <v>9283</v>
      </c>
      <c r="J9292">
        <f t="shared" si="150"/>
        <v>105000</v>
      </c>
      <c r="K9292" t="e">
        <f>VLOOKUP(B9292,'REGISTRO ABONOS'!$B$8:$BC$10041,54,0)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hidden="1" x14ac:dyDescent="0.2">
      <c r="B9293" s="31">
        <v>9284</v>
      </c>
      <c r="J9293">
        <f t="shared" si="150"/>
        <v>105000</v>
      </c>
      <c r="K9293" t="e">
        <f>VLOOKUP(B9293,'REGISTRO ABONOS'!$B$8:$BC$10041,54,0)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hidden="1" x14ac:dyDescent="0.2">
      <c r="B9294" s="31">
        <v>9285</v>
      </c>
      <c r="J9294">
        <f t="shared" si="150"/>
        <v>105000</v>
      </c>
      <c r="K9294" t="e">
        <f>VLOOKUP(B9294,'REGISTRO ABONOS'!$B$8:$BC$10041,54,0)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hidden="1" x14ac:dyDescent="0.2">
      <c r="B9295" s="31">
        <v>9286</v>
      </c>
      <c r="J9295">
        <f t="shared" si="150"/>
        <v>105000</v>
      </c>
      <c r="K9295" t="e">
        <f>VLOOKUP(B9295,'REGISTRO ABONOS'!$B$8:$BC$10041,54,0)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hidden="1" x14ac:dyDescent="0.2">
      <c r="B9296" s="31">
        <v>9287</v>
      </c>
      <c r="J9296">
        <f t="shared" si="150"/>
        <v>105000</v>
      </c>
      <c r="K9296" t="e">
        <f>VLOOKUP(B9296,'REGISTRO ABONOS'!$B$8:$BC$10041,54,0)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hidden="1" x14ac:dyDescent="0.2">
      <c r="B9297" s="31">
        <v>9288</v>
      </c>
      <c r="J9297">
        <f t="shared" si="150"/>
        <v>105000</v>
      </c>
      <c r="K9297" t="e">
        <f>VLOOKUP(B9297,'REGISTRO ABONOS'!$B$8:$BC$10041,54,0)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hidden="1" x14ac:dyDescent="0.2">
      <c r="B9298" s="31">
        <v>9289</v>
      </c>
      <c r="J9298">
        <f t="shared" si="150"/>
        <v>105000</v>
      </c>
      <c r="K9298" t="e">
        <f>VLOOKUP(B9298,'REGISTRO ABONOS'!$B$8:$BC$10041,54,0)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hidden="1" x14ac:dyDescent="0.2">
      <c r="B9299" s="31">
        <v>9290</v>
      </c>
      <c r="J9299">
        <f t="shared" si="150"/>
        <v>105000</v>
      </c>
      <c r="K9299" t="e">
        <f>VLOOKUP(B9299,'REGISTRO ABONOS'!$B$8:$BC$10041,54,0)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hidden="1" x14ac:dyDescent="0.2">
      <c r="B9300" s="31">
        <v>9291</v>
      </c>
      <c r="J9300">
        <f t="shared" si="150"/>
        <v>105000</v>
      </c>
      <c r="K9300" t="e">
        <f>VLOOKUP(B9300,'REGISTRO ABONOS'!$B$8:$BC$10041,54,0)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hidden="1" x14ac:dyDescent="0.2">
      <c r="B9301" s="31">
        <v>9292</v>
      </c>
      <c r="J9301">
        <f t="shared" si="150"/>
        <v>105000</v>
      </c>
      <c r="K9301" t="e">
        <f>VLOOKUP(B9301,'REGISTRO ABONOS'!$B$8:$BC$10041,54,0)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hidden="1" x14ac:dyDescent="0.2">
      <c r="B9302" s="31">
        <v>9293</v>
      </c>
      <c r="J9302">
        <f t="shared" si="150"/>
        <v>105000</v>
      </c>
      <c r="K9302" t="e">
        <f>VLOOKUP(B9302,'REGISTRO ABONOS'!$B$8:$BC$10041,54,0)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hidden="1" x14ac:dyDescent="0.2">
      <c r="B9303" s="31">
        <v>9294</v>
      </c>
      <c r="J9303">
        <f t="shared" si="150"/>
        <v>105000</v>
      </c>
      <c r="K9303" t="e">
        <f>VLOOKUP(B9303,'REGISTRO ABONOS'!$B$8:$BC$10041,54,0)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hidden="1" x14ac:dyDescent="0.2">
      <c r="B9304" s="31">
        <v>9295</v>
      </c>
      <c r="J9304">
        <f t="shared" si="150"/>
        <v>105000</v>
      </c>
      <c r="K9304" t="e">
        <f>VLOOKUP(B9304,'REGISTRO ABONOS'!$B$8:$BC$10041,54,0)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hidden="1" x14ac:dyDescent="0.2">
      <c r="B9305" s="31">
        <v>9296</v>
      </c>
      <c r="J9305">
        <f t="shared" si="150"/>
        <v>105000</v>
      </c>
      <c r="K9305" t="e">
        <f>VLOOKUP(B9305,'REGISTRO ABONOS'!$B$8:$BC$10041,54,0)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hidden="1" x14ac:dyDescent="0.2">
      <c r="B9306" s="31">
        <v>9297</v>
      </c>
      <c r="J9306">
        <f t="shared" si="150"/>
        <v>105000</v>
      </c>
      <c r="K9306" t="e">
        <f>VLOOKUP(B9306,'REGISTRO ABONOS'!$B$8:$BC$10041,54,0)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hidden="1" x14ac:dyDescent="0.2">
      <c r="B9307" s="31">
        <v>9298</v>
      </c>
      <c r="J9307">
        <f t="shared" si="150"/>
        <v>105000</v>
      </c>
      <c r="K9307" t="e">
        <f>VLOOKUP(B9307,'REGISTRO ABONOS'!$B$8:$BC$10041,54,0)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hidden="1" x14ac:dyDescent="0.2">
      <c r="B9308" s="31">
        <v>9299</v>
      </c>
      <c r="J9308">
        <f t="shared" si="150"/>
        <v>105000</v>
      </c>
      <c r="K9308" t="e">
        <f>VLOOKUP(B9308,'REGISTRO ABONOS'!$B$8:$BC$10041,54,0)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hidden="1" x14ac:dyDescent="0.2">
      <c r="B9309" s="31">
        <v>9300</v>
      </c>
      <c r="J9309">
        <f t="shared" si="150"/>
        <v>105000</v>
      </c>
      <c r="K9309" t="e">
        <f>VLOOKUP(B9309,'REGISTRO ABONOS'!$B$8:$BC$10041,54,0)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hidden="1" x14ac:dyDescent="0.2">
      <c r="B9310" s="31">
        <v>9301</v>
      </c>
      <c r="J9310">
        <f t="shared" si="150"/>
        <v>105000</v>
      </c>
      <c r="K9310" t="e">
        <f>VLOOKUP(B9310,'REGISTRO ABONOS'!$B$8:$BC$10041,54,0)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hidden="1" x14ac:dyDescent="0.2">
      <c r="B9311" s="31">
        <v>9302</v>
      </c>
      <c r="J9311">
        <f t="shared" si="150"/>
        <v>105000</v>
      </c>
      <c r="K9311" t="e">
        <f>VLOOKUP(B9311,'REGISTRO ABONOS'!$B$8:$BC$10041,54,0)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hidden="1" x14ac:dyDescent="0.2">
      <c r="B9312" s="31">
        <v>9303</v>
      </c>
      <c r="J9312">
        <f t="shared" si="150"/>
        <v>105000</v>
      </c>
      <c r="K9312" t="e">
        <f>VLOOKUP(B9312,'REGISTRO ABONOS'!$B$8:$BC$10041,54,0)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hidden="1" x14ac:dyDescent="0.2">
      <c r="B9313" s="31">
        <v>9304</v>
      </c>
      <c r="J9313">
        <f t="shared" si="150"/>
        <v>105000</v>
      </c>
      <c r="K9313" t="e">
        <f>VLOOKUP(B9313,'REGISTRO ABONOS'!$B$8:$BC$10041,54,0)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hidden="1" x14ac:dyDescent="0.2">
      <c r="B9314" s="31">
        <v>9305</v>
      </c>
      <c r="J9314">
        <f t="shared" si="150"/>
        <v>105000</v>
      </c>
      <c r="K9314" t="e">
        <f>VLOOKUP(B9314,'REGISTRO ABONOS'!$B$8:$BC$10041,54,0)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hidden="1" x14ac:dyDescent="0.2">
      <c r="B9315" s="31">
        <v>9306</v>
      </c>
      <c r="J9315">
        <f t="shared" si="150"/>
        <v>105000</v>
      </c>
      <c r="K9315" t="e">
        <f>VLOOKUP(B9315,'REGISTRO ABONOS'!$B$8:$BC$10041,54,0)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hidden="1" x14ac:dyDescent="0.2">
      <c r="B9316" s="31">
        <v>9307</v>
      </c>
      <c r="J9316">
        <f t="shared" si="150"/>
        <v>105000</v>
      </c>
      <c r="K9316" t="e">
        <f>VLOOKUP(B9316,'REGISTRO ABONOS'!$B$8:$BC$10041,54,0)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hidden="1" x14ac:dyDescent="0.2">
      <c r="B9317" s="31">
        <v>9308</v>
      </c>
      <c r="J9317">
        <f t="shared" si="150"/>
        <v>105000</v>
      </c>
      <c r="K9317" t="e">
        <f>VLOOKUP(B9317,'REGISTRO ABONOS'!$B$8:$BC$10041,54,0)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hidden="1" x14ac:dyDescent="0.2">
      <c r="B9318" s="31">
        <v>9309</v>
      </c>
      <c r="J9318">
        <f t="shared" si="150"/>
        <v>105000</v>
      </c>
      <c r="K9318" t="e">
        <f>VLOOKUP(B9318,'REGISTRO ABONOS'!$B$8:$BC$10041,54,0)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hidden="1" x14ac:dyDescent="0.2">
      <c r="B9319" s="31">
        <v>9310</v>
      </c>
      <c r="J9319">
        <f t="shared" si="150"/>
        <v>105000</v>
      </c>
      <c r="K9319" t="e">
        <f>VLOOKUP(B9319,'REGISTRO ABONOS'!$B$8:$BC$10041,54,0)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hidden="1" x14ac:dyDescent="0.2">
      <c r="B9320" s="31">
        <v>9311</v>
      </c>
      <c r="J9320">
        <f t="shared" si="150"/>
        <v>105000</v>
      </c>
      <c r="K9320" t="e">
        <f>VLOOKUP(B9320,'REGISTRO ABONOS'!$B$8:$BC$10041,54,0)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hidden="1" x14ac:dyDescent="0.2">
      <c r="B9321" s="31">
        <v>9312</v>
      </c>
      <c r="J9321">
        <f t="shared" si="150"/>
        <v>105000</v>
      </c>
      <c r="K9321" t="e">
        <f>VLOOKUP(B9321,'REGISTRO ABONOS'!$B$8:$BC$10041,54,0)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hidden="1" x14ac:dyDescent="0.2">
      <c r="B9322" s="31">
        <v>9313</v>
      </c>
      <c r="J9322">
        <f t="shared" ref="J9322:J9385" si="151">IF(C9322&gt;43607,130000,105000)</f>
        <v>105000</v>
      </c>
      <c r="K9322" t="e">
        <f>VLOOKUP(B9322,'REGISTRO ABONOS'!$B$8:$BC$10041,54,0)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hidden="1" x14ac:dyDescent="0.2">
      <c r="B9323" s="31">
        <v>9314</v>
      </c>
      <c r="J9323">
        <f t="shared" si="151"/>
        <v>105000</v>
      </c>
      <c r="K9323" t="e">
        <f>VLOOKUP(B9323,'REGISTRO ABONOS'!$B$8:$BC$10041,54,0)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hidden="1" x14ac:dyDescent="0.2">
      <c r="B9324" s="31">
        <v>9315</v>
      </c>
      <c r="J9324">
        <f t="shared" si="151"/>
        <v>105000</v>
      </c>
      <c r="K9324" t="e">
        <f>VLOOKUP(B9324,'REGISTRO ABONOS'!$B$8:$BC$10041,54,0)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hidden="1" x14ac:dyDescent="0.2">
      <c r="B9325" s="31">
        <v>9316</v>
      </c>
      <c r="J9325">
        <f t="shared" si="151"/>
        <v>105000</v>
      </c>
      <c r="K9325" t="e">
        <f>VLOOKUP(B9325,'REGISTRO ABONOS'!$B$8:$BC$10041,54,0)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hidden="1" x14ac:dyDescent="0.2">
      <c r="B9326" s="31">
        <v>9317</v>
      </c>
      <c r="J9326">
        <f t="shared" si="151"/>
        <v>105000</v>
      </c>
      <c r="K9326" t="e">
        <f>VLOOKUP(B9326,'REGISTRO ABONOS'!$B$8:$BC$10041,54,0)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hidden="1" x14ac:dyDescent="0.2">
      <c r="B9327" s="31">
        <v>9318</v>
      </c>
      <c r="J9327">
        <f t="shared" si="151"/>
        <v>105000</v>
      </c>
      <c r="K9327" t="e">
        <f>VLOOKUP(B9327,'REGISTRO ABONOS'!$B$8:$BC$10041,54,0)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hidden="1" x14ac:dyDescent="0.2">
      <c r="B9328" s="31">
        <v>9319</v>
      </c>
      <c r="J9328">
        <f t="shared" si="151"/>
        <v>105000</v>
      </c>
      <c r="K9328" t="e">
        <f>VLOOKUP(B9328,'REGISTRO ABONOS'!$B$8:$BC$10041,54,0)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hidden="1" x14ac:dyDescent="0.2">
      <c r="B9329" s="31">
        <v>9320</v>
      </c>
      <c r="J9329">
        <f t="shared" si="151"/>
        <v>105000</v>
      </c>
      <c r="K9329" t="e">
        <f>VLOOKUP(B9329,'REGISTRO ABONOS'!$B$8:$BC$10041,54,0)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hidden="1" x14ac:dyDescent="0.2">
      <c r="B9330" s="31">
        <v>9321</v>
      </c>
      <c r="J9330">
        <f t="shared" si="151"/>
        <v>105000</v>
      </c>
      <c r="K9330" t="e">
        <f>VLOOKUP(B9330,'REGISTRO ABONOS'!$B$8:$BC$10041,54,0)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hidden="1" x14ac:dyDescent="0.2">
      <c r="B9331" s="31">
        <v>9322</v>
      </c>
      <c r="J9331">
        <f t="shared" si="151"/>
        <v>105000</v>
      </c>
      <c r="K9331" t="e">
        <f>VLOOKUP(B9331,'REGISTRO ABONOS'!$B$8:$BC$10041,54,0)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hidden="1" x14ac:dyDescent="0.2">
      <c r="B9332" s="31">
        <v>9323</v>
      </c>
      <c r="J9332">
        <f t="shared" si="151"/>
        <v>105000</v>
      </c>
      <c r="K9332" t="e">
        <f>VLOOKUP(B9332,'REGISTRO ABONOS'!$B$8:$BC$10041,54,0)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hidden="1" x14ac:dyDescent="0.2">
      <c r="B9333" s="31">
        <v>9324</v>
      </c>
      <c r="J9333">
        <f t="shared" si="151"/>
        <v>105000</v>
      </c>
      <c r="K9333" t="e">
        <f>VLOOKUP(B9333,'REGISTRO ABONOS'!$B$8:$BC$10041,54,0)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hidden="1" x14ac:dyDescent="0.2">
      <c r="B9334" s="31">
        <v>9325</v>
      </c>
      <c r="J9334">
        <f t="shared" si="151"/>
        <v>105000</v>
      </c>
      <c r="K9334" t="e">
        <f>VLOOKUP(B9334,'REGISTRO ABONOS'!$B$8:$BC$10041,54,0)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hidden="1" x14ac:dyDescent="0.2">
      <c r="B9335" s="31">
        <v>9326</v>
      </c>
      <c r="J9335">
        <f t="shared" si="151"/>
        <v>105000</v>
      </c>
      <c r="K9335" t="e">
        <f>VLOOKUP(B9335,'REGISTRO ABONOS'!$B$8:$BC$10041,54,0)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hidden="1" x14ac:dyDescent="0.2">
      <c r="B9336" s="31">
        <v>9327</v>
      </c>
      <c r="J9336">
        <f t="shared" si="151"/>
        <v>105000</v>
      </c>
      <c r="K9336" t="e">
        <f>VLOOKUP(B9336,'REGISTRO ABONOS'!$B$8:$BC$10041,54,0)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hidden="1" x14ac:dyDescent="0.2">
      <c r="B9337" s="31">
        <v>9328</v>
      </c>
      <c r="J9337">
        <f t="shared" si="151"/>
        <v>105000</v>
      </c>
      <c r="K9337" t="e">
        <f>VLOOKUP(B9337,'REGISTRO ABONOS'!$B$8:$BC$10041,54,0)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hidden="1" x14ac:dyDescent="0.2">
      <c r="B9338" s="31">
        <v>9329</v>
      </c>
      <c r="J9338">
        <f t="shared" si="151"/>
        <v>105000</v>
      </c>
      <c r="K9338" t="e">
        <f>VLOOKUP(B9338,'REGISTRO ABONOS'!$B$8:$BC$10041,54,0)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hidden="1" x14ac:dyDescent="0.2">
      <c r="B9339" s="31">
        <v>9330</v>
      </c>
      <c r="J9339">
        <f t="shared" si="151"/>
        <v>105000</v>
      </c>
      <c r="K9339" t="e">
        <f>VLOOKUP(B9339,'REGISTRO ABONOS'!$B$8:$BC$10041,54,0)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hidden="1" x14ac:dyDescent="0.2">
      <c r="B9340" s="31">
        <v>9331</v>
      </c>
      <c r="J9340">
        <f t="shared" si="151"/>
        <v>105000</v>
      </c>
      <c r="K9340" t="e">
        <f>VLOOKUP(B9340,'REGISTRO ABONOS'!$B$8:$BC$10041,54,0)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hidden="1" x14ac:dyDescent="0.2">
      <c r="B9341" s="31">
        <v>9332</v>
      </c>
      <c r="J9341">
        <f t="shared" si="151"/>
        <v>105000</v>
      </c>
      <c r="K9341" t="e">
        <f>VLOOKUP(B9341,'REGISTRO ABONOS'!$B$8:$BC$10041,54,0)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hidden="1" x14ac:dyDescent="0.2">
      <c r="B9342" s="31">
        <v>9333</v>
      </c>
      <c r="J9342">
        <f t="shared" si="151"/>
        <v>105000</v>
      </c>
      <c r="K9342" t="e">
        <f>VLOOKUP(B9342,'REGISTRO ABONOS'!$B$8:$BC$10041,54,0)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hidden="1" x14ac:dyDescent="0.2">
      <c r="B9343" s="31">
        <v>9334</v>
      </c>
      <c r="J9343">
        <f t="shared" si="151"/>
        <v>105000</v>
      </c>
      <c r="K9343" t="e">
        <f>VLOOKUP(B9343,'REGISTRO ABONOS'!$B$8:$BC$10041,54,0)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hidden="1" x14ac:dyDescent="0.2">
      <c r="B9344" s="31">
        <v>9335</v>
      </c>
      <c r="J9344">
        <f t="shared" si="151"/>
        <v>105000</v>
      </c>
      <c r="K9344" t="e">
        <f>VLOOKUP(B9344,'REGISTRO ABONOS'!$B$8:$BC$10041,54,0)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hidden="1" x14ac:dyDescent="0.2">
      <c r="B9345" s="31">
        <v>9336</v>
      </c>
      <c r="J9345">
        <f t="shared" si="151"/>
        <v>105000</v>
      </c>
      <c r="K9345" t="e">
        <f>VLOOKUP(B9345,'REGISTRO ABONOS'!$B$8:$BC$10041,54,0)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hidden="1" x14ac:dyDescent="0.2">
      <c r="B9346" s="31">
        <v>9337</v>
      </c>
      <c r="J9346">
        <f t="shared" si="151"/>
        <v>105000</v>
      </c>
      <c r="K9346" t="e">
        <f>VLOOKUP(B9346,'REGISTRO ABONOS'!$B$8:$BC$10041,54,0)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hidden="1" x14ac:dyDescent="0.2">
      <c r="B9347" s="31">
        <v>9338</v>
      </c>
      <c r="J9347">
        <f t="shared" si="151"/>
        <v>105000</v>
      </c>
      <c r="K9347" t="e">
        <f>VLOOKUP(B9347,'REGISTRO ABONOS'!$B$8:$BC$10041,54,0)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hidden="1" x14ac:dyDescent="0.2">
      <c r="B9348" s="31">
        <v>9339</v>
      </c>
      <c r="J9348">
        <f t="shared" si="151"/>
        <v>105000</v>
      </c>
      <c r="K9348" t="e">
        <f>VLOOKUP(B9348,'REGISTRO ABONOS'!$B$8:$BC$10041,54,0)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hidden="1" x14ac:dyDescent="0.2">
      <c r="B9349" s="31">
        <v>9340</v>
      </c>
      <c r="J9349">
        <f t="shared" si="151"/>
        <v>105000</v>
      </c>
      <c r="K9349" t="e">
        <f>VLOOKUP(B9349,'REGISTRO ABONOS'!$B$8:$BC$10041,54,0)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hidden="1" x14ac:dyDescent="0.2">
      <c r="B9350" s="31">
        <v>9341</v>
      </c>
      <c r="J9350">
        <f t="shared" si="151"/>
        <v>105000</v>
      </c>
      <c r="K9350" t="e">
        <f>VLOOKUP(B9350,'REGISTRO ABONOS'!$B$8:$BC$10041,54,0)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hidden="1" x14ac:dyDescent="0.2">
      <c r="B9351" s="31">
        <v>9342</v>
      </c>
      <c r="J9351">
        <f t="shared" si="151"/>
        <v>105000</v>
      </c>
      <c r="K9351" t="e">
        <f>VLOOKUP(B9351,'REGISTRO ABONOS'!$B$8:$BC$10041,54,0)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hidden="1" x14ac:dyDescent="0.2">
      <c r="B9352" s="31">
        <v>9343</v>
      </c>
      <c r="J9352">
        <f t="shared" si="151"/>
        <v>105000</v>
      </c>
      <c r="K9352" t="e">
        <f>VLOOKUP(B9352,'REGISTRO ABONOS'!$B$8:$BC$10041,54,0)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hidden="1" x14ac:dyDescent="0.2">
      <c r="B9353" s="31">
        <v>9344</v>
      </c>
      <c r="J9353">
        <f t="shared" si="151"/>
        <v>105000</v>
      </c>
      <c r="K9353" t="e">
        <f>VLOOKUP(B9353,'REGISTRO ABONOS'!$B$8:$BC$10041,54,0)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hidden="1" x14ac:dyDescent="0.2">
      <c r="B9354" s="31">
        <v>9345</v>
      </c>
      <c r="J9354">
        <f t="shared" si="151"/>
        <v>105000</v>
      </c>
      <c r="K9354" t="e">
        <f>VLOOKUP(B9354,'REGISTRO ABONOS'!$B$8:$BC$10041,54,0)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hidden="1" x14ac:dyDescent="0.2">
      <c r="B9355" s="31">
        <v>9346</v>
      </c>
      <c r="J9355">
        <f t="shared" si="151"/>
        <v>105000</v>
      </c>
      <c r="K9355" t="e">
        <f>VLOOKUP(B9355,'REGISTRO ABONOS'!$B$8:$BC$10041,54,0)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hidden="1" x14ac:dyDescent="0.2">
      <c r="B9356" s="31">
        <v>9347</v>
      </c>
      <c r="J9356">
        <f t="shared" si="151"/>
        <v>105000</v>
      </c>
      <c r="K9356" t="e">
        <f>VLOOKUP(B9356,'REGISTRO ABONOS'!$B$8:$BC$10041,54,0)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hidden="1" x14ac:dyDescent="0.2">
      <c r="B9357" s="31">
        <v>9348</v>
      </c>
      <c r="J9357">
        <f t="shared" si="151"/>
        <v>105000</v>
      </c>
      <c r="K9357" t="e">
        <f>VLOOKUP(B9357,'REGISTRO ABONOS'!$B$8:$BC$10041,54,0)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hidden="1" x14ac:dyDescent="0.2">
      <c r="B9358" s="31">
        <v>9349</v>
      </c>
      <c r="J9358">
        <f t="shared" si="151"/>
        <v>105000</v>
      </c>
      <c r="K9358" t="e">
        <f>VLOOKUP(B9358,'REGISTRO ABONOS'!$B$8:$BC$10041,54,0)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hidden="1" x14ac:dyDescent="0.2">
      <c r="B9359" s="31">
        <v>9350</v>
      </c>
      <c r="J9359">
        <f t="shared" si="151"/>
        <v>105000</v>
      </c>
      <c r="K9359" t="e">
        <f>VLOOKUP(B9359,'REGISTRO ABONOS'!$B$8:$BC$10041,54,0)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hidden="1" x14ac:dyDescent="0.2">
      <c r="B9360" s="31">
        <v>9351</v>
      </c>
      <c r="J9360">
        <f t="shared" si="151"/>
        <v>105000</v>
      </c>
      <c r="K9360" t="e">
        <f>VLOOKUP(B9360,'REGISTRO ABONOS'!$B$8:$BC$10041,54,0)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hidden="1" x14ac:dyDescent="0.2">
      <c r="B9361" s="31">
        <v>9352</v>
      </c>
      <c r="J9361">
        <f t="shared" si="151"/>
        <v>105000</v>
      </c>
      <c r="K9361" t="e">
        <f>VLOOKUP(B9361,'REGISTRO ABONOS'!$B$8:$BC$10041,54,0)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hidden="1" x14ac:dyDescent="0.2">
      <c r="B9362" s="31">
        <v>9353</v>
      </c>
      <c r="J9362">
        <f t="shared" si="151"/>
        <v>105000</v>
      </c>
      <c r="K9362" t="e">
        <f>VLOOKUP(B9362,'REGISTRO ABONOS'!$B$8:$BC$10041,54,0)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hidden="1" x14ac:dyDescent="0.2">
      <c r="B9363" s="31">
        <v>9354</v>
      </c>
      <c r="J9363">
        <f t="shared" si="151"/>
        <v>105000</v>
      </c>
      <c r="K9363" t="e">
        <f>VLOOKUP(B9363,'REGISTRO ABONOS'!$B$8:$BC$10041,54,0)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hidden="1" x14ac:dyDescent="0.2">
      <c r="B9364" s="31">
        <v>9355</v>
      </c>
      <c r="J9364">
        <f t="shared" si="151"/>
        <v>105000</v>
      </c>
      <c r="K9364" t="e">
        <f>VLOOKUP(B9364,'REGISTRO ABONOS'!$B$8:$BC$10041,54,0)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hidden="1" x14ac:dyDescent="0.2">
      <c r="B9365" s="31">
        <v>9356</v>
      </c>
      <c r="J9365">
        <f t="shared" si="151"/>
        <v>105000</v>
      </c>
      <c r="K9365" t="e">
        <f>VLOOKUP(B9365,'REGISTRO ABONOS'!$B$8:$BC$10041,54,0)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hidden="1" x14ac:dyDescent="0.2">
      <c r="B9366" s="31">
        <v>9357</v>
      </c>
      <c r="J9366">
        <f t="shared" si="151"/>
        <v>105000</v>
      </c>
      <c r="K9366" t="e">
        <f>VLOOKUP(B9366,'REGISTRO ABONOS'!$B$8:$BC$10041,54,0)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hidden="1" x14ac:dyDescent="0.2">
      <c r="B9367" s="31">
        <v>9358</v>
      </c>
      <c r="J9367">
        <f t="shared" si="151"/>
        <v>105000</v>
      </c>
      <c r="K9367" t="e">
        <f>VLOOKUP(B9367,'REGISTRO ABONOS'!$B$8:$BC$10041,54,0)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hidden="1" x14ac:dyDescent="0.2">
      <c r="B9368" s="31">
        <v>9359</v>
      </c>
      <c r="J9368">
        <f t="shared" si="151"/>
        <v>105000</v>
      </c>
      <c r="K9368" t="e">
        <f>VLOOKUP(B9368,'REGISTRO ABONOS'!$B$8:$BC$10041,54,0)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hidden="1" x14ac:dyDescent="0.2">
      <c r="B9369" s="31">
        <v>9360</v>
      </c>
      <c r="J9369">
        <f t="shared" si="151"/>
        <v>105000</v>
      </c>
      <c r="K9369" t="e">
        <f>VLOOKUP(B9369,'REGISTRO ABONOS'!$B$8:$BC$10041,54,0)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hidden="1" x14ac:dyDescent="0.2">
      <c r="B9370" s="31">
        <v>9361</v>
      </c>
      <c r="J9370">
        <f t="shared" si="151"/>
        <v>105000</v>
      </c>
      <c r="K9370" t="e">
        <f>VLOOKUP(B9370,'REGISTRO ABONOS'!$B$8:$BC$10041,54,0)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hidden="1" x14ac:dyDescent="0.2">
      <c r="B9371" s="31">
        <v>9362</v>
      </c>
      <c r="J9371">
        <f t="shared" si="151"/>
        <v>105000</v>
      </c>
      <c r="K9371" t="e">
        <f>VLOOKUP(B9371,'REGISTRO ABONOS'!$B$8:$BC$10041,54,0)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hidden="1" x14ac:dyDescent="0.2">
      <c r="B9372" s="31">
        <v>9363</v>
      </c>
      <c r="J9372">
        <f t="shared" si="151"/>
        <v>105000</v>
      </c>
      <c r="K9372" t="e">
        <f>VLOOKUP(B9372,'REGISTRO ABONOS'!$B$8:$BC$10041,54,0)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hidden="1" x14ac:dyDescent="0.2">
      <c r="B9373" s="31">
        <v>9364</v>
      </c>
      <c r="J9373">
        <f t="shared" si="151"/>
        <v>105000</v>
      </c>
      <c r="K9373" t="e">
        <f>VLOOKUP(B9373,'REGISTRO ABONOS'!$B$8:$BC$10041,54,0)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hidden="1" x14ac:dyDescent="0.2">
      <c r="B9374" s="31">
        <v>9365</v>
      </c>
      <c r="J9374">
        <f t="shared" si="151"/>
        <v>105000</v>
      </c>
      <c r="K9374" t="e">
        <f>VLOOKUP(B9374,'REGISTRO ABONOS'!$B$8:$BC$10041,54,0)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hidden="1" x14ac:dyDescent="0.2">
      <c r="B9375" s="31">
        <v>9366</v>
      </c>
      <c r="J9375">
        <f t="shared" si="151"/>
        <v>105000</v>
      </c>
      <c r="K9375" t="e">
        <f>VLOOKUP(B9375,'REGISTRO ABONOS'!$B$8:$BC$10041,54,0)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hidden="1" x14ac:dyDescent="0.2">
      <c r="B9376" s="31">
        <v>9367</v>
      </c>
      <c r="J9376">
        <f t="shared" si="151"/>
        <v>105000</v>
      </c>
      <c r="K9376" t="e">
        <f>VLOOKUP(B9376,'REGISTRO ABONOS'!$B$8:$BC$10041,54,0)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hidden="1" x14ac:dyDescent="0.2">
      <c r="B9377" s="31">
        <v>9368</v>
      </c>
      <c r="J9377">
        <f t="shared" si="151"/>
        <v>105000</v>
      </c>
      <c r="K9377" t="e">
        <f>VLOOKUP(B9377,'REGISTRO ABONOS'!$B$8:$BC$10041,54,0)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hidden="1" x14ac:dyDescent="0.2">
      <c r="B9378" s="31">
        <v>9369</v>
      </c>
      <c r="J9378">
        <f t="shared" si="151"/>
        <v>105000</v>
      </c>
      <c r="K9378" t="e">
        <f>VLOOKUP(B9378,'REGISTRO ABONOS'!$B$8:$BC$10041,54,0)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hidden="1" x14ac:dyDescent="0.2">
      <c r="B9379" s="31">
        <v>9370</v>
      </c>
      <c r="J9379">
        <f t="shared" si="151"/>
        <v>105000</v>
      </c>
      <c r="K9379" t="e">
        <f>VLOOKUP(B9379,'REGISTRO ABONOS'!$B$8:$BC$10041,54,0)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hidden="1" x14ac:dyDescent="0.2">
      <c r="B9380" s="31">
        <v>9371</v>
      </c>
      <c r="J9380">
        <f t="shared" si="151"/>
        <v>105000</v>
      </c>
      <c r="K9380" t="e">
        <f>VLOOKUP(B9380,'REGISTRO ABONOS'!$B$8:$BC$10041,54,0)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hidden="1" x14ac:dyDescent="0.2">
      <c r="B9381" s="31">
        <v>9372</v>
      </c>
      <c r="J9381">
        <f t="shared" si="151"/>
        <v>105000</v>
      </c>
      <c r="K9381" t="e">
        <f>VLOOKUP(B9381,'REGISTRO ABONOS'!$B$8:$BC$10041,54,0)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hidden="1" x14ac:dyDescent="0.2">
      <c r="B9382" s="31">
        <v>9373</v>
      </c>
      <c r="J9382">
        <f t="shared" si="151"/>
        <v>105000</v>
      </c>
      <c r="K9382" t="e">
        <f>VLOOKUP(B9382,'REGISTRO ABONOS'!$B$8:$BC$10041,54,0)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hidden="1" x14ac:dyDescent="0.2">
      <c r="B9383" s="31">
        <v>9374</v>
      </c>
      <c r="J9383">
        <f t="shared" si="151"/>
        <v>105000</v>
      </c>
      <c r="K9383" t="e">
        <f>VLOOKUP(B9383,'REGISTRO ABONOS'!$B$8:$BC$10041,54,0)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hidden="1" x14ac:dyDescent="0.2">
      <c r="B9384" s="31">
        <v>9375</v>
      </c>
      <c r="J9384">
        <f t="shared" si="151"/>
        <v>105000</v>
      </c>
      <c r="K9384" t="e">
        <f>VLOOKUP(B9384,'REGISTRO ABONOS'!$B$8:$BC$10041,54,0)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hidden="1" x14ac:dyDescent="0.2">
      <c r="B9385" s="31">
        <v>9376</v>
      </c>
      <c r="J9385">
        <f t="shared" si="151"/>
        <v>105000</v>
      </c>
      <c r="K9385" t="e">
        <f>VLOOKUP(B9385,'REGISTRO ABONOS'!$B$8:$BC$10041,54,0)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hidden="1" x14ac:dyDescent="0.2">
      <c r="B9386" s="31">
        <v>9377</v>
      </c>
      <c r="J9386">
        <f t="shared" ref="J9386:J9449" si="152">IF(C9386&gt;43607,130000,105000)</f>
        <v>105000</v>
      </c>
      <c r="K9386" t="e">
        <f>VLOOKUP(B9386,'REGISTRO ABONOS'!$B$8:$BC$10041,54,0)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hidden="1" x14ac:dyDescent="0.2">
      <c r="B9387" s="31">
        <v>9378</v>
      </c>
      <c r="J9387">
        <f t="shared" si="152"/>
        <v>105000</v>
      </c>
      <c r="K9387" t="e">
        <f>VLOOKUP(B9387,'REGISTRO ABONOS'!$B$8:$BC$10041,54,0)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hidden="1" x14ac:dyDescent="0.2">
      <c r="B9388" s="31">
        <v>9379</v>
      </c>
      <c r="J9388">
        <f t="shared" si="152"/>
        <v>105000</v>
      </c>
      <c r="K9388" t="e">
        <f>VLOOKUP(B9388,'REGISTRO ABONOS'!$B$8:$BC$10041,54,0)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hidden="1" x14ac:dyDescent="0.2">
      <c r="B9389" s="31">
        <v>9380</v>
      </c>
      <c r="J9389">
        <f t="shared" si="152"/>
        <v>105000</v>
      </c>
      <c r="K9389" t="e">
        <f>VLOOKUP(B9389,'REGISTRO ABONOS'!$B$8:$BC$10041,54,0)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hidden="1" x14ac:dyDescent="0.2">
      <c r="B9390" s="31">
        <v>9381</v>
      </c>
      <c r="J9390">
        <f t="shared" si="152"/>
        <v>105000</v>
      </c>
      <c r="K9390" t="e">
        <f>VLOOKUP(B9390,'REGISTRO ABONOS'!$B$8:$BC$10041,54,0)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hidden="1" x14ac:dyDescent="0.2">
      <c r="B9391" s="31">
        <v>9382</v>
      </c>
      <c r="J9391">
        <f t="shared" si="152"/>
        <v>105000</v>
      </c>
      <c r="K9391" t="e">
        <f>VLOOKUP(B9391,'REGISTRO ABONOS'!$B$8:$BC$10041,54,0)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hidden="1" x14ac:dyDescent="0.2">
      <c r="B9392" s="31">
        <v>9383</v>
      </c>
      <c r="J9392">
        <f t="shared" si="152"/>
        <v>105000</v>
      </c>
      <c r="K9392" t="e">
        <f>VLOOKUP(B9392,'REGISTRO ABONOS'!$B$8:$BC$10041,54,0)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hidden="1" x14ac:dyDescent="0.2">
      <c r="B9393" s="31">
        <v>9384</v>
      </c>
      <c r="J9393">
        <f t="shared" si="152"/>
        <v>105000</v>
      </c>
      <c r="K9393" t="e">
        <f>VLOOKUP(B9393,'REGISTRO ABONOS'!$B$8:$BC$10041,54,0)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hidden="1" x14ac:dyDescent="0.2">
      <c r="B9394" s="31">
        <v>9385</v>
      </c>
      <c r="J9394">
        <f t="shared" si="152"/>
        <v>105000</v>
      </c>
      <c r="K9394" t="e">
        <f>VLOOKUP(B9394,'REGISTRO ABONOS'!$B$8:$BC$10041,54,0)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hidden="1" x14ac:dyDescent="0.2">
      <c r="B9395" s="31">
        <v>9386</v>
      </c>
      <c r="J9395">
        <f t="shared" si="152"/>
        <v>105000</v>
      </c>
      <c r="K9395" t="e">
        <f>VLOOKUP(B9395,'REGISTRO ABONOS'!$B$8:$BC$10041,54,0)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hidden="1" x14ac:dyDescent="0.2">
      <c r="B9396" s="31">
        <v>9387</v>
      </c>
      <c r="J9396">
        <f t="shared" si="152"/>
        <v>105000</v>
      </c>
      <c r="K9396" t="e">
        <f>VLOOKUP(B9396,'REGISTRO ABONOS'!$B$8:$BC$10041,54,0)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hidden="1" x14ac:dyDescent="0.2">
      <c r="B9397" s="31">
        <v>9388</v>
      </c>
      <c r="J9397">
        <f t="shared" si="152"/>
        <v>105000</v>
      </c>
      <c r="K9397" t="e">
        <f>VLOOKUP(B9397,'REGISTRO ABONOS'!$B$8:$BC$10041,54,0)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hidden="1" x14ac:dyDescent="0.2">
      <c r="B9398" s="31">
        <v>9389</v>
      </c>
      <c r="J9398">
        <f t="shared" si="152"/>
        <v>105000</v>
      </c>
      <c r="K9398" t="e">
        <f>VLOOKUP(B9398,'REGISTRO ABONOS'!$B$8:$BC$10041,54,0)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hidden="1" x14ac:dyDescent="0.2">
      <c r="B9399" s="31">
        <v>9390</v>
      </c>
      <c r="J9399">
        <f t="shared" si="152"/>
        <v>105000</v>
      </c>
      <c r="K9399" t="e">
        <f>VLOOKUP(B9399,'REGISTRO ABONOS'!$B$8:$BC$10041,54,0)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hidden="1" x14ac:dyDescent="0.2">
      <c r="B9400" s="31">
        <v>9391</v>
      </c>
      <c r="J9400">
        <f t="shared" si="152"/>
        <v>105000</v>
      </c>
      <c r="K9400" t="e">
        <f>VLOOKUP(B9400,'REGISTRO ABONOS'!$B$8:$BC$10041,54,0)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hidden="1" x14ac:dyDescent="0.2">
      <c r="B9401" s="31">
        <v>9392</v>
      </c>
      <c r="J9401">
        <f t="shared" si="152"/>
        <v>105000</v>
      </c>
      <c r="K9401" t="e">
        <f>VLOOKUP(B9401,'REGISTRO ABONOS'!$B$8:$BC$10041,54,0)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hidden="1" x14ac:dyDescent="0.2">
      <c r="B9402" s="31">
        <v>9393</v>
      </c>
      <c r="J9402">
        <f t="shared" si="152"/>
        <v>105000</v>
      </c>
      <c r="K9402" t="e">
        <f>VLOOKUP(B9402,'REGISTRO ABONOS'!$B$8:$BC$10041,54,0)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hidden="1" x14ac:dyDescent="0.2">
      <c r="B9403" s="31">
        <v>9394</v>
      </c>
      <c r="J9403">
        <f t="shared" si="152"/>
        <v>105000</v>
      </c>
      <c r="K9403" t="e">
        <f>VLOOKUP(B9403,'REGISTRO ABONOS'!$B$8:$BC$10041,54,0)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hidden="1" x14ac:dyDescent="0.2">
      <c r="B9404" s="31">
        <v>9395</v>
      </c>
      <c r="J9404">
        <f t="shared" si="152"/>
        <v>105000</v>
      </c>
      <c r="K9404" t="e">
        <f>VLOOKUP(B9404,'REGISTRO ABONOS'!$B$8:$BC$10041,54,0)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hidden="1" x14ac:dyDescent="0.2">
      <c r="B9405" s="31">
        <v>9396</v>
      </c>
      <c r="J9405">
        <f t="shared" si="152"/>
        <v>105000</v>
      </c>
      <c r="K9405" t="e">
        <f>VLOOKUP(B9405,'REGISTRO ABONOS'!$B$8:$BC$10041,54,0)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hidden="1" x14ac:dyDescent="0.2">
      <c r="B9406" s="31">
        <v>9397</v>
      </c>
      <c r="J9406">
        <f t="shared" si="152"/>
        <v>105000</v>
      </c>
      <c r="K9406" t="e">
        <f>VLOOKUP(B9406,'REGISTRO ABONOS'!$B$8:$BC$10041,54,0)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hidden="1" x14ac:dyDescent="0.2">
      <c r="B9407" s="31">
        <v>9398</v>
      </c>
      <c r="J9407">
        <f t="shared" si="152"/>
        <v>105000</v>
      </c>
      <c r="K9407" t="e">
        <f>VLOOKUP(B9407,'REGISTRO ABONOS'!$B$8:$BC$10041,54,0)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hidden="1" x14ac:dyDescent="0.2">
      <c r="B9408" s="31">
        <v>9399</v>
      </c>
      <c r="J9408">
        <f t="shared" si="152"/>
        <v>105000</v>
      </c>
      <c r="K9408" t="e">
        <f>VLOOKUP(B9408,'REGISTRO ABONOS'!$B$8:$BC$10041,54,0)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hidden="1" x14ac:dyDescent="0.2">
      <c r="B9409" s="31">
        <v>9400</v>
      </c>
      <c r="J9409">
        <f t="shared" si="152"/>
        <v>105000</v>
      </c>
      <c r="K9409" t="e">
        <f>VLOOKUP(B9409,'REGISTRO ABONOS'!$B$8:$BC$10041,54,0)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hidden="1" x14ac:dyDescent="0.2">
      <c r="B9410" s="31">
        <v>9401</v>
      </c>
      <c r="J9410">
        <f t="shared" si="152"/>
        <v>105000</v>
      </c>
      <c r="K9410" t="e">
        <f>VLOOKUP(B9410,'REGISTRO ABONOS'!$B$8:$BC$10041,54,0)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hidden="1" x14ac:dyDescent="0.2">
      <c r="B9411" s="31">
        <v>9402</v>
      </c>
      <c r="J9411">
        <f t="shared" si="152"/>
        <v>105000</v>
      </c>
      <c r="K9411" t="e">
        <f>VLOOKUP(B9411,'REGISTRO ABONOS'!$B$8:$BC$10041,54,0)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hidden="1" x14ac:dyDescent="0.2">
      <c r="B9412" s="31">
        <v>9403</v>
      </c>
      <c r="J9412">
        <f t="shared" si="152"/>
        <v>105000</v>
      </c>
      <c r="K9412" t="e">
        <f>VLOOKUP(B9412,'REGISTRO ABONOS'!$B$8:$BC$10041,54,0)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hidden="1" x14ac:dyDescent="0.2">
      <c r="B9413" s="31">
        <v>9404</v>
      </c>
      <c r="J9413">
        <f t="shared" si="152"/>
        <v>105000</v>
      </c>
      <c r="K9413" t="e">
        <f>VLOOKUP(B9413,'REGISTRO ABONOS'!$B$8:$BC$10041,54,0)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hidden="1" x14ac:dyDescent="0.2">
      <c r="B9414" s="31">
        <v>9405</v>
      </c>
      <c r="J9414">
        <f t="shared" si="152"/>
        <v>105000</v>
      </c>
      <c r="K9414" t="e">
        <f>VLOOKUP(B9414,'REGISTRO ABONOS'!$B$8:$BC$10041,54,0)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hidden="1" x14ac:dyDescent="0.2">
      <c r="B9415" s="31">
        <v>9406</v>
      </c>
      <c r="J9415">
        <f t="shared" si="152"/>
        <v>105000</v>
      </c>
      <c r="K9415" t="e">
        <f>VLOOKUP(B9415,'REGISTRO ABONOS'!$B$8:$BC$10041,54,0)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hidden="1" x14ac:dyDescent="0.2">
      <c r="B9416" s="31">
        <v>9407</v>
      </c>
      <c r="J9416">
        <f t="shared" si="152"/>
        <v>105000</v>
      </c>
      <c r="K9416" t="e">
        <f>VLOOKUP(B9416,'REGISTRO ABONOS'!$B$8:$BC$10041,54,0)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hidden="1" x14ac:dyDescent="0.2">
      <c r="B9417" s="31">
        <v>9408</v>
      </c>
      <c r="J9417">
        <f t="shared" si="152"/>
        <v>105000</v>
      </c>
      <c r="K9417" t="e">
        <f>VLOOKUP(B9417,'REGISTRO ABONOS'!$B$8:$BC$10041,54,0)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hidden="1" x14ac:dyDescent="0.2">
      <c r="B9418" s="31">
        <v>9409</v>
      </c>
      <c r="J9418">
        <f t="shared" si="152"/>
        <v>105000</v>
      </c>
      <c r="K9418" t="e">
        <f>VLOOKUP(B9418,'REGISTRO ABONOS'!$B$8:$BC$10041,54,0)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hidden="1" x14ac:dyDescent="0.2">
      <c r="B9419" s="31">
        <v>9410</v>
      </c>
      <c r="J9419">
        <f t="shared" si="152"/>
        <v>105000</v>
      </c>
      <c r="K9419" t="e">
        <f>VLOOKUP(B9419,'REGISTRO ABONOS'!$B$8:$BC$10041,54,0)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hidden="1" x14ac:dyDescent="0.2">
      <c r="B9420" s="31">
        <v>9411</v>
      </c>
      <c r="J9420">
        <f t="shared" si="152"/>
        <v>105000</v>
      </c>
      <c r="K9420" t="e">
        <f>VLOOKUP(B9420,'REGISTRO ABONOS'!$B$8:$BC$10041,54,0)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hidden="1" x14ac:dyDescent="0.2">
      <c r="B9421" s="31">
        <v>9412</v>
      </c>
      <c r="J9421">
        <f t="shared" si="152"/>
        <v>105000</v>
      </c>
      <c r="K9421" t="e">
        <f>VLOOKUP(B9421,'REGISTRO ABONOS'!$B$8:$BC$10041,54,0)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hidden="1" x14ac:dyDescent="0.2">
      <c r="B9422" s="31">
        <v>9413</v>
      </c>
      <c r="J9422">
        <f t="shared" si="152"/>
        <v>105000</v>
      </c>
      <c r="K9422" t="e">
        <f>VLOOKUP(B9422,'REGISTRO ABONOS'!$B$8:$BC$10041,54,0)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hidden="1" x14ac:dyDescent="0.2">
      <c r="B9423" s="31">
        <v>9414</v>
      </c>
      <c r="J9423">
        <f t="shared" si="152"/>
        <v>105000</v>
      </c>
      <c r="K9423" t="e">
        <f>VLOOKUP(B9423,'REGISTRO ABONOS'!$B$8:$BC$10041,54,0)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hidden="1" x14ac:dyDescent="0.2">
      <c r="B9424" s="31">
        <v>9415</v>
      </c>
      <c r="J9424">
        <f t="shared" si="152"/>
        <v>105000</v>
      </c>
      <c r="K9424" t="e">
        <f>VLOOKUP(B9424,'REGISTRO ABONOS'!$B$8:$BC$10041,54,0)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hidden="1" x14ac:dyDescent="0.2">
      <c r="B9425" s="31">
        <v>9416</v>
      </c>
      <c r="J9425">
        <f t="shared" si="152"/>
        <v>105000</v>
      </c>
      <c r="K9425" t="e">
        <f>VLOOKUP(B9425,'REGISTRO ABONOS'!$B$8:$BC$10041,54,0)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hidden="1" x14ac:dyDescent="0.2">
      <c r="B9426" s="31">
        <v>9417</v>
      </c>
      <c r="J9426">
        <f t="shared" si="152"/>
        <v>105000</v>
      </c>
      <c r="K9426" t="e">
        <f>VLOOKUP(B9426,'REGISTRO ABONOS'!$B$8:$BC$10041,54,0)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hidden="1" x14ac:dyDescent="0.2">
      <c r="B9427" s="31">
        <v>9418</v>
      </c>
      <c r="J9427">
        <f t="shared" si="152"/>
        <v>105000</v>
      </c>
      <c r="K9427" t="e">
        <f>VLOOKUP(B9427,'REGISTRO ABONOS'!$B$8:$BC$10041,54,0)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hidden="1" x14ac:dyDescent="0.2">
      <c r="B9428" s="31">
        <v>9419</v>
      </c>
      <c r="J9428">
        <f t="shared" si="152"/>
        <v>105000</v>
      </c>
      <c r="K9428" t="e">
        <f>VLOOKUP(B9428,'REGISTRO ABONOS'!$B$8:$BC$10041,54,0)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hidden="1" x14ac:dyDescent="0.2">
      <c r="B9429" s="31">
        <v>9420</v>
      </c>
      <c r="J9429">
        <f t="shared" si="152"/>
        <v>105000</v>
      </c>
      <c r="K9429" t="e">
        <f>VLOOKUP(B9429,'REGISTRO ABONOS'!$B$8:$BC$10041,54,0)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hidden="1" x14ac:dyDescent="0.2">
      <c r="B9430" s="31">
        <v>9421</v>
      </c>
      <c r="J9430">
        <f t="shared" si="152"/>
        <v>105000</v>
      </c>
      <c r="K9430" t="e">
        <f>VLOOKUP(B9430,'REGISTRO ABONOS'!$B$8:$BC$10041,54,0)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hidden="1" x14ac:dyDescent="0.2">
      <c r="B9431" s="31">
        <v>9422</v>
      </c>
      <c r="J9431">
        <f t="shared" si="152"/>
        <v>105000</v>
      </c>
      <c r="K9431" t="e">
        <f>VLOOKUP(B9431,'REGISTRO ABONOS'!$B$8:$BC$10041,54,0)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hidden="1" x14ac:dyDescent="0.2">
      <c r="B9432" s="31">
        <v>9423</v>
      </c>
      <c r="J9432">
        <f t="shared" si="152"/>
        <v>105000</v>
      </c>
      <c r="K9432" t="e">
        <f>VLOOKUP(B9432,'REGISTRO ABONOS'!$B$8:$BC$10041,54,0)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hidden="1" x14ac:dyDescent="0.2">
      <c r="B9433" s="31">
        <v>9424</v>
      </c>
      <c r="J9433">
        <f t="shared" si="152"/>
        <v>105000</v>
      </c>
      <c r="K9433" t="e">
        <f>VLOOKUP(B9433,'REGISTRO ABONOS'!$B$8:$BC$10041,54,0)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hidden="1" x14ac:dyDescent="0.2">
      <c r="B9434" s="31">
        <v>9425</v>
      </c>
      <c r="J9434">
        <f t="shared" si="152"/>
        <v>105000</v>
      </c>
      <c r="K9434" t="e">
        <f>VLOOKUP(B9434,'REGISTRO ABONOS'!$B$8:$BC$10041,54,0)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hidden="1" x14ac:dyDescent="0.2">
      <c r="B9435" s="31">
        <v>9426</v>
      </c>
      <c r="J9435">
        <f t="shared" si="152"/>
        <v>105000</v>
      </c>
      <c r="K9435" t="e">
        <f>VLOOKUP(B9435,'REGISTRO ABONOS'!$B$8:$BC$10041,54,0)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hidden="1" x14ac:dyDescent="0.2">
      <c r="B9436" s="31">
        <v>9427</v>
      </c>
      <c r="J9436">
        <f t="shared" si="152"/>
        <v>105000</v>
      </c>
      <c r="K9436" t="e">
        <f>VLOOKUP(B9436,'REGISTRO ABONOS'!$B$8:$BC$10041,54,0)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hidden="1" x14ac:dyDescent="0.2">
      <c r="B9437" s="31">
        <v>9428</v>
      </c>
      <c r="J9437">
        <f t="shared" si="152"/>
        <v>105000</v>
      </c>
      <c r="K9437" t="e">
        <f>VLOOKUP(B9437,'REGISTRO ABONOS'!$B$8:$BC$10041,54,0)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hidden="1" x14ac:dyDescent="0.2">
      <c r="B9438" s="31">
        <v>9429</v>
      </c>
      <c r="J9438">
        <f t="shared" si="152"/>
        <v>105000</v>
      </c>
      <c r="K9438" t="e">
        <f>VLOOKUP(B9438,'REGISTRO ABONOS'!$B$8:$BC$10041,54,0)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hidden="1" x14ac:dyDescent="0.2">
      <c r="B9439" s="31">
        <v>9430</v>
      </c>
      <c r="J9439">
        <f t="shared" si="152"/>
        <v>105000</v>
      </c>
      <c r="K9439" t="e">
        <f>VLOOKUP(B9439,'REGISTRO ABONOS'!$B$8:$BC$10041,54,0)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hidden="1" x14ac:dyDescent="0.2">
      <c r="B9440" s="31">
        <v>9431</v>
      </c>
      <c r="J9440">
        <f t="shared" si="152"/>
        <v>105000</v>
      </c>
      <c r="K9440" t="e">
        <f>VLOOKUP(B9440,'REGISTRO ABONOS'!$B$8:$BC$10041,54,0)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hidden="1" x14ac:dyDescent="0.2">
      <c r="B9441" s="31">
        <v>9432</v>
      </c>
      <c r="J9441">
        <f t="shared" si="152"/>
        <v>105000</v>
      </c>
      <c r="K9441" t="e">
        <f>VLOOKUP(B9441,'REGISTRO ABONOS'!$B$8:$BC$10041,54,0)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hidden="1" x14ac:dyDescent="0.2">
      <c r="B9442" s="31">
        <v>9433</v>
      </c>
      <c r="J9442">
        <f t="shared" si="152"/>
        <v>105000</v>
      </c>
      <c r="K9442" t="e">
        <f>VLOOKUP(B9442,'REGISTRO ABONOS'!$B$8:$BC$10041,54,0)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hidden="1" x14ac:dyDescent="0.2">
      <c r="B9443" s="31">
        <v>9434</v>
      </c>
      <c r="J9443">
        <f t="shared" si="152"/>
        <v>105000</v>
      </c>
      <c r="K9443" t="e">
        <f>VLOOKUP(B9443,'REGISTRO ABONOS'!$B$8:$BC$10041,54,0)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hidden="1" x14ac:dyDescent="0.2">
      <c r="B9444" s="31">
        <v>9435</v>
      </c>
      <c r="J9444">
        <f t="shared" si="152"/>
        <v>105000</v>
      </c>
      <c r="K9444" t="e">
        <f>VLOOKUP(B9444,'REGISTRO ABONOS'!$B$8:$BC$10041,54,0)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hidden="1" x14ac:dyDescent="0.2">
      <c r="B9445" s="31">
        <v>9436</v>
      </c>
      <c r="J9445">
        <f t="shared" si="152"/>
        <v>105000</v>
      </c>
      <c r="K9445" t="e">
        <f>VLOOKUP(B9445,'REGISTRO ABONOS'!$B$8:$BC$10041,54,0)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hidden="1" x14ac:dyDescent="0.2">
      <c r="B9446" s="31">
        <v>9437</v>
      </c>
      <c r="J9446">
        <f t="shared" si="152"/>
        <v>105000</v>
      </c>
      <c r="K9446" t="e">
        <f>VLOOKUP(B9446,'REGISTRO ABONOS'!$B$8:$BC$10041,54,0)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hidden="1" x14ac:dyDescent="0.2">
      <c r="B9447" s="31">
        <v>9438</v>
      </c>
      <c r="J9447">
        <f t="shared" si="152"/>
        <v>105000</v>
      </c>
      <c r="K9447" t="e">
        <f>VLOOKUP(B9447,'REGISTRO ABONOS'!$B$8:$BC$10041,54,0)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hidden="1" x14ac:dyDescent="0.2">
      <c r="B9448" s="31">
        <v>9439</v>
      </c>
      <c r="J9448">
        <f t="shared" si="152"/>
        <v>105000</v>
      </c>
      <c r="K9448" t="e">
        <f>VLOOKUP(B9448,'REGISTRO ABONOS'!$B$8:$BC$10041,54,0)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hidden="1" x14ac:dyDescent="0.2">
      <c r="B9449" s="31">
        <v>9440</v>
      </c>
      <c r="J9449">
        <f t="shared" si="152"/>
        <v>105000</v>
      </c>
      <c r="K9449" t="e">
        <f>VLOOKUP(B9449,'REGISTRO ABONOS'!$B$8:$BC$10041,54,0)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hidden="1" x14ac:dyDescent="0.2">
      <c r="B9450" s="31">
        <v>9441</v>
      </c>
      <c r="J9450">
        <f t="shared" ref="J9450:J9513" si="153">IF(C9450&gt;43607,130000,105000)</f>
        <v>105000</v>
      </c>
      <c r="K9450" t="e">
        <f>VLOOKUP(B9450,'REGISTRO ABONOS'!$B$8:$BC$10041,54,0)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hidden="1" x14ac:dyDescent="0.2">
      <c r="B9451" s="31">
        <v>9442</v>
      </c>
      <c r="J9451">
        <f t="shared" si="153"/>
        <v>105000</v>
      </c>
      <c r="K9451" t="e">
        <f>VLOOKUP(B9451,'REGISTRO ABONOS'!$B$8:$BC$10041,54,0)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hidden="1" x14ac:dyDescent="0.2">
      <c r="B9452" s="31">
        <v>9443</v>
      </c>
      <c r="J9452">
        <f t="shared" si="153"/>
        <v>105000</v>
      </c>
      <c r="K9452" t="e">
        <f>VLOOKUP(B9452,'REGISTRO ABONOS'!$B$8:$BC$10041,54,0)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hidden="1" x14ac:dyDescent="0.2">
      <c r="B9453" s="31">
        <v>9444</v>
      </c>
      <c r="J9453">
        <f t="shared" si="153"/>
        <v>105000</v>
      </c>
      <c r="K9453" t="e">
        <f>VLOOKUP(B9453,'REGISTRO ABONOS'!$B$8:$BC$10041,54,0)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hidden="1" x14ac:dyDescent="0.2">
      <c r="B9454" s="31">
        <v>9445</v>
      </c>
      <c r="J9454">
        <f t="shared" si="153"/>
        <v>105000</v>
      </c>
      <c r="K9454" t="e">
        <f>VLOOKUP(B9454,'REGISTRO ABONOS'!$B$8:$BC$10041,54,0)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hidden="1" x14ac:dyDescent="0.2">
      <c r="B9455" s="31">
        <v>9446</v>
      </c>
      <c r="J9455">
        <f t="shared" si="153"/>
        <v>105000</v>
      </c>
      <c r="K9455" t="e">
        <f>VLOOKUP(B9455,'REGISTRO ABONOS'!$B$8:$BC$10041,54,0)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hidden="1" x14ac:dyDescent="0.2">
      <c r="B9456" s="31">
        <v>9447</v>
      </c>
      <c r="J9456">
        <f t="shared" si="153"/>
        <v>105000</v>
      </c>
      <c r="K9456" t="e">
        <f>VLOOKUP(B9456,'REGISTRO ABONOS'!$B$8:$BC$10041,54,0)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hidden="1" x14ac:dyDescent="0.2">
      <c r="B9457" s="31">
        <v>9448</v>
      </c>
      <c r="J9457">
        <f t="shared" si="153"/>
        <v>105000</v>
      </c>
      <c r="K9457" t="e">
        <f>VLOOKUP(B9457,'REGISTRO ABONOS'!$B$8:$BC$10041,54,0)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hidden="1" x14ac:dyDescent="0.2">
      <c r="B9458" s="31">
        <v>9449</v>
      </c>
      <c r="J9458">
        <f t="shared" si="153"/>
        <v>105000</v>
      </c>
      <c r="K9458" t="e">
        <f>VLOOKUP(B9458,'REGISTRO ABONOS'!$B$8:$BC$10041,54,0)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hidden="1" x14ac:dyDescent="0.2">
      <c r="B9459" s="31">
        <v>9450</v>
      </c>
      <c r="C9459" s="10">
        <v>43571</v>
      </c>
      <c r="D9459" t="s">
        <v>487</v>
      </c>
      <c r="H9459" t="s">
        <v>487</v>
      </c>
      <c r="I9459" t="s">
        <v>322</v>
      </c>
      <c r="J9459">
        <f t="shared" si="153"/>
        <v>105000</v>
      </c>
      <c r="K9459" t="e">
        <f>VLOOKUP(B9459,'REGISTRO ABONOS'!$B$8:$BC$10041,54,0)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hidden="1" x14ac:dyDescent="0.2">
      <c r="B9460" s="31">
        <v>9451</v>
      </c>
      <c r="J9460">
        <f t="shared" si="153"/>
        <v>105000</v>
      </c>
      <c r="K9460" t="e">
        <f>VLOOKUP(B9460,'REGISTRO ABONOS'!$B$8:$BC$10041,54,0)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hidden="1" x14ac:dyDescent="0.2">
      <c r="B9461" s="31">
        <v>9452</v>
      </c>
      <c r="J9461">
        <f t="shared" si="153"/>
        <v>105000</v>
      </c>
      <c r="K9461" t="e">
        <f>VLOOKUP(B9461,'REGISTRO ABONOS'!$B$8:$BC$10041,54,0)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hidden="1" x14ac:dyDescent="0.2">
      <c r="B9462" s="31">
        <v>9453</v>
      </c>
      <c r="J9462">
        <f t="shared" si="153"/>
        <v>105000</v>
      </c>
      <c r="K9462" t="e">
        <f>VLOOKUP(B9462,'REGISTRO ABONOS'!$B$8:$BC$10041,54,0)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hidden="1" x14ac:dyDescent="0.2">
      <c r="B9463" s="31">
        <v>9454</v>
      </c>
      <c r="J9463">
        <f t="shared" si="153"/>
        <v>105000</v>
      </c>
      <c r="K9463" t="e">
        <f>VLOOKUP(B9463,'REGISTRO ABONOS'!$B$8:$BC$10041,54,0)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hidden="1" x14ac:dyDescent="0.2">
      <c r="B9464" s="31">
        <v>9455</v>
      </c>
      <c r="J9464">
        <f t="shared" si="153"/>
        <v>105000</v>
      </c>
      <c r="K9464" t="e">
        <f>VLOOKUP(B9464,'REGISTRO ABONOS'!$B$8:$BC$10041,54,0)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hidden="1" x14ac:dyDescent="0.2">
      <c r="B9465" s="31">
        <v>9456</v>
      </c>
      <c r="J9465">
        <f t="shared" si="153"/>
        <v>105000</v>
      </c>
      <c r="K9465" t="e">
        <f>VLOOKUP(B9465,'REGISTRO ABONOS'!$B$8:$BC$10041,54,0)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hidden="1" x14ac:dyDescent="0.2">
      <c r="B9466" s="31">
        <v>9457</v>
      </c>
      <c r="J9466">
        <f t="shared" si="153"/>
        <v>105000</v>
      </c>
      <c r="K9466" t="e">
        <f>VLOOKUP(B9466,'REGISTRO ABONOS'!$B$8:$BC$10041,54,0)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hidden="1" x14ac:dyDescent="0.2">
      <c r="B9467" s="31">
        <v>9458</v>
      </c>
      <c r="J9467">
        <f t="shared" si="153"/>
        <v>105000</v>
      </c>
      <c r="K9467" t="e">
        <f>VLOOKUP(B9467,'REGISTRO ABONOS'!$B$8:$BC$10041,54,0)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hidden="1" x14ac:dyDescent="0.2">
      <c r="B9468" s="31">
        <v>9459</v>
      </c>
      <c r="J9468">
        <f t="shared" si="153"/>
        <v>105000</v>
      </c>
      <c r="K9468" t="e">
        <f>VLOOKUP(B9468,'REGISTRO ABONOS'!$B$8:$BC$10041,54,0)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hidden="1" x14ac:dyDescent="0.2">
      <c r="B9469" s="31">
        <v>9460</v>
      </c>
      <c r="J9469">
        <f t="shared" si="153"/>
        <v>105000</v>
      </c>
      <c r="K9469" t="e">
        <f>VLOOKUP(B9469,'REGISTRO ABONOS'!$B$8:$BC$10041,54,0)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hidden="1" x14ac:dyDescent="0.2">
      <c r="B9470" s="31">
        <v>9461</v>
      </c>
      <c r="J9470">
        <f t="shared" si="153"/>
        <v>105000</v>
      </c>
      <c r="K9470" t="e">
        <f>VLOOKUP(B9470,'REGISTRO ABONOS'!$B$8:$BC$10041,54,0)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hidden="1" x14ac:dyDescent="0.2">
      <c r="B9471" s="31">
        <v>9462</v>
      </c>
      <c r="J9471">
        <f t="shared" si="153"/>
        <v>105000</v>
      </c>
      <c r="K9471" t="e">
        <f>VLOOKUP(B9471,'REGISTRO ABONOS'!$B$8:$BC$10041,54,0)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hidden="1" x14ac:dyDescent="0.2">
      <c r="B9472" s="31">
        <v>9463</v>
      </c>
      <c r="J9472">
        <f t="shared" si="153"/>
        <v>105000</v>
      </c>
      <c r="K9472" t="e">
        <f>VLOOKUP(B9472,'REGISTRO ABONOS'!$B$8:$BC$10041,54,0)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hidden="1" x14ac:dyDescent="0.2">
      <c r="B9473" s="31">
        <v>9464</v>
      </c>
      <c r="J9473">
        <f t="shared" si="153"/>
        <v>105000</v>
      </c>
      <c r="K9473" t="e">
        <f>VLOOKUP(B9473,'REGISTRO ABONOS'!$B$8:$BC$10041,54,0)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hidden="1" x14ac:dyDescent="0.2">
      <c r="B9474" s="31">
        <v>9465</v>
      </c>
      <c r="J9474">
        <f t="shared" si="153"/>
        <v>105000</v>
      </c>
      <c r="K9474" t="e">
        <f>VLOOKUP(B9474,'REGISTRO ABONOS'!$B$8:$BC$10041,54,0)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hidden="1" x14ac:dyDescent="0.2">
      <c r="B9475" s="31">
        <v>9466</v>
      </c>
      <c r="J9475">
        <f t="shared" si="153"/>
        <v>105000</v>
      </c>
      <c r="K9475" t="e">
        <f>VLOOKUP(B9475,'REGISTRO ABONOS'!$B$8:$BC$10041,54,0)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hidden="1" x14ac:dyDescent="0.2">
      <c r="B9476" s="31">
        <v>9467</v>
      </c>
      <c r="J9476">
        <f t="shared" si="153"/>
        <v>105000</v>
      </c>
      <c r="K9476" t="e">
        <f>VLOOKUP(B9476,'REGISTRO ABONOS'!$B$8:$BC$10041,54,0)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hidden="1" x14ac:dyDescent="0.2">
      <c r="B9477" s="31">
        <v>9468</v>
      </c>
      <c r="J9477">
        <f t="shared" si="153"/>
        <v>105000</v>
      </c>
      <c r="K9477" t="e">
        <f>VLOOKUP(B9477,'REGISTRO ABONOS'!$B$8:$BC$10041,54,0)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hidden="1" x14ac:dyDescent="0.2">
      <c r="B9478" s="31">
        <v>9469</v>
      </c>
      <c r="J9478">
        <f t="shared" si="153"/>
        <v>105000</v>
      </c>
      <c r="K9478" t="e">
        <f>VLOOKUP(B9478,'REGISTRO ABONOS'!$B$8:$BC$10041,54,0)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hidden="1" x14ac:dyDescent="0.2">
      <c r="B9479" s="31">
        <v>9470</v>
      </c>
      <c r="J9479">
        <f t="shared" si="153"/>
        <v>105000</v>
      </c>
      <c r="K9479" t="e">
        <f>VLOOKUP(B9479,'REGISTRO ABONOS'!$B$8:$BC$10041,54,0)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hidden="1" x14ac:dyDescent="0.2">
      <c r="B9480" s="31">
        <v>9471</v>
      </c>
      <c r="J9480">
        <f t="shared" si="153"/>
        <v>105000</v>
      </c>
      <c r="K9480" t="e">
        <f>VLOOKUP(B9480,'REGISTRO ABONOS'!$B$8:$BC$10041,54,0)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hidden="1" x14ac:dyDescent="0.2">
      <c r="B9481" s="31">
        <v>9472</v>
      </c>
      <c r="J9481">
        <f t="shared" si="153"/>
        <v>105000</v>
      </c>
      <c r="K9481" t="e">
        <f>VLOOKUP(B9481,'REGISTRO ABONOS'!$B$8:$BC$10041,54,0)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hidden="1" x14ac:dyDescent="0.2">
      <c r="B9482" s="31">
        <v>9473</v>
      </c>
      <c r="J9482">
        <f t="shared" si="153"/>
        <v>105000</v>
      </c>
      <c r="K9482" t="e">
        <f>VLOOKUP(B9482,'REGISTRO ABONOS'!$B$8:$BC$10041,54,0)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hidden="1" x14ac:dyDescent="0.2">
      <c r="B9483" s="31">
        <v>9474</v>
      </c>
      <c r="J9483">
        <f t="shared" si="153"/>
        <v>105000</v>
      </c>
      <c r="K9483" t="e">
        <f>VLOOKUP(B9483,'REGISTRO ABONOS'!$B$8:$BC$10041,54,0)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hidden="1" x14ac:dyDescent="0.2">
      <c r="B9484" s="31">
        <v>9475</v>
      </c>
      <c r="J9484">
        <f t="shared" si="153"/>
        <v>105000</v>
      </c>
      <c r="K9484" t="e">
        <f>VLOOKUP(B9484,'REGISTRO ABONOS'!$B$8:$BC$10041,54,0)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hidden="1" x14ac:dyDescent="0.2">
      <c r="B9485" s="31">
        <v>9476</v>
      </c>
      <c r="J9485">
        <f t="shared" si="153"/>
        <v>105000</v>
      </c>
      <c r="K9485" t="e">
        <f>VLOOKUP(B9485,'REGISTRO ABONOS'!$B$8:$BC$10041,54,0)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hidden="1" x14ac:dyDescent="0.2">
      <c r="B9486" s="31">
        <v>9477</v>
      </c>
      <c r="J9486">
        <f t="shared" si="153"/>
        <v>105000</v>
      </c>
      <c r="K9486" t="e">
        <f>VLOOKUP(B9486,'REGISTRO ABONOS'!$B$8:$BC$10041,54,0)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hidden="1" x14ac:dyDescent="0.2">
      <c r="B9487" s="31">
        <v>9478</v>
      </c>
      <c r="J9487">
        <f t="shared" si="153"/>
        <v>105000</v>
      </c>
      <c r="K9487" t="e">
        <f>VLOOKUP(B9487,'REGISTRO ABONOS'!$B$8:$BC$10041,54,0)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hidden="1" x14ac:dyDescent="0.2">
      <c r="B9488" s="31">
        <v>9479</v>
      </c>
      <c r="J9488">
        <f t="shared" si="153"/>
        <v>105000</v>
      </c>
      <c r="K9488" t="e">
        <f>VLOOKUP(B9488,'REGISTRO ABONOS'!$B$8:$BC$10041,54,0)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hidden="1" x14ac:dyDescent="0.2">
      <c r="B9489" s="31">
        <v>9480</v>
      </c>
      <c r="J9489">
        <f t="shared" si="153"/>
        <v>105000</v>
      </c>
      <c r="K9489" t="e">
        <f>VLOOKUP(B9489,'REGISTRO ABONOS'!$B$8:$BC$10041,54,0)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hidden="1" x14ac:dyDescent="0.2">
      <c r="B9490" s="31">
        <v>9481</v>
      </c>
      <c r="J9490">
        <f t="shared" si="153"/>
        <v>105000</v>
      </c>
      <c r="K9490" t="e">
        <f>VLOOKUP(B9490,'REGISTRO ABONOS'!$B$8:$BC$10041,54,0)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hidden="1" x14ac:dyDescent="0.2">
      <c r="B9491" s="31">
        <v>9482</v>
      </c>
      <c r="J9491">
        <f t="shared" si="153"/>
        <v>105000</v>
      </c>
      <c r="K9491" t="e">
        <f>VLOOKUP(B9491,'REGISTRO ABONOS'!$B$8:$BC$10041,54,0)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hidden="1" x14ac:dyDescent="0.2">
      <c r="B9492" s="31">
        <v>9483</v>
      </c>
      <c r="J9492">
        <f t="shared" si="153"/>
        <v>105000</v>
      </c>
      <c r="K9492" t="e">
        <f>VLOOKUP(B9492,'REGISTRO ABONOS'!$B$8:$BC$10041,54,0)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hidden="1" x14ac:dyDescent="0.2">
      <c r="B9493" s="31">
        <v>9484</v>
      </c>
      <c r="J9493">
        <f t="shared" si="153"/>
        <v>105000</v>
      </c>
      <c r="K9493" t="e">
        <f>VLOOKUP(B9493,'REGISTRO ABONOS'!$B$8:$BC$10041,54,0)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hidden="1" x14ac:dyDescent="0.2">
      <c r="B9494" s="31">
        <v>9485</v>
      </c>
      <c r="J9494">
        <f t="shared" si="153"/>
        <v>105000</v>
      </c>
      <c r="K9494" t="e">
        <f>VLOOKUP(B9494,'REGISTRO ABONOS'!$B$8:$BC$10041,54,0)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hidden="1" x14ac:dyDescent="0.2">
      <c r="B9495" s="31">
        <v>9486</v>
      </c>
      <c r="J9495">
        <f t="shared" si="153"/>
        <v>105000</v>
      </c>
      <c r="K9495" t="e">
        <f>VLOOKUP(B9495,'REGISTRO ABONOS'!$B$8:$BC$10041,54,0)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hidden="1" x14ac:dyDescent="0.2">
      <c r="B9496" s="31">
        <v>9487</v>
      </c>
      <c r="J9496">
        <f t="shared" si="153"/>
        <v>105000</v>
      </c>
      <c r="K9496" t="e">
        <f>VLOOKUP(B9496,'REGISTRO ABONOS'!$B$8:$BC$10041,54,0)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hidden="1" x14ac:dyDescent="0.2">
      <c r="B9497" s="31">
        <v>9488</v>
      </c>
      <c r="J9497">
        <f t="shared" si="153"/>
        <v>105000</v>
      </c>
      <c r="K9497" t="e">
        <f>VLOOKUP(B9497,'REGISTRO ABONOS'!$B$8:$BC$10041,54,0)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hidden="1" x14ac:dyDescent="0.2">
      <c r="B9498" s="31">
        <v>9489</v>
      </c>
      <c r="J9498">
        <f t="shared" si="153"/>
        <v>105000</v>
      </c>
      <c r="K9498" t="e">
        <f>VLOOKUP(B9498,'REGISTRO ABONOS'!$B$8:$BC$10041,54,0)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hidden="1" x14ac:dyDescent="0.2">
      <c r="B9499" s="31">
        <v>9490</v>
      </c>
      <c r="J9499">
        <f t="shared" si="153"/>
        <v>105000</v>
      </c>
      <c r="K9499" t="e">
        <f>VLOOKUP(B9499,'REGISTRO ABONOS'!$B$8:$BC$10041,54,0)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hidden="1" x14ac:dyDescent="0.2">
      <c r="B9500" s="31">
        <v>9491</v>
      </c>
      <c r="J9500">
        <f t="shared" si="153"/>
        <v>105000</v>
      </c>
      <c r="K9500" t="e">
        <f>VLOOKUP(B9500,'REGISTRO ABONOS'!$B$8:$BC$10041,54,0)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hidden="1" x14ac:dyDescent="0.2">
      <c r="B9501" s="31">
        <v>9492</v>
      </c>
      <c r="J9501">
        <f t="shared" si="153"/>
        <v>105000</v>
      </c>
      <c r="K9501" t="e">
        <f>VLOOKUP(B9501,'REGISTRO ABONOS'!$B$8:$BC$10041,54,0)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hidden="1" x14ac:dyDescent="0.2">
      <c r="B9502" s="31">
        <v>9493</v>
      </c>
      <c r="J9502">
        <f t="shared" si="153"/>
        <v>105000</v>
      </c>
      <c r="K9502" t="e">
        <f>VLOOKUP(B9502,'REGISTRO ABONOS'!$B$8:$BC$10041,54,0)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hidden="1" x14ac:dyDescent="0.2">
      <c r="B9503" s="31">
        <v>9494</v>
      </c>
      <c r="J9503">
        <f t="shared" si="153"/>
        <v>105000</v>
      </c>
      <c r="K9503" t="e">
        <f>VLOOKUP(B9503,'REGISTRO ABONOS'!$B$8:$BC$10041,54,0)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hidden="1" x14ac:dyDescent="0.2">
      <c r="B9504" s="31">
        <v>9495</v>
      </c>
      <c r="J9504">
        <f t="shared" si="153"/>
        <v>105000</v>
      </c>
      <c r="K9504" t="e">
        <f>VLOOKUP(B9504,'REGISTRO ABONOS'!$B$8:$BC$10041,54,0)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hidden="1" x14ac:dyDescent="0.2">
      <c r="B9505" s="31">
        <v>9496</v>
      </c>
      <c r="J9505">
        <f t="shared" si="153"/>
        <v>105000</v>
      </c>
      <c r="K9505" t="e">
        <f>VLOOKUP(B9505,'REGISTRO ABONOS'!$B$8:$BC$10041,54,0)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hidden="1" x14ac:dyDescent="0.2">
      <c r="B9506" s="31">
        <v>9497</v>
      </c>
      <c r="J9506">
        <f t="shared" si="153"/>
        <v>105000</v>
      </c>
      <c r="K9506" t="e">
        <f>VLOOKUP(B9506,'REGISTRO ABONOS'!$B$8:$BC$10041,54,0)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hidden="1" x14ac:dyDescent="0.2">
      <c r="B9507" s="31">
        <v>9498</v>
      </c>
      <c r="J9507">
        <f t="shared" si="153"/>
        <v>105000</v>
      </c>
      <c r="K9507" t="e">
        <f>VLOOKUP(B9507,'REGISTRO ABONOS'!$B$8:$BC$10041,54,0)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hidden="1" x14ac:dyDescent="0.2">
      <c r="B9508" s="31">
        <v>9499</v>
      </c>
      <c r="J9508">
        <f t="shared" si="153"/>
        <v>105000</v>
      </c>
      <c r="K9508" t="e">
        <f>VLOOKUP(B9508,'REGISTRO ABONOS'!$B$8:$BC$10041,54,0)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hidden="1" x14ac:dyDescent="0.2">
      <c r="B9509" s="31">
        <v>9500</v>
      </c>
      <c r="J9509">
        <f t="shared" si="153"/>
        <v>105000</v>
      </c>
      <c r="K9509" t="e">
        <f>VLOOKUP(B9509,'REGISTRO ABONOS'!$B$8:$BC$10041,54,0)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hidden="1" x14ac:dyDescent="0.2">
      <c r="B9510" s="31">
        <v>9501</v>
      </c>
      <c r="J9510">
        <f t="shared" si="153"/>
        <v>105000</v>
      </c>
      <c r="K9510" t="e">
        <f>VLOOKUP(B9510,'REGISTRO ABONOS'!$B$8:$BC$10041,54,0)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hidden="1" x14ac:dyDescent="0.2">
      <c r="B9511" s="31">
        <v>9502</v>
      </c>
      <c r="J9511">
        <f t="shared" si="153"/>
        <v>105000</v>
      </c>
      <c r="K9511" t="e">
        <f>VLOOKUP(B9511,'REGISTRO ABONOS'!$B$8:$BC$10041,54,0)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hidden="1" x14ac:dyDescent="0.2">
      <c r="B9512" s="31">
        <v>9503</v>
      </c>
      <c r="J9512">
        <f t="shared" si="153"/>
        <v>105000</v>
      </c>
      <c r="K9512" t="e">
        <f>VLOOKUP(B9512,'REGISTRO ABONOS'!$B$8:$BC$10041,54,0)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hidden="1" x14ac:dyDescent="0.2">
      <c r="B9513" s="31">
        <v>9504</v>
      </c>
      <c r="J9513">
        <f t="shared" si="153"/>
        <v>105000</v>
      </c>
      <c r="K9513" t="e">
        <f>VLOOKUP(B9513,'REGISTRO ABONOS'!$B$8:$BC$10041,54,0)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hidden="1" x14ac:dyDescent="0.2">
      <c r="B9514" s="31">
        <v>9505</v>
      </c>
      <c r="J9514">
        <f t="shared" ref="J9514:J9577" si="154">IF(C9514&gt;43607,130000,105000)</f>
        <v>105000</v>
      </c>
      <c r="K9514" t="e">
        <f>VLOOKUP(B9514,'REGISTRO ABONOS'!$B$8:$BC$10041,54,0)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hidden="1" x14ac:dyDescent="0.2">
      <c r="B9515" s="31">
        <v>9506</v>
      </c>
      <c r="J9515">
        <f t="shared" si="154"/>
        <v>105000</v>
      </c>
      <c r="K9515" t="e">
        <f>VLOOKUP(B9515,'REGISTRO ABONOS'!$B$8:$BC$10041,54,0)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hidden="1" x14ac:dyDescent="0.2">
      <c r="B9516" s="31">
        <v>9507</v>
      </c>
      <c r="J9516">
        <f t="shared" si="154"/>
        <v>105000</v>
      </c>
      <c r="K9516" t="e">
        <f>VLOOKUP(B9516,'REGISTRO ABONOS'!$B$8:$BC$10041,54,0)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hidden="1" x14ac:dyDescent="0.2">
      <c r="B9517" s="31">
        <v>9508</v>
      </c>
      <c r="J9517">
        <f t="shared" si="154"/>
        <v>105000</v>
      </c>
      <c r="K9517" t="e">
        <f>VLOOKUP(B9517,'REGISTRO ABONOS'!$B$8:$BC$10041,54,0)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hidden="1" x14ac:dyDescent="0.2">
      <c r="B9518" s="31">
        <v>9509</v>
      </c>
      <c r="J9518">
        <f t="shared" si="154"/>
        <v>105000</v>
      </c>
      <c r="K9518" t="e">
        <f>VLOOKUP(B9518,'REGISTRO ABONOS'!$B$8:$BC$10041,54,0)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hidden="1" x14ac:dyDescent="0.2">
      <c r="B9519" s="31">
        <v>9510</v>
      </c>
      <c r="J9519">
        <f t="shared" si="154"/>
        <v>105000</v>
      </c>
      <c r="K9519" t="e">
        <f>VLOOKUP(B9519,'REGISTRO ABONOS'!$B$8:$BC$10041,54,0)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hidden="1" x14ac:dyDescent="0.2">
      <c r="B9520" s="31">
        <v>9511</v>
      </c>
      <c r="J9520">
        <f t="shared" si="154"/>
        <v>105000</v>
      </c>
      <c r="K9520" t="e">
        <f>VLOOKUP(B9520,'REGISTRO ABONOS'!$B$8:$BC$10041,54,0)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hidden="1" x14ac:dyDescent="0.2">
      <c r="B9521" s="31">
        <v>9512</v>
      </c>
      <c r="J9521">
        <f t="shared" si="154"/>
        <v>105000</v>
      </c>
      <c r="K9521" t="e">
        <f>VLOOKUP(B9521,'REGISTRO ABONOS'!$B$8:$BC$10041,54,0)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hidden="1" x14ac:dyDescent="0.2">
      <c r="B9522" s="31">
        <v>9513</v>
      </c>
      <c r="J9522">
        <f t="shared" si="154"/>
        <v>105000</v>
      </c>
      <c r="K9522" t="e">
        <f>VLOOKUP(B9522,'REGISTRO ABONOS'!$B$8:$BC$10041,54,0)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hidden="1" x14ac:dyDescent="0.2">
      <c r="B9523" s="31">
        <v>9514</v>
      </c>
      <c r="J9523">
        <f t="shared" si="154"/>
        <v>105000</v>
      </c>
      <c r="K9523" t="e">
        <f>VLOOKUP(B9523,'REGISTRO ABONOS'!$B$8:$BC$10041,54,0)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hidden="1" x14ac:dyDescent="0.2">
      <c r="B9524" s="31">
        <v>9515</v>
      </c>
      <c r="J9524">
        <f t="shared" si="154"/>
        <v>105000</v>
      </c>
      <c r="K9524" t="e">
        <f>VLOOKUP(B9524,'REGISTRO ABONOS'!$B$8:$BC$10041,54,0)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hidden="1" x14ac:dyDescent="0.2">
      <c r="B9525" s="31">
        <v>9516</v>
      </c>
      <c r="J9525">
        <f t="shared" si="154"/>
        <v>105000</v>
      </c>
      <c r="K9525" t="e">
        <f>VLOOKUP(B9525,'REGISTRO ABONOS'!$B$8:$BC$10041,54,0)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hidden="1" x14ac:dyDescent="0.2">
      <c r="B9526" s="31">
        <v>9517</v>
      </c>
      <c r="J9526">
        <f t="shared" si="154"/>
        <v>105000</v>
      </c>
      <c r="K9526" t="e">
        <f>VLOOKUP(B9526,'REGISTRO ABONOS'!$B$8:$BC$10041,54,0)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hidden="1" x14ac:dyDescent="0.2">
      <c r="B9527" s="31">
        <v>9518</v>
      </c>
      <c r="J9527">
        <f t="shared" si="154"/>
        <v>105000</v>
      </c>
      <c r="K9527" t="e">
        <f>VLOOKUP(B9527,'REGISTRO ABONOS'!$B$8:$BC$10041,54,0)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hidden="1" x14ac:dyDescent="0.2">
      <c r="B9528" s="31">
        <v>9519</v>
      </c>
      <c r="J9528">
        <f t="shared" si="154"/>
        <v>105000</v>
      </c>
      <c r="K9528" t="e">
        <f>VLOOKUP(B9528,'REGISTRO ABONOS'!$B$8:$BC$10041,54,0)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hidden="1" x14ac:dyDescent="0.2">
      <c r="B9529" s="31">
        <v>9520</v>
      </c>
      <c r="J9529">
        <f t="shared" si="154"/>
        <v>105000</v>
      </c>
      <c r="K9529" t="e">
        <f>VLOOKUP(B9529,'REGISTRO ABONOS'!$B$8:$BC$10041,54,0)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hidden="1" x14ac:dyDescent="0.2">
      <c r="B9530" s="31">
        <v>9521</v>
      </c>
      <c r="J9530">
        <f t="shared" si="154"/>
        <v>105000</v>
      </c>
      <c r="K9530" t="e">
        <f>VLOOKUP(B9530,'REGISTRO ABONOS'!$B$8:$BC$10041,54,0)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hidden="1" x14ac:dyDescent="0.2">
      <c r="B9531" s="31">
        <v>9522</v>
      </c>
      <c r="J9531">
        <f t="shared" si="154"/>
        <v>105000</v>
      </c>
      <c r="K9531" t="e">
        <f>VLOOKUP(B9531,'REGISTRO ABONOS'!$B$8:$BC$10041,54,0)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hidden="1" x14ac:dyDescent="0.2">
      <c r="B9532" s="31">
        <v>9523</v>
      </c>
      <c r="J9532">
        <f t="shared" si="154"/>
        <v>105000</v>
      </c>
      <c r="K9532" t="e">
        <f>VLOOKUP(B9532,'REGISTRO ABONOS'!$B$8:$BC$10041,54,0)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hidden="1" x14ac:dyDescent="0.2">
      <c r="B9533" s="31">
        <v>9524</v>
      </c>
      <c r="J9533">
        <f t="shared" si="154"/>
        <v>105000</v>
      </c>
      <c r="K9533" t="e">
        <f>VLOOKUP(B9533,'REGISTRO ABONOS'!$B$8:$BC$10041,54,0)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hidden="1" x14ac:dyDescent="0.2">
      <c r="B9534" s="31">
        <v>9525</v>
      </c>
      <c r="J9534">
        <f t="shared" si="154"/>
        <v>105000</v>
      </c>
      <c r="K9534" t="e">
        <f>VLOOKUP(B9534,'REGISTRO ABONOS'!$B$8:$BC$10041,54,0)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hidden="1" x14ac:dyDescent="0.2">
      <c r="B9535" s="31">
        <v>9526</v>
      </c>
      <c r="J9535">
        <f t="shared" si="154"/>
        <v>105000</v>
      </c>
      <c r="K9535" t="e">
        <f>VLOOKUP(B9535,'REGISTRO ABONOS'!$B$8:$BC$10041,54,0)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hidden="1" x14ac:dyDescent="0.2">
      <c r="B9536" s="31">
        <v>9527</v>
      </c>
      <c r="J9536">
        <f t="shared" si="154"/>
        <v>105000</v>
      </c>
      <c r="K9536" t="e">
        <f>VLOOKUP(B9536,'REGISTRO ABONOS'!$B$8:$BC$10041,54,0)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hidden="1" x14ac:dyDescent="0.2">
      <c r="B9537" s="31">
        <v>9528</v>
      </c>
      <c r="J9537">
        <f t="shared" si="154"/>
        <v>105000</v>
      </c>
      <c r="K9537" t="e">
        <f>VLOOKUP(B9537,'REGISTRO ABONOS'!$B$8:$BC$10041,54,0)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hidden="1" x14ac:dyDescent="0.2">
      <c r="B9538" s="31">
        <v>9529</v>
      </c>
      <c r="J9538">
        <f t="shared" si="154"/>
        <v>105000</v>
      </c>
      <c r="K9538" t="e">
        <f>VLOOKUP(B9538,'REGISTRO ABONOS'!$B$8:$BC$10041,54,0)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hidden="1" x14ac:dyDescent="0.2">
      <c r="B9539" s="31">
        <v>9530</v>
      </c>
      <c r="J9539">
        <f t="shared" si="154"/>
        <v>105000</v>
      </c>
      <c r="K9539" t="e">
        <f>VLOOKUP(B9539,'REGISTRO ABONOS'!$B$8:$BC$10041,54,0)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hidden="1" x14ac:dyDescent="0.2">
      <c r="B9540" s="31">
        <v>9531</v>
      </c>
      <c r="J9540">
        <f t="shared" si="154"/>
        <v>105000</v>
      </c>
      <c r="K9540" t="e">
        <f>VLOOKUP(B9540,'REGISTRO ABONOS'!$B$8:$BC$10041,54,0)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hidden="1" x14ac:dyDescent="0.2">
      <c r="B9541" s="31">
        <v>9532</v>
      </c>
      <c r="J9541">
        <f t="shared" si="154"/>
        <v>105000</v>
      </c>
      <c r="K9541" t="e">
        <f>VLOOKUP(B9541,'REGISTRO ABONOS'!$B$8:$BC$10041,54,0)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hidden="1" x14ac:dyDescent="0.2">
      <c r="B9542" s="31">
        <v>9533</v>
      </c>
      <c r="J9542">
        <f t="shared" si="154"/>
        <v>105000</v>
      </c>
      <c r="K9542" t="e">
        <f>VLOOKUP(B9542,'REGISTRO ABONOS'!$B$8:$BC$10041,54,0)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hidden="1" x14ac:dyDescent="0.2">
      <c r="B9543" s="31">
        <v>9534</v>
      </c>
      <c r="J9543">
        <f t="shared" si="154"/>
        <v>105000</v>
      </c>
      <c r="K9543" t="e">
        <f>VLOOKUP(B9543,'REGISTRO ABONOS'!$B$8:$BC$10041,54,0)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4"/>
        <v>105000</v>
      </c>
      <c r="K9544" t="e">
        <f>VLOOKUP(B9544,'REGISTRO ABONOS'!$B$8:$BC$10041,54,0)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hidden="1" x14ac:dyDescent="0.2">
      <c r="B9545" s="31">
        <v>9536</v>
      </c>
      <c r="J9545">
        <f t="shared" si="154"/>
        <v>105000</v>
      </c>
      <c r="K9545" t="e">
        <f>VLOOKUP(B9545,'REGISTRO ABONOS'!$B$8:$BC$10041,54,0)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hidden="1" x14ac:dyDescent="0.2">
      <c r="B9546" s="31">
        <v>9537</v>
      </c>
      <c r="J9546">
        <f t="shared" si="154"/>
        <v>105000</v>
      </c>
      <c r="K9546" t="e">
        <f>VLOOKUP(B9546,'REGISTRO ABONOS'!$B$8:$BC$10041,54,0)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hidden="1" x14ac:dyDescent="0.2">
      <c r="B9547" s="31">
        <v>9538</v>
      </c>
      <c r="J9547">
        <f t="shared" si="154"/>
        <v>105000</v>
      </c>
      <c r="K9547" t="e">
        <f>VLOOKUP(B9547,'REGISTRO ABONOS'!$B$8:$BC$10041,54,0)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hidden="1" x14ac:dyDescent="0.2">
      <c r="B9548" s="31">
        <v>9539</v>
      </c>
      <c r="J9548">
        <f t="shared" si="154"/>
        <v>105000</v>
      </c>
      <c r="K9548" t="e">
        <f>VLOOKUP(B9548,'REGISTRO ABONOS'!$B$8:$BC$10041,54,0)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hidden="1" x14ac:dyDescent="0.2">
      <c r="B9549" s="31">
        <v>9540</v>
      </c>
      <c r="J9549">
        <f t="shared" si="154"/>
        <v>105000</v>
      </c>
      <c r="K9549" t="e">
        <f>VLOOKUP(B9549,'REGISTRO ABONOS'!$B$8:$BC$10041,54,0)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hidden="1" x14ac:dyDescent="0.2">
      <c r="B9550" s="31">
        <v>9541</v>
      </c>
      <c r="J9550">
        <f t="shared" si="154"/>
        <v>105000</v>
      </c>
      <c r="K9550" t="e">
        <f>VLOOKUP(B9550,'REGISTRO ABONOS'!$B$8:$BC$10041,54,0)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hidden="1" x14ac:dyDescent="0.2">
      <c r="B9551" s="31">
        <v>9542</v>
      </c>
      <c r="J9551">
        <f t="shared" si="154"/>
        <v>105000</v>
      </c>
      <c r="K9551" t="e">
        <f>VLOOKUP(B9551,'REGISTRO ABONOS'!$B$8:$BC$10041,54,0)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hidden="1" x14ac:dyDescent="0.2">
      <c r="B9552" s="31">
        <v>9543</v>
      </c>
      <c r="J9552">
        <f t="shared" si="154"/>
        <v>105000</v>
      </c>
      <c r="K9552" t="e">
        <f>VLOOKUP(B9552,'REGISTRO ABONOS'!$B$8:$BC$10041,54,0)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hidden="1" x14ac:dyDescent="0.2">
      <c r="B9553" s="31">
        <v>9544</v>
      </c>
      <c r="J9553">
        <f t="shared" si="154"/>
        <v>105000</v>
      </c>
      <c r="K9553" t="e">
        <f>VLOOKUP(B9553,'REGISTRO ABONOS'!$B$8:$BC$10041,54,0)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hidden="1" x14ac:dyDescent="0.2">
      <c r="B9554" s="31">
        <v>9545</v>
      </c>
      <c r="J9554">
        <f t="shared" si="154"/>
        <v>105000</v>
      </c>
      <c r="K9554" t="e">
        <f>VLOOKUP(B9554,'REGISTRO ABONOS'!$B$8:$BC$10041,54,0)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hidden="1" x14ac:dyDescent="0.2">
      <c r="B9555" s="31">
        <v>9546</v>
      </c>
      <c r="J9555">
        <f t="shared" si="154"/>
        <v>105000</v>
      </c>
      <c r="K9555" t="e">
        <f>VLOOKUP(B9555,'REGISTRO ABONOS'!$B$8:$BC$10041,54,0)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hidden="1" x14ac:dyDescent="0.2">
      <c r="B9556" s="31">
        <v>9547</v>
      </c>
      <c r="J9556">
        <f t="shared" si="154"/>
        <v>105000</v>
      </c>
      <c r="K9556" t="e">
        <f>VLOOKUP(B9556,'REGISTRO ABONOS'!$B$8:$BC$10041,54,0)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hidden="1" x14ac:dyDescent="0.2">
      <c r="B9557" s="31">
        <v>9548</v>
      </c>
      <c r="J9557">
        <f t="shared" si="154"/>
        <v>105000</v>
      </c>
      <c r="K9557" t="e">
        <f>VLOOKUP(B9557,'REGISTRO ABONOS'!$B$8:$BC$10041,54,0)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hidden="1" x14ac:dyDescent="0.2">
      <c r="B9558" s="31">
        <v>9549</v>
      </c>
      <c r="J9558">
        <f t="shared" si="154"/>
        <v>105000</v>
      </c>
      <c r="K9558" t="e">
        <f>VLOOKUP(B9558,'REGISTRO ABONOS'!$B$8:$BC$10041,54,0)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hidden="1" x14ac:dyDescent="0.2">
      <c r="B9559" s="31">
        <v>9550</v>
      </c>
      <c r="J9559">
        <f t="shared" si="154"/>
        <v>105000</v>
      </c>
      <c r="K9559" t="e">
        <f>VLOOKUP(B9559,'REGISTRO ABONOS'!$B$8:$BC$10041,54,0)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hidden="1" x14ac:dyDescent="0.2">
      <c r="B9560" s="31">
        <v>9551</v>
      </c>
      <c r="J9560">
        <f t="shared" si="154"/>
        <v>105000</v>
      </c>
      <c r="K9560" t="e">
        <f>VLOOKUP(B9560,'REGISTRO ABONOS'!$B$8:$BC$10041,54,0)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hidden="1" x14ac:dyDescent="0.2">
      <c r="B9561" s="31">
        <v>9552</v>
      </c>
      <c r="J9561">
        <f t="shared" si="154"/>
        <v>105000</v>
      </c>
      <c r="K9561" t="e">
        <f>VLOOKUP(B9561,'REGISTRO ABONOS'!$B$8:$BC$10041,54,0)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hidden="1" x14ac:dyDescent="0.2">
      <c r="B9562" s="31">
        <v>9553</v>
      </c>
      <c r="J9562">
        <f t="shared" si="154"/>
        <v>105000</v>
      </c>
      <c r="K9562" t="e">
        <f>VLOOKUP(B9562,'REGISTRO ABONOS'!$B$8:$BC$10041,54,0)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hidden="1" x14ac:dyDescent="0.2">
      <c r="B9563" s="31">
        <v>9554</v>
      </c>
      <c r="J9563">
        <f t="shared" si="154"/>
        <v>105000</v>
      </c>
      <c r="K9563" t="e">
        <f>VLOOKUP(B9563,'REGISTRO ABONOS'!$B$8:$BC$10041,54,0)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hidden="1" x14ac:dyDescent="0.2">
      <c r="B9564" s="31">
        <v>9555</v>
      </c>
      <c r="J9564">
        <f t="shared" si="154"/>
        <v>105000</v>
      </c>
      <c r="K9564" t="e">
        <f>VLOOKUP(B9564,'REGISTRO ABONOS'!$B$8:$BC$10041,54,0)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hidden="1" x14ac:dyDescent="0.2">
      <c r="B9565" s="31">
        <v>9556</v>
      </c>
      <c r="J9565">
        <f t="shared" si="154"/>
        <v>105000</v>
      </c>
      <c r="K9565" t="e">
        <f>VLOOKUP(B9565,'REGISTRO ABONOS'!$B$8:$BC$10041,54,0)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hidden="1" x14ac:dyDescent="0.2">
      <c r="B9566" s="31">
        <v>9557</v>
      </c>
      <c r="J9566">
        <f t="shared" si="154"/>
        <v>105000</v>
      </c>
      <c r="K9566" t="e">
        <f>VLOOKUP(B9566,'REGISTRO ABONOS'!$B$8:$BC$10041,54,0)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hidden="1" x14ac:dyDescent="0.2">
      <c r="B9567" s="31">
        <v>9558</v>
      </c>
      <c r="J9567">
        <f t="shared" si="154"/>
        <v>105000</v>
      </c>
      <c r="K9567" t="e">
        <f>VLOOKUP(B9567,'REGISTRO ABONOS'!$B$8:$BC$10041,54,0)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hidden="1" x14ac:dyDescent="0.2">
      <c r="B9568" s="31">
        <v>9559</v>
      </c>
      <c r="J9568">
        <f t="shared" si="154"/>
        <v>105000</v>
      </c>
      <c r="K9568" t="e">
        <f>VLOOKUP(B9568,'REGISTRO ABONOS'!$B$8:$BC$10041,54,0)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4"/>
        <v>105000</v>
      </c>
      <c r="K9569" t="e">
        <f>VLOOKUP(B9569,'REGISTRO ABONOS'!$B$8:$BC$10041,54,0)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hidden="1" x14ac:dyDescent="0.2">
      <c r="B9570" s="31">
        <v>9561</v>
      </c>
      <c r="J9570">
        <f t="shared" si="154"/>
        <v>105000</v>
      </c>
      <c r="K9570" t="e">
        <f>VLOOKUP(B9570,'REGISTRO ABONOS'!$B$8:$BC$10041,54,0)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hidden="1" x14ac:dyDescent="0.2">
      <c r="B9571" s="31">
        <v>9562</v>
      </c>
      <c r="J9571">
        <f t="shared" si="154"/>
        <v>105000</v>
      </c>
      <c r="K9571" t="e">
        <f>VLOOKUP(B9571,'REGISTRO ABONOS'!$B$8:$BC$10041,54,0)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hidden="1" x14ac:dyDescent="0.2">
      <c r="B9572" s="31">
        <v>9563</v>
      </c>
      <c r="J9572">
        <f t="shared" si="154"/>
        <v>105000</v>
      </c>
      <c r="K9572" t="e">
        <f>VLOOKUP(B9572,'REGISTRO ABONOS'!$B$8:$BC$10041,54,0)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hidden="1" x14ac:dyDescent="0.2">
      <c r="B9573" s="31">
        <v>9564</v>
      </c>
      <c r="J9573">
        <f t="shared" si="154"/>
        <v>105000</v>
      </c>
      <c r="K9573" t="e">
        <f>VLOOKUP(B9573,'REGISTRO ABONOS'!$B$8:$BC$10041,54,0)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hidden="1" x14ac:dyDescent="0.2">
      <c r="B9574" s="31">
        <v>9565</v>
      </c>
      <c r="J9574">
        <f t="shared" si="154"/>
        <v>105000</v>
      </c>
      <c r="K9574" t="e">
        <f>VLOOKUP(B9574,'REGISTRO ABONOS'!$B$8:$BC$10041,54,0)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hidden="1" x14ac:dyDescent="0.2">
      <c r="B9575" s="31">
        <v>9566</v>
      </c>
      <c r="J9575">
        <f t="shared" si="154"/>
        <v>105000</v>
      </c>
      <c r="K9575" t="e">
        <f>VLOOKUP(B9575,'REGISTRO ABONOS'!$B$8:$BC$10041,54,0)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hidden="1" x14ac:dyDescent="0.2">
      <c r="B9576" s="31">
        <v>9567</v>
      </c>
      <c r="J9576">
        <f t="shared" si="154"/>
        <v>105000</v>
      </c>
      <c r="K9576" t="e">
        <f>VLOOKUP(B9576,'REGISTRO ABONOS'!$B$8:$BC$10041,54,0)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hidden="1" x14ac:dyDescent="0.2">
      <c r="B9577" s="31">
        <v>9568</v>
      </c>
      <c r="J9577">
        <f t="shared" si="154"/>
        <v>105000</v>
      </c>
      <c r="K9577" t="e">
        <f>VLOOKUP(B9577,'REGISTRO ABONOS'!$B$8:$BC$10041,54,0)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hidden="1" x14ac:dyDescent="0.2">
      <c r="B9578" s="31">
        <v>9569</v>
      </c>
      <c r="J9578">
        <f t="shared" ref="J9578:J9641" si="155">IF(C9578&gt;43607,130000,105000)</f>
        <v>105000</v>
      </c>
      <c r="K9578" t="e">
        <f>VLOOKUP(B9578,'REGISTRO ABONOS'!$B$8:$BC$10041,54,0)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5"/>
        <v>105000</v>
      </c>
      <c r="K9579" t="e">
        <f>VLOOKUP(B9579,'REGISTRO ABONOS'!$B$8:$BC$10041,54,0)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hidden="1" x14ac:dyDescent="0.2">
      <c r="B9580" s="31">
        <v>9571</v>
      </c>
      <c r="J9580">
        <f t="shared" si="155"/>
        <v>105000</v>
      </c>
      <c r="K9580" t="e">
        <f>VLOOKUP(B9580,'REGISTRO ABONOS'!$B$8:$BC$10041,54,0)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hidden="1" x14ac:dyDescent="0.2">
      <c r="B9581" s="31">
        <v>9572</v>
      </c>
      <c r="J9581">
        <f t="shared" si="155"/>
        <v>105000</v>
      </c>
      <c r="K9581" t="e">
        <f>VLOOKUP(B9581,'REGISTRO ABONOS'!$B$8:$BC$10041,54,0)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hidden="1" x14ac:dyDescent="0.2">
      <c r="B9582" s="31">
        <v>9573</v>
      </c>
      <c r="J9582">
        <f t="shared" si="155"/>
        <v>105000</v>
      </c>
      <c r="K9582" t="e">
        <f>VLOOKUP(B9582,'REGISTRO ABONOS'!$B$8:$BC$10041,54,0)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hidden="1" x14ac:dyDescent="0.2">
      <c r="B9583" s="31">
        <v>9574</v>
      </c>
      <c r="J9583">
        <f t="shared" si="155"/>
        <v>105000</v>
      </c>
      <c r="K9583" t="e">
        <f>VLOOKUP(B9583,'REGISTRO ABONOS'!$B$8:$BC$10041,54,0)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hidden="1" x14ac:dyDescent="0.2">
      <c r="B9584" s="31">
        <v>9575</v>
      </c>
      <c r="J9584">
        <f t="shared" si="155"/>
        <v>105000</v>
      </c>
      <c r="K9584" t="e">
        <f>VLOOKUP(B9584,'REGISTRO ABONOS'!$B$8:$BC$10041,54,0)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hidden="1" x14ac:dyDescent="0.2">
      <c r="B9585" s="31">
        <v>9576</v>
      </c>
      <c r="J9585">
        <f t="shared" si="155"/>
        <v>105000</v>
      </c>
      <c r="K9585" t="e">
        <f>VLOOKUP(B9585,'REGISTRO ABONOS'!$B$8:$BC$10041,54,0)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hidden="1" x14ac:dyDescent="0.2">
      <c r="B9586" s="31">
        <v>9577</v>
      </c>
      <c r="J9586">
        <f t="shared" si="155"/>
        <v>105000</v>
      </c>
      <c r="K9586" t="e">
        <f>VLOOKUP(B9586,'REGISTRO ABONOS'!$B$8:$BC$10041,54,0)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hidden="1" x14ac:dyDescent="0.2">
      <c r="B9587" s="31">
        <v>9578</v>
      </c>
      <c r="J9587">
        <f t="shared" si="155"/>
        <v>105000</v>
      </c>
      <c r="K9587" t="e">
        <f>VLOOKUP(B9587,'REGISTRO ABONOS'!$B$8:$BC$10041,54,0)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hidden="1" x14ac:dyDescent="0.2">
      <c r="B9588" s="31">
        <v>9579</v>
      </c>
      <c r="J9588">
        <f t="shared" si="155"/>
        <v>105000</v>
      </c>
      <c r="K9588" t="e">
        <f>VLOOKUP(B9588,'REGISTRO ABONOS'!$B$8:$BC$10041,54,0)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hidden="1" x14ac:dyDescent="0.2">
      <c r="B9589" s="31">
        <v>9580</v>
      </c>
      <c r="J9589">
        <f t="shared" si="155"/>
        <v>105000</v>
      </c>
      <c r="K9589" t="e">
        <f>VLOOKUP(B9589,'REGISTRO ABONOS'!$B$8:$BC$10041,54,0)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hidden="1" x14ac:dyDescent="0.2">
      <c r="B9590" s="31">
        <v>9581</v>
      </c>
      <c r="J9590">
        <f t="shared" si="155"/>
        <v>105000</v>
      </c>
      <c r="K9590" t="e">
        <f>VLOOKUP(B9590,'REGISTRO ABONOS'!$B$8:$BC$10041,54,0)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hidden="1" x14ac:dyDescent="0.2">
      <c r="B9591" s="31">
        <v>9582</v>
      </c>
      <c r="J9591">
        <f t="shared" si="155"/>
        <v>105000</v>
      </c>
      <c r="K9591" t="e">
        <f>VLOOKUP(B9591,'REGISTRO ABONOS'!$B$8:$BC$10041,54,0)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hidden="1" x14ac:dyDescent="0.2">
      <c r="B9592" s="31">
        <v>9583</v>
      </c>
      <c r="J9592">
        <f t="shared" si="155"/>
        <v>105000</v>
      </c>
      <c r="K9592" t="e">
        <f>VLOOKUP(B9592,'REGISTRO ABONOS'!$B$8:$BC$10041,54,0)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hidden="1" x14ac:dyDescent="0.2">
      <c r="B9593" s="31">
        <v>9584</v>
      </c>
      <c r="J9593">
        <f t="shared" si="155"/>
        <v>105000</v>
      </c>
      <c r="K9593" t="e">
        <f>VLOOKUP(B9593,'REGISTRO ABONOS'!$B$8:$BC$10041,54,0)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hidden="1" x14ac:dyDescent="0.2">
      <c r="B9594" s="31">
        <v>9585</v>
      </c>
      <c r="J9594">
        <f t="shared" si="155"/>
        <v>105000</v>
      </c>
      <c r="K9594" t="e">
        <f>VLOOKUP(B9594,'REGISTRO ABONOS'!$B$8:$BC$10041,54,0)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hidden="1" x14ac:dyDescent="0.2">
      <c r="B9595" s="31">
        <v>9586</v>
      </c>
      <c r="J9595">
        <f t="shared" si="155"/>
        <v>105000</v>
      </c>
      <c r="K9595" t="e">
        <f>VLOOKUP(B9595,'REGISTRO ABONOS'!$B$8:$BC$10041,54,0)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hidden="1" x14ac:dyDescent="0.2">
      <c r="B9596" s="31">
        <v>9587</v>
      </c>
      <c r="J9596">
        <f t="shared" si="155"/>
        <v>105000</v>
      </c>
      <c r="K9596" t="e">
        <f>VLOOKUP(B9596,'REGISTRO ABONOS'!$B$8:$BC$10041,54,0)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hidden="1" x14ac:dyDescent="0.2">
      <c r="B9597" s="31">
        <v>9588</v>
      </c>
      <c r="J9597">
        <f t="shared" si="155"/>
        <v>105000</v>
      </c>
      <c r="K9597" t="e">
        <f>VLOOKUP(B9597,'REGISTRO ABONOS'!$B$8:$BC$10041,54,0)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hidden="1" x14ac:dyDescent="0.2">
      <c r="B9598" s="31">
        <v>9589</v>
      </c>
      <c r="J9598">
        <f t="shared" si="155"/>
        <v>105000</v>
      </c>
      <c r="K9598" t="e">
        <f>VLOOKUP(B9598,'REGISTRO ABONOS'!$B$8:$BC$10041,54,0)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hidden="1" x14ac:dyDescent="0.2">
      <c r="B9599" s="31">
        <v>9590</v>
      </c>
      <c r="J9599">
        <f t="shared" si="155"/>
        <v>105000</v>
      </c>
      <c r="K9599" t="e">
        <f>VLOOKUP(B9599,'REGISTRO ABONOS'!$B$8:$BC$10041,54,0)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hidden="1" x14ac:dyDescent="0.2">
      <c r="B9600" s="31">
        <v>9591</v>
      </c>
      <c r="J9600">
        <f t="shared" si="155"/>
        <v>105000</v>
      </c>
      <c r="K9600" t="e">
        <f>VLOOKUP(B9600,'REGISTRO ABONOS'!$B$8:$BC$10041,54,0)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hidden="1" x14ac:dyDescent="0.2">
      <c r="B9601" s="31">
        <v>9592</v>
      </c>
      <c r="J9601">
        <f t="shared" si="155"/>
        <v>105000</v>
      </c>
      <c r="K9601" t="e">
        <f>VLOOKUP(B9601,'REGISTRO ABONOS'!$B$8:$BC$10041,54,0)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hidden="1" x14ac:dyDescent="0.2">
      <c r="B9602" s="31">
        <v>9593</v>
      </c>
      <c r="J9602">
        <f t="shared" si="155"/>
        <v>105000</v>
      </c>
      <c r="K9602" t="e">
        <f>VLOOKUP(B9602,'REGISTRO ABONOS'!$B$8:$BC$10041,54,0)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hidden="1" x14ac:dyDescent="0.2">
      <c r="B9603" s="31">
        <v>9594</v>
      </c>
      <c r="J9603">
        <f t="shared" si="155"/>
        <v>105000</v>
      </c>
      <c r="K9603" t="e">
        <f>VLOOKUP(B9603,'REGISTRO ABONOS'!$B$8:$BC$10041,54,0)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hidden="1" x14ac:dyDescent="0.2">
      <c r="B9604" s="31">
        <v>9595</v>
      </c>
      <c r="J9604">
        <f t="shared" si="155"/>
        <v>105000</v>
      </c>
      <c r="K9604" t="e">
        <f>VLOOKUP(B9604,'REGISTRO ABONOS'!$B$8:$BC$10041,54,0)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hidden="1" x14ac:dyDescent="0.2">
      <c r="B9605" s="31">
        <v>9596</v>
      </c>
      <c r="J9605">
        <f t="shared" si="155"/>
        <v>105000</v>
      </c>
      <c r="K9605" t="e">
        <f>VLOOKUP(B9605,'REGISTRO ABONOS'!$B$8:$BC$10041,54,0)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hidden="1" x14ac:dyDescent="0.2">
      <c r="B9606" s="31">
        <v>9597</v>
      </c>
      <c r="J9606">
        <f t="shared" si="155"/>
        <v>105000</v>
      </c>
      <c r="K9606" t="e">
        <f>VLOOKUP(B9606,'REGISTRO ABONOS'!$B$8:$BC$10041,54,0)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hidden="1" x14ac:dyDescent="0.2">
      <c r="B9607" s="31">
        <v>9598</v>
      </c>
      <c r="J9607">
        <f t="shared" si="155"/>
        <v>105000</v>
      </c>
      <c r="K9607" t="e">
        <f>VLOOKUP(B9607,'REGISTRO ABONOS'!$B$8:$BC$10041,54,0)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hidden="1" x14ac:dyDescent="0.2">
      <c r="B9608" s="31">
        <v>9599</v>
      </c>
      <c r="J9608">
        <f t="shared" si="155"/>
        <v>105000</v>
      </c>
      <c r="K9608" t="e">
        <f>VLOOKUP(B9608,'REGISTRO ABONOS'!$B$8:$BC$10041,54,0)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hidden="1" x14ac:dyDescent="0.2">
      <c r="B9609" s="31">
        <v>9600</v>
      </c>
      <c r="J9609">
        <f t="shared" si="155"/>
        <v>105000</v>
      </c>
      <c r="K9609" t="e">
        <f>VLOOKUP(B9609,'REGISTRO ABONOS'!$B$8:$BC$10041,54,0)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hidden="1" x14ac:dyDescent="0.2">
      <c r="B9610" s="31">
        <v>9601</v>
      </c>
      <c r="J9610">
        <f t="shared" si="155"/>
        <v>105000</v>
      </c>
      <c r="K9610" t="e">
        <f>VLOOKUP(B9610,'REGISTRO ABONOS'!$B$8:$BC$10041,54,0)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hidden="1" x14ac:dyDescent="0.2">
      <c r="B9611" s="31">
        <v>9602</v>
      </c>
      <c r="J9611">
        <f t="shared" si="155"/>
        <v>105000</v>
      </c>
      <c r="K9611" t="e">
        <f>VLOOKUP(B9611,'REGISTRO ABONOS'!$B$8:$BC$10041,54,0)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hidden="1" x14ac:dyDescent="0.2">
      <c r="B9612" s="31">
        <v>9603</v>
      </c>
      <c r="J9612">
        <f t="shared" si="155"/>
        <v>105000</v>
      </c>
      <c r="K9612" t="e">
        <f>VLOOKUP(B9612,'REGISTRO ABONOS'!$B$8:$BC$10041,54,0)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hidden="1" x14ac:dyDescent="0.2">
      <c r="B9613" s="31">
        <v>9604</v>
      </c>
      <c r="J9613">
        <f t="shared" si="155"/>
        <v>105000</v>
      </c>
      <c r="K9613" t="e">
        <f>VLOOKUP(B9613,'REGISTRO ABONOS'!$B$8:$BC$10041,54,0)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hidden="1" x14ac:dyDescent="0.2">
      <c r="B9614" s="31">
        <v>9605</v>
      </c>
      <c r="J9614">
        <f t="shared" si="155"/>
        <v>105000</v>
      </c>
      <c r="K9614" t="e">
        <f>VLOOKUP(B9614,'REGISTRO ABONOS'!$B$8:$BC$10041,54,0)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hidden="1" x14ac:dyDescent="0.2">
      <c r="B9615" s="31">
        <v>9606</v>
      </c>
      <c r="J9615">
        <f t="shared" si="155"/>
        <v>105000</v>
      </c>
      <c r="K9615" t="e">
        <f>VLOOKUP(B9615,'REGISTRO ABONOS'!$B$8:$BC$10041,54,0)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hidden="1" x14ac:dyDescent="0.2">
      <c r="B9616" s="31">
        <v>9607</v>
      </c>
      <c r="J9616">
        <f t="shared" si="155"/>
        <v>105000</v>
      </c>
      <c r="K9616" t="e">
        <f>VLOOKUP(B9616,'REGISTRO ABONOS'!$B$8:$BC$10041,54,0)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hidden="1" x14ac:dyDescent="0.2">
      <c r="B9617" s="31">
        <v>9608</v>
      </c>
      <c r="J9617">
        <f t="shared" si="155"/>
        <v>105000</v>
      </c>
      <c r="K9617" t="e">
        <f>VLOOKUP(B9617,'REGISTRO ABONOS'!$B$8:$BC$10041,54,0)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hidden="1" x14ac:dyDescent="0.2">
      <c r="B9618" s="31">
        <v>9609</v>
      </c>
      <c r="J9618">
        <f t="shared" si="155"/>
        <v>105000</v>
      </c>
      <c r="K9618" t="e">
        <f>VLOOKUP(B9618,'REGISTRO ABONOS'!$B$8:$BC$10041,54,0)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hidden="1" x14ac:dyDescent="0.2">
      <c r="B9619" s="31">
        <v>9610</v>
      </c>
      <c r="J9619">
        <f t="shared" si="155"/>
        <v>105000</v>
      </c>
      <c r="K9619" t="e">
        <f>VLOOKUP(B9619,'REGISTRO ABONOS'!$B$8:$BC$10041,54,0)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hidden="1" x14ac:dyDescent="0.2">
      <c r="B9620" s="31">
        <v>9611</v>
      </c>
      <c r="J9620">
        <f t="shared" si="155"/>
        <v>105000</v>
      </c>
      <c r="K9620" t="e">
        <f>VLOOKUP(B9620,'REGISTRO ABONOS'!$B$8:$BC$10041,54,0)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hidden="1" x14ac:dyDescent="0.2">
      <c r="B9621" s="31">
        <v>9612</v>
      </c>
      <c r="J9621">
        <f t="shared" si="155"/>
        <v>105000</v>
      </c>
      <c r="K9621" t="e">
        <f>VLOOKUP(B9621,'REGISTRO ABONOS'!$B$8:$BC$10041,54,0)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hidden="1" x14ac:dyDescent="0.2">
      <c r="B9622" s="31">
        <v>9613</v>
      </c>
      <c r="J9622">
        <f t="shared" si="155"/>
        <v>105000</v>
      </c>
      <c r="K9622" t="e">
        <f>VLOOKUP(B9622,'REGISTRO ABONOS'!$B$8:$BC$10041,54,0)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hidden="1" x14ac:dyDescent="0.2">
      <c r="B9623" s="31">
        <v>9614</v>
      </c>
      <c r="J9623">
        <f t="shared" si="155"/>
        <v>105000</v>
      </c>
      <c r="K9623" t="e">
        <f>VLOOKUP(B9623,'REGISTRO ABONOS'!$B$8:$BC$10041,54,0)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hidden="1" x14ac:dyDescent="0.2">
      <c r="B9624" s="31">
        <v>9615</v>
      </c>
      <c r="J9624">
        <f t="shared" si="155"/>
        <v>105000</v>
      </c>
      <c r="K9624" t="e">
        <f>VLOOKUP(B9624,'REGISTRO ABONOS'!$B$8:$BC$10041,54,0)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hidden="1" x14ac:dyDescent="0.2">
      <c r="B9625" s="31">
        <v>9616</v>
      </c>
      <c r="J9625">
        <f t="shared" si="155"/>
        <v>105000</v>
      </c>
      <c r="K9625" t="e">
        <f>VLOOKUP(B9625,'REGISTRO ABONOS'!$B$8:$BC$10041,54,0)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hidden="1" x14ac:dyDescent="0.2">
      <c r="B9626" s="31">
        <v>9617</v>
      </c>
      <c r="J9626">
        <f t="shared" si="155"/>
        <v>105000</v>
      </c>
      <c r="K9626" t="e">
        <f>VLOOKUP(B9626,'REGISTRO ABONOS'!$B$8:$BC$10041,54,0)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hidden="1" x14ac:dyDescent="0.2">
      <c r="B9627" s="31">
        <v>9618</v>
      </c>
      <c r="J9627">
        <f t="shared" si="155"/>
        <v>105000</v>
      </c>
      <c r="K9627" t="e">
        <f>VLOOKUP(B9627,'REGISTRO ABONOS'!$B$8:$BC$10041,54,0)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hidden="1" x14ac:dyDescent="0.2">
      <c r="B9628" s="31">
        <v>9619</v>
      </c>
      <c r="J9628">
        <f t="shared" si="155"/>
        <v>105000</v>
      </c>
      <c r="K9628" t="e">
        <f>VLOOKUP(B9628,'REGISTRO ABONOS'!$B$8:$BC$10041,54,0)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hidden="1" x14ac:dyDescent="0.2">
      <c r="B9629" s="31">
        <v>9620</v>
      </c>
      <c r="J9629">
        <f t="shared" si="155"/>
        <v>105000</v>
      </c>
      <c r="K9629" t="e">
        <f>VLOOKUP(B9629,'REGISTRO ABONOS'!$B$8:$BC$10041,54,0)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hidden="1" x14ac:dyDescent="0.2">
      <c r="B9630" s="31">
        <v>9621</v>
      </c>
      <c r="J9630">
        <f t="shared" si="155"/>
        <v>105000</v>
      </c>
      <c r="K9630" t="e">
        <f>VLOOKUP(B9630,'REGISTRO ABONOS'!$B$8:$BC$10041,54,0)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hidden="1" x14ac:dyDescent="0.2">
      <c r="B9631" s="31">
        <v>9622</v>
      </c>
      <c r="J9631">
        <f t="shared" si="155"/>
        <v>105000</v>
      </c>
      <c r="K9631" t="e">
        <f>VLOOKUP(B9631,'REGISTRO ABONOS'!$B$8:$BC$10041,54,0)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hidden="1" x14ac:dyDescent="0.2">
      <c r="B9632" s="31">
        <v>9623</v>
      </c>
      <c r="J9632">
        <f t="shared" si="155"/>
        <v>105000</v>
      </c>
      <c r="K9632" t="e">
        <f>VLOOKUP(B9632,'REGISTRO ABONOS'!$B$8:$BC$10041,54,0)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hidden="1" x14ac:dyDescent="0.2">
      <c r="B9633" s="31">
        <v>9624</v>
      </c>
      <c r="J9633">
        <f t="shared" si="155"/>
        <v>105000</v>
      </c>
      <c r="K9633" t="e">
        <f>VLOOKUP(B9633,'REGISTRO ABONOS'!$B$8:$BC$10041,54,0)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hidden="1" x14ac:dyDescent="0.2">
      <c r="B9634" s="31">
        <v>9625</v>
      </c>
      <c r="J9634">
        <f t="shared" si="155"/>
        <v>105000</v>
      </c>
      <c r="K9634" t="e">
        <f>VLOOKUP(B9634,'REGISTRO ABONOS'!$B$8:$BC$10041,54,0)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hidden="1" x14ac:dyDescent="0.2">
      <c r="B9635" s="31">
        <v>9626</v>
      </c>
      <c r="J9635">
        <f t="shared" si="155"/>
        <v>105000</v>
      </c>
      <c r="K9635" t="e">
        <f>VLOOKUP(B9635,'REGISTRO ABONOS'!$B$8:$BC$10041,54,0)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hidden="1" x14ac:dyDescent="0.2">
      <c r="B9636" s="31">
        <v>9627</v>
      </c>
      <c r="J9636">
        <f t="shared" si="155"/>
        <v>105000</v>
      </c>
      <c r="K9636" t="e">
        <f>VLOOKUP(B9636,'REGISTRO ABONOS'!$B$8:$BC$10041,54,0)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hidden="1" x14ac:dyDescent="0.2">
      <c r="B9637" s="31">
        <v>9628</v>
      </c>
      <c r="J9637">
        <f t="shared" si="155"/>
        <v>105000</v>
      </c>
      <c r="K9637" t="e">
        <f>VLOOKUP(B9637,'REGISTRO ABONOS'!$B$8:$BC$10041,54,0)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hidden="1" x14ac:dyDescent="0.2">
      <c r="B9638" s="31">
        <v>9629</v>
      </c>
      <c r="J9638">
        <f t="shared" si="155"/>
        <v>105000</v>
      </c>
      <c r="K9638" t="e">
        <f>VLOOKUP(B9638,'REGISTRO ABONOS'!$B$8:$BC$10041,54,0)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hidden="1" x14ac:dyDescent="0.2">
      <c r="B9639" s="31">
        <v>9630</v>
      </c>
      <c r="J9639">
        <f t="shared" si="155"/>
        <v>105000</v>
      </c>
      <c r="K9639" t="e">
        <f>VLOOKUP(B9639,'REGISTRO ABONOS'!$B$8:$BC$10041,54,0)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hidden="1" x14ac:dyDescent="0.2">
      <c r="B9640" s="31">
        <v>9631</v>
      </c>
      <c r="J9640">
        <f t="shared" si="155"/>
        <v>105000</v>
      </c>
      <c r="K9640" t="e">
        <f>VLOOKUP(B9640,'REGISTRO ABONOS'!$B$8:$BC$10041,54,0)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hidden="1" x14ac:dyDescent="0.2">
      <c r="B9641" s="31">
        <v>9632</v>
      </c>
      <c r="J9641">
        <f t="shared" si="155"/>
        <v>105000</v>
      </c>
      <c r="K9641" t="e">
        <f>VLOOKUP(B9641,'REGISTRO ABONOS'!$B$8:$BC$10041,54,0)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hidden="1" x14ac:dyDescent="0.2">
      <c r="B9642" s="31">
        <v>9633</v>
      </c>
      <c r="J9642">
        <f t="shared" ref="J9642:J9705" si="156">IF(C9642&gt;43607,130000,105000)</f>
        <v>105000</v>
      </c>
      <c r="K9642" t="e">
        <f>VLOOKUP(B9642,'REGISTRO ABONOS'!$B$8:$BC$10041,54,0)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hidden="1" x14ac:dyDescent="0.2">
      <c r="B9643" s="31">
        <v>9634</v>
      </c>
      <c r="J9643">
        <f t="shared" si="156"/>
        <v>105000</v>
      </c>
      <c r="K9643" t="e">
        <f>VLOOKUP(B9643,'REGISTRO ABONOS'!$B$8:$BC$10041,54,0)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hidden="1" x14ac:dyDescent="0.2">
      <c r="B9644" s="31">
        <v>9635</v>
      </c>
      <c r="J9644">
        <f t="shared" si="156"/>
        <v>105000</v>
      </c>
      <c r="K9644" t="e">
        <f>VLOOKUP(B9644,'REGISTRO ABONOS'!$B$8:$BC$10041,54,0)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hidden="1" x14ac:dyDescent="0.2">
      <c r="B9645" s="31">
        <v>9636</v>
      </c>
      <c r="J9645">
        <f t="shared" si="156"/>
        <v>105000</v>
      </c>
      <c r="K9645" t="e">
        <f>VLOOKUP(B9645,'REGISTRO ABONOS'!$B$8:$BC$10041,54,0)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hidden="1" x14ac:dyDescent="0.2">
      <c r="B9646" s="31">
        <v>9637</v>
      </c>
      <c r="J9646">
        <f t="shared" si="156"/>
        <v>105000</v>
      </c>
      <c r="K9646" t="e">
        <f>VLOOKUP(B9646,'REGISTRO ABONOS'!$B$8:$BC$10041,54,0)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hidden="1" x14ac:dyDescent="0.2">
      <c r="B9647" s="31">
        <v>9638</v>
      </c>
      <c r="J9647">
        <f t="shared" si="156"/>
        <v>105000</v>
      </c>
      <c r="K9647" t="e">
        <f>VLOOKUP(B9647,'REGISTRO ABONOS'!$B$8:$BC$10041,54,0)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hidden="1" x14ac:dyDescent="0.2">
      <c r="B9648" s="31">
        <v>9639</v>
      </c>
      <c r="J9648">
        <f t="shared" si="156"/>
        <v>105000</v>
      </c>
      <c r="K9648" t="e">
        <f>VLOOKUP(B9648,'REGISTRO ABONOS'!$B$8:$BC$10041,54,0)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hidden="1" x14ac:dyDescent="0.2">
      <c r="B9649" s="31">
        <v>9640</v>
      </c>
      <c r="J9649">
        <f t="shared" si="156"/>
        <v>105000</v>
      </c>
      <c r="K9649" t="e">
        <f>VLOOKUP(B9649,'REGISTRO ABONOS'!$B$8:$BC$10041,54,0)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hidden="1" x14ac:dyDescent="0.2">
      <c r="B9650" s="31">
        <v>9641</v>
      </c>
      <c r="J9650">
        <f t="shared" si="156"/>
        <v>105000</v>
      </c>
      <c r="K9650" t="e">
        <f>VLOOKUP(B9650,'REGISTRO ABONOS'!$B$8:$BC$10041,54,0)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hidden="1" x14ac:dyDescent="0.2">
      <c r="B9651" s="31">
        <v>9642</v>
      </c>
      <c r="J9651">
        <f t="shared" si="156"/>
        <v>105000</v>
      </c>
      <c r="K9651" t="e">
        <f>VLOOKUP(B9651,'REGISTRO ABONOS'!$B$8:$BC$10041,54,0)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hidden="1" x14ac:dyDescent="0.2">
      <c r="B9652" s="31">
        <v>9643</v>
      </c>
      <c r="J9652">
        <f t="shared" si="156"/>
        <v>105000</v>
      </c>
      <c r="K9652" t="e">
        <f>VLOOKUP(B9652,'REGISTRO ABONOS'!$B$8:$BC$10041,54,0)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hidden="1" x14ac:dyDescent="0.2">
      <c r="B9653" s="31">
        <v>9644</v>
      </c>
      <c r="J9653">
        <f t="shared" si="156"/>
        <v>105000</v>
      </c>
      <c r="K9653" t="e">
        <f>VLOOKUP(B9653,'REGISTRO ABONOS'!$B$8:$BC$10041,54,0)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hidden="1" x14ac:dyDescent="0.2">
      <c r="B9654" s="31">
        <v>9645</v>
      </c>
      <c r="J9654">
        <f t="shared" si="156"/>
        <v>105000</v>
      </c>
      <c r="K9654" t="e">
        <f>VLOOKUP(B9654,'REGISTRO ABONOS'!$B$8:$BC$10041,54,0)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hidden="1" x14ac:dyDescent="0.2">
      <c r="B9655" s="31">
        <v>9646</v>
      </c>
      <c r="J9655">
        <f t="shared" si="156"/>
        <v>105000</v>
      </c>
      <c r="K9655" t="e">
        <f>VLOOKUP(B9655,'REGISTRO ABONOS'!$B$8:$BC$10041,54,0)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hidden="1" x14ac:dyDescent="0.2">
      <c r="B9656" s="31">
        <v>9647</v>
      </c>
      <c r="C9656" s="10">
        <v>43571</v>
      </c>
      <c r="D9656" t="s">
        <v>505</v>
      </c>
      <c r="H9656" t="s">
        <v>505</v>
      </c>
      <c r="I9656" t="s">
        <v>322</v>
      </c>
      <c r="J9656">
        <f t="shared" si="156"/>
        <v>105000</v>
      </c>
      <c r="K9656" t="e">
        <f>VLOOKUP(B9656,'REGISTRO ABONOS'!$B$8:$BC$10041,54,0)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hidden="1" x14ac:dyDescent="0.2">
      <c r="B9657" s="31">
        <v>9648</v>
      </c>
      <c r="J9657">
        <f t="shared" si="156"/>
        <v>105000</v>
      </c>
      <c r="K9657" t="e">
        <f>VLOOKUP(B9657,'REGISTRO ABONOS'!$B$8:$BC$10041,54,0)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6"/>
        <v>105000</v>
      </c>
      <c r="K9658" t="e">
        <f>VLOOKUP(B9658,'REGISTRO ABONOS'!$B$8:$BC$10041,54,0)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hidden="1" x14ac:dyDescent="0.2">
      <c r="B9659" s="31">
        <v>9650</v>
      </c>
      <c r="J9659">
        <f t="shared" si="156"/>
        <v>105000</v>
      </c>
      <c r="K9659" t="e">
        <f>VLOOKUP(B9659,'REGISTRO ABONOS'!$B$8:$BC$10041,54,0)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hidden="1" x14ac:dyDescent="0.2">
      <c r="B9660" s="31">
        <v>9651</v>
      </c>
      <c r="J9660">
        <f t="shared" si="156"/>
        <v>105000</v>
      </c>
      <c r="K9660" t="e">
        <f>VLOOKUP(B9660,'REGISTRO ABONOS'!$B$8:$BC$10041,54,0)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hidden="1" x14ac:dyDescent="0.2">
      <c r="B9661" s="31">
        <v>9652</v>
      </c>
      <c r="J9661">
        <f t="shared" si="156"/>
        <v>105000</v>
      </c>
      <c r="K9661" t="e">
        <f>VLOOKUP(B9661,'REGISTRO ABONOS'!$B$8:$BC$10041,54,0)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hidden="1" x14ac:dyDescent="0.2">
      <c r="B9662" s="31">
        <v>9653</v>
      </c>
      <c r="J9662">
        <f t="shared" si="156"/>
        <v>105000</v>
      </c>
      <c r="K9662" t="e">
        <f>VLOOKUP(B9662,'REGISTRO ABONOS'!$B$8:$BC$10041,54,0)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hidden="1" x14ac:dyDescent="0.2">
      <c r="B9663" s="31">
        <v>9654</v>
      </c>
      <c r="J9663">
        <f t="shared" si="156"/>
        <v>105000</v>
      </c>
      <c r="K9663" t="e">
        <f>VLOOKUP(B9663,'REGISTRO ABONOS'!$B$8:$BC$10041,54,0)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hidden="1" x14ac:dyDescent="0.2">
      <c r="B9664" s="31">
        <v>9655</v>
      </c>
      <c r="J9664">
        <f t="shared" si="156"/>
        <v>105000</v>
      </c>
      <c r="K9664" t="e">
        <f>VLOOKUP(B9664,'REGISTRO ABONOS'!$B$8:$BC$10041,54,0)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hidden="1" x14ac:dyDescent="0.2">
      <c r="B9665" s="31">
        <v>9656</v>
      </c>
      <c r="J9665">
        <f t="shared" si="156"/>
        <v>105000</v>
      </c>
      <c r="K9665" t="e">
        <f>VLOOKUP(B9665,'REGISTRO ABONOS'!$B$8:$BC$10041,54,0)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hidden="1" x14ac:dyDescent="0.2">
      <c r="B9666" s="31">
        <v>9657</v>
      </c>
      <c r="J9666">
        <f t="shared" si="156"/>
        <v>105000</v>
      </c>
      <c r="K9666" t="e">
        <f>VLOOKUP(B9666,'REGISTRO ABONOS'!$B$8:$BC$10041,54,0)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hidden="1" x14ac:dyDescent="0.2">
      <c r="B9667" s="31">
        <v>9658</v>
      </c>
      <c r="J9667">
        <f t="shared" si="156"/>
        <v>105000</v>
      </c>
      <c r="K9667" t="e">
        <f>VLOOKUP(B9667,'REGISTRO ABONOS'!$B$8:$BC$10041,54,0)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hidden="1" x14ac:dyDescent="0.2">
      <c r="B9668" s="31">
        <v>9659</v>
      </c>
      <c r="J9668">
        <f t="shared" si="156"/>
        <v>105000</v>
      </c>
      <c r="K9668" t="e">
        <f>VLOOKUP(B9668,'REGISTRO ABONOS'!$B$8:$BC$10041,54,0)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hidden="1" x14ac:dyDescent="0.2">
      <c r="B9669" s="31">
        <v>9660</v>
      </c>
      <c r="J9669">
        <f t="shared" si="156"/>
        <v>105000</v>
      </c>
      <c r="K9669" t="e">
        <f>VLOOKUP(B9669,'REGISTRO ABONOS'!$B$8:$BC$10041,54,0)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hidden="1" x14ac:dyDescent="0.2">
      <c r="B9670" s="31">
        <v>9661</v>
      </c>
      <c r="J9670">
        <f t="shared" si="156"/>
        <v>105000</v>
      </c>
      <c r="K9670" t="e">
        <f>VLOOKUP(B9670,'REGISTRO ABONOS'!$B$8:$BC$10041,54,0)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hidden="1" x14ac:dyDescent="0.2">
      <c r="B9671" s="31">
        <v>9662</v>
      </c>
      <c r="J9671">
        <f t="shared" si="156"/>
        <v>105000</v>
      </c>
      <c r="K9671" t="e">
        <f>VLOOKUP(B9671,'REGISTRO ABONOS'!$B$8:$BC$10041,54,0)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hidden="1" x14ac:dyDescent="0.2">
      <c r="B9672" s="31">
        <v>9663</v>
      </c>
      <c r="J9672">
        <f t="shared" si="156"/>
        <v>105000</v>
      </c>
      <c r="K9672" t="e">
        <f>VLOOKUP(B9672,'REGISTRO ABONOS'!$B$8:$BC$10041,54,0)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hidden="1" x14ac:dyDescent="0.2">
      <c r="B9673" s="31">
        <v>9664</v>
      </c>
      <c r="J9673">
        <f t="shared" si="156"/>
        <v>105000</v>
      </c>
      <c r="K9673" t="e">
        <f>VLOOKUP(B9673,'REGISTRO ABONOS'!$B$8:$BC$10041,54,0)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hidden="1" x14ac:dyDescent="0.2">
      <c r="B9674" s="31">
        <v>9665</v>
      </c>
      <c r="J9674">
        <f t="shared" si="156"/>
        <v>105000</v>
      </c>
      <c r="K9674" t="e">
        <f>VLOOKUP(B9674,'REGISTRO ABONOS'!$B$8:$BC$10041,54,0)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hidden="1" x14ac:dyDescent="0.2">
      <c r="B9675" s="31">
        <v>9666</v>
      </c>
      <c r="J9675">
        <f t="shared" si="156"/>
        <v>105000</v>
      </c>
      <c r="K9675" t="e">
        <f>VLOOKUP(B9675,'REGISTRO ABONOS'!$B$8:$BC$10041,54,0)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hidden="1" x14ac:dyDescent="0.2">
      <c r="B9676" s="31">
        <v>9667</v>
      </c>
      <c r="J9676">
        <f t="shared" si="156"/>
        <v>105000</v>
      </c>
      <c r="K9676" t="e">
        <f>VLOOKUP(B9676,'REGISTRO ABONOS'!$B$8:$BC$10041,54,0)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hidden="1" x14ac:dyDescent="0.2">
      <c r="B9677" s="31">
        <v>9668</v>
      </c>
      <c r="J9677">
        <f t="shared" si="156"/>
        <v>105000</v>
      </c>
      <c r="K9677" t="e">
        <f>VLOOKUP(B9677,'REGISTRO ABONOS'!$B$8:$BC$10041,54,0)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hidden="1" x14ac:dyDescent="0.2">
      <c r="B9678" s="31">
        <v>9669</v>
      </c>
      <c r="J9678">
        <f t="shared" si="156"/>
        <v>105000</v>
      </c>
      <c r="K9678" t="e">
        <f>VLOOKUP(B9678,'REGISTRO ABONOS'!$B$8:$BC$10041,54,0)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hidden="1" x14ac:dyDescent="0.2">
      <c r="B9679" s="31">
        <v>9670</v>
      </c>
      <c r="J9679">
        <f t="shared" si="156"/>
        <v>105000</v>
      </c>
      <c r="K9679" t="e">
        <f>VLOOKUP(B9679,'REGISTRO ABONOS'!$B$8:$BC$10041,54,0)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hidden="1" x14ac:dyDescent="0.2">
      <c r="B9680" s="31">
        <v>9671</v>
      </c>
      <c r="J9680">
        <f t="shared" si="156"/>
        <v>105000</v>
      </c>
      <c r="K9680" t="e">
        <f>VLOOKUP(B9680,'REGISTRO ABONOS'!$B$8:$BC$10041,54,0)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hidden="1" x14ac:dyDescent="0.2">
      <c r="B9681" s="31">
        <v>9672</v>
      </c>
      <c r="J9681">
        <f t="shared" si="156"/>
        <v>105000</v>
      </c>
      <c r="K9681" t="e">
        <f>VLOOKUP(B9681,'REGISTRO ABONOS'!$B$8:$BC$10041,54,0)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hidden="1" x14ac:dyDescent="0.2">
      <c r="B9682" s="31">
        <v>9673</v>
      </c>
      <c r="J9682">
        <f t="shared" si="156"/>
        <v>105000</v>
      </c>
      <c r="K9682" t="e">
        <f>VLOOKUP(B9682,'REGISTRO ABONOS'!$B$8:$BC$10041,54,0)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hidden="1" x14ac:dyDescent="0.2">
      <c r="B9683" s="31">
        <v>9674</v>
      </c>
      <c r="J9683">
        <f t="shared" si="156"/>
        <v>105000</v>
      </c>
      <c r="K9683" t="e">
        <f>VLOOKUP(B9683,'REGISTRO ABONOS'!$B$8:$BC$10041,54,0)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hidden="1" x14ac:dyDescent="0.2">
      <c r="B9684" s="31">
        <v>9675</v>
      </c>
      <c r="J9684">
        <f t="shared" si="156"/>
        <v>105000</v>
      </c>
      <c r="K9684" t="e">
        <f>VLOOKUP(B9684,'REGISTRO ABONOS'!$B$8:$BC$10041,54,0)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hidden="1" x14ac:dyDescent="0.2">
      <c r="B9685" s="31">
        <v>9676</v>
      </c>
      <c r="J9685">
        <f t="shared" si="156"/>
        <v>105000</v>
      </c>
      <c r="K9685" t="e">
        <f>VLOOKUP(B9685,'REGISTRO ABONOS'!$B$8:$BC$10041,54,0)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hidden="1" x14ac:dyDescent="0.2">
      <c r="B9686" s="31">
        <v>9677</v>
      </c>
      <c r="J9686">
        <f t="shared" si="156"/>
        <v>105000</v>
      </c>
      <c r="K9686" t="e">
        <f>VLOOKUP(B9686,'REGISTRO ABONOS'!$B$8:$BC$10041,54,0)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hidden="1" x14ac:dyDescent="0.2">
      <c r="B9687" s="31">
        <v>9678</v>
      </c>
      <c r="J9687">
        <f t="shared" si="156"/>
        <v>105000</v>
      </c>
      <c r="K9687" t="e">
        <f>VLOOKUP(B9687,'REGISTRO ABONOS'!$B$8:$BC$10041,54,0)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hidden="1" x14ac:dyDescent="0.2">
      <c r="B9688" s="31">
        <v>9679</v>
      </c>
      <c r="J9688">
        <f t="shared" si="156"/>
        <v>105000</v>
      </c>
      <c r="K9688" t="e">
        <f>VLOOKUP(B9688,'REGISTRO ABONOS'!$B$8:$BC$10041,54,0)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hidden="1" x14ac:dyDescent="0.2">
      <c r="B9689" s="31">
        <v>9680</v>
      </c>
      <c r="J9689">
        <f t="shared" si="156"/>
        <v>105000</v>
      </c>
      <c r="K9689" t="e">
        <f>VLOOKUP(B9689,'REGISTRO ABONOS'!$B$8:$BC$10041,54,0)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hidden="1" x14ac:dyDescent="0.2">
      <c r="B9690" s="31">
        <v>9681</v>
      </c>
      <c r="J9690">
        <f t="shared" si="156"/>
        <v>105000</v>
      </c>
      <c r="K9690" t="e">
        <f>VLOOKUP(B9690,'REGISTRO ABONOS'!$B$8:$BC$10041,54,0)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hidden="1" x14ac:dyDescent="0.2">
      <c r="B9691" s="31">
        <v>9682</v>
      </c>
      <c r="J9691">
        <f t="shared" si="156"/>
        <v>105000</v>
      </c>
      <c r="K9691" t="e">
        <f>VLOOKUP(B9691,'REGISTRO ABONOS'!$B$8:$BC$10041,54,0)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hidden="1" x14ac:dyDescent="0.2">
      <c r="B9692" s="31">
        <v>9683</v>
      </c>
      <c r="J9692">
        <f t="shared" si="156"/>
        <v>105000</v>
      </c>
      <c r="K9692" t="e">
        <f>VLOOKUP(B9692,'REGISTRO ABONOS'!$B$8:$BC$10041,54,0)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hidden="1" x14ac:dyDescent="0.2">
      <c r="B9693" s="31">
        <v>9684</v>
      </c>
      <c r="J9693">
        <f t="shared" si="156"/>
        <v>105000</v>
      </c>
      <c r="K9693" t="e">
        <f>VLOOKUP(B9693,'REGISTRO ABONOS'!$B$8:$BC$10041,54,0)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hidden="1" x14ac:dyDescent="0.2">
      <c r="B9694" s="31">
        <v>9685</v>
      </c>
      <c r="J9694">
        <f t="shared" si="156"/>
        <v>105000</v>
      </c>
      <c r="K9694" t="e">
        <f>VLOOKUP(B9694,'REGISTRO ABONOS'!$B$8:$BC$10041,54,0)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hidden="1" x14ac:dyDescent="0.2">
      <c r="B9695" s="31">
        <v>9686</v>
      </c>
      <c r="J9695">
        <f t="shared" si="156"/>
        <v>105000</v>
      </c>
      <c r="K9695" t="e">
        <f>VLOOKUP(B9695,'REGISTRO ABONOS'!$B$8:$BC$10041,54,0)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hidden="1" x14ac:dyDescent="0.2">
      <c r="B9696" s="31">
        <v>9687</v>
      </c>
      <c r="J9696">
        <f t="shared" si="156"/>
        <v>105000</v>
      </c>
      <c r="K9696" t="e">
        <f>VLOOKUP(B9696,'REGISTRO ABONOS'!$B$8:$BC$10041,54,0)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hidden="1" x14ac:dyDescent="0.2">
      <c r="B9697" s="31">
        <v>9688</v>
      </c>
      <c r="J9697">
        <f t="shared" si="156"/>
        <v>105000</v>
      </c>
      <c r="K9697" t="e">
        <f>VLOOKUP(B9697,'REGISTRO ABONOS'!$B$8:$BC$10041,54,0)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hidden="1" x14ac:dyDescent="0.2">
      <c r="B9698" s="31">
        <v>9689</v>
      </c>
      <c r="J9698">
        <f t="shared" si="156"/>
        <v>105000</v>
      </c>
      <c r="K9698" t="e">
        <f>VLOOKUP(B9698,'REGISTRO ABONOS'!$B$8:$BC$10041,54,0)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hidden="1" x14ac:dyDescent="0.2">
      <c r="B9699" s="31">
        <v>9690</v>
      </c>
      <c r="J9699">
        <f t="shared" si="156"/>
        <v>105000</v>
      </c>
      <c r="K9699" t="e">
        <f>VLOOKUP(B9699,'REGISTRO ABONOS'!$B$8:$BC$10041,54,0)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hidden="1" x14ac:dyDescent="0.2">
      <c r="B9700" s="31">
        <v>9691</v>
      </c>
      <c r="J9700">
        <f t="shared" si="156"/>
        <v>105000</v>
      </c>
      <c r="K9700" t="e">
        <f>VLOOKUP(B9700,'REGISTRO ABONOS'!$B$8:$BC$10041,54,0)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hidden="1" x14ac:dyDescent="0.2">
      <c r="B9701" s="31">
        <v>9692</v>
      </c>
      <c r="J9701">
        <f t="shared" si="156"/>
        <v>105000</v>
      </c>
      <c r="K9701" t="e">
        <f>VLOOKUP(B9701,'REGISTRO ABONOS'!$B$8:$BC$10041,54,0)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hidden="1" x14ac:dyDescent="0.2">
      <c r="B9702" s="31">
        <v>9693</v>
      </c>
      <c r="J9702">
        <f t="shared" si="156"/>
        <v>105000</v>
      </c>
      <c r="K9702" t="e">
        <f>VLOOKUP(B9702,'REGISTRO ABONOS'!$B$8:$BC$10041,54,0)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hidden="1" x14ac:dyDescent="0.2">
      <c r="B9703" s="31">
        <v>9694</v>
      </c>
      <c r="J9703">
        <f t="shared" si="156"/>
        <v>105000</v>
      </c>
      <c r="K9703" t="e">
        <f>VLOOKUP(B9703,'REGISTRO ABONOS'!$B$8:$BC$10041,54,0)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hidden="1" x14ac:dyDescent="0.2">
      <c r="B9704" s="31">
        <v>9695</v>
      </c>
      <c r="J9704">
        <f t="shared" si="156"/>
        <v>105000</v>
      </c>
      <c r="K9704" t="e">
        <f>VLOOKUP(B9704,'REGISTRO ABONOS'!$B$8:$BC$10041,54,0)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hidden="1" x14ac:dyDescent="0.2">
      <c r="B9705" s="31">
        <v>9696</v>
      </c>
      <c r="J9705">
        <f t="shared" si="156"/>
        <v>105000</v>
      </c>
      <c r="K9705" t="e">
        <f>VLOOKUP(B9705,'REGISTRO ABONOS'!$B$8:$BC$10041,54,0)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hidden="1" x14ac:dyDescent="0.2">
      <c r="B9706" s="31">
        <v>9697</v>
      </c>
      <c r="J9706">
        <f t="shared" ref="J9706:J9769" si="157">IF(C9706&gt;43607,130000,105000)</f>
        <v>105000</v>
      </c>
      <c r="K9706" t="e">
        <f>VLOOKUP(B9706,'REGISTRO ABONOS'!$B$8:$BC$10041,54,0)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hidden="1" x14ac:dyDescent="0.2">
      <c r="B9707" s="31">
        <v>9698</v>
      </c>
      <c r="J9707">
        <f t="shared" si="157"/>
        <v>105000</v>
      </c>
      <c r="K9707" t="e">
        <f>VLOOKUP(B9707,'REGISTRO ABONOS'!$B$8:$BC$10041,54,0)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hidden="1" x14ac:dyDescent="0.2">
      <c r="B9708" s="31">
        <v>9699</v>
      </c>
      <c r="J9708">
        <f t="shared" si="157"/>
        <v>105000</v>
      </c>
      <c r="K9708" t="e">
        <f>VLOOKUP(B9708,'REGISTRO ABONOS'!$B$8:$BC$10041,54,0)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hidden="1" x14ac:dyDescent="0.2">
      <c r="B9709" s="31">
        <v>9700</v>
      </c>
      <c r="J9709">
        <f t="shared" si="157"/>
        <v>105000</v>
      </c>
      <c r="K9709" t="e">
        <f>VLOOKUP(B9709,'REGISTRO ABONOS'!$B$8:$BC$10041,54,0)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hidden="1" x14ac:dyDescent="0.2">
      <c r="B9710" s="31">
        <v>9701</v>
      </c>
      <c r="J9710">
        <f t="shared" si="157"/>
        <v>105000</v>
      </c>
      <c r="K9710" t="e">
        <f>VLOOKUP(B9710,'REGISTRO ABONOS'!$B$8:$BC$10041,54,0)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hidden="1" x14ac:dyDescent="0.2">
      <c r="B9711" s="31">
        <v>9702</v>
      </c>
      <c r="J9711">
        <f t="shared" si="157"/>
        <v>105000</v>
      </c>
      <c r="K9711" t="e">
        <f>VLOOKUP(B9711,'REGISTRO ABONOS'!$B$8:$BC$10041,54,0)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hidden="1" x14ac:dyDescent="0.2">
      <c r="B9712" s="31">
        <v>9703</v>
      </c>
      <c r="J9712">
        <f t="shared" si="157"/>
        <v>105000</v>
      </c>
      <c r="K9712" t="e">
        <f>VLOOKUP(B9712,'REGISTRO ABONOS'!$B$8:$BC$10041,54,0)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hidden="1" x14ac:dyDescent="0.2">
      <c r="B9713" s="31">
        <v>9704</v>
      </c>
      <c r="J9713">
        <f t="shared" si="157"/>
        <v>105000</v>
      </c>
      <c r="K9713" t="e">
        <f>VLOOKUP(B9713,'REGISTRO ABONOS'!$B$8:$BC$10041,54,0)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hidden="1" x14ac:dyDescent="0.2">
      <c r="B9714" s="31">
        <v>9705</v>
      </c>
      <c r="J9714">
        <f t="shared" si="157"/>
        <v>105000</v>
      </c>
      <c r="K9714" t="e">
        <f>VLOOKUP(B9714,'REGISTRO ABONOS'!$B$8:$BC$10041,54,0)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hidden="1" x14ac:dyDescent="0.2">
      <c r="B9715" s="31">
        <v>9706</v>
      </c>
      <c r="J9715">
        <f t="shared" si="157"/>
        <v>105000</v>
      </c>
      <c r="K9715" t="e">
        <f>VLOOKUP(B9715,'REGISTRO ABONOS'!$B$8:$BC$10041,54,0)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hidden="1" x14ac:dyDescent="0.2">
      <c r="B9716" s="31">
        <v>9707</v>
      </c>
      <c r="J9716">
        <f t="shared" si="157"/>
        <v>105000</v>
      </c>
      <c r="K9716" t="e">
        <f>VLOOKUP(B9716,'REGISTRO ABONOS'!$B$8:$BC$10041,54,0)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hidden="1" x14ac:dyDescent="0.2">
      <c r="B9717" s="31">
        <v>9708</v>
      </c>
      <c r="J9717">
        <f t="shared" si="157"/>
        <v>105000</v>
      </c>
      <c r="K9717" t="e">
        <f>VLOOKUP(B9717,'REGISTRO ABONOS'!$B$8:$BC$10041,54,0)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hidden="1" x14ac:dyDescent="0.2">
      <c r="B9718" s="31">
        <v>9709</v>
      </c>
      <c r="J9718">
        <f t="shared" si="157"/>
        <v>105000</v>
      </c>
      <c r="K9718" t="e">
        <f>VLOOKUP(B9718,'REGISTRO ABONOS'!$B$8:$BC$10041,54,0)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hidden="1" x14ac:dyDescent="0.2">
      <c r="B9719" s="31">
        <v>9710</v>
      </c>
      <c r="J9719">
        <f t="shared" si="157"/>
        <v>105000</v>
      </c>
      <c r="K9719" t="e">
        <f>VLOOKUP(B9719,'REGISTRO ABONOS'!$B$8:$BC$10041,54,0)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hidden="1" x14ac:dyDescent="0.2">
      <c r="B9720" s="31">
        <v>9711</v>
      </c>
      <c r="J9720">
        <f t="shared" si="157"/>
        <v>105000</v>
      </c>
      <c r="K9720" t="e">
        <f>VLOOKUP(B9720,'REGISTRO ABONOS'!$B$8:$BC$10041,54,0)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hidden="1" x14ac:dyDescent="0.2">
      <c r="B9721" s="31">
        <v>9712</v>
      </c>
      <c r="J9721">
        <f t="shared" si="157"/>
        <v>105000</v>
      </c>
      <c r="K9721" t="e">
        <f>VLOOKUP(B9721,'REGISTRO ABONOS'!$B$8:$BC$10041,54,0)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hidden="1" x14ac:dyDescent="0.2">
      <c r="B9722" s="31">
        <v>9713</v>
      </c>
      <c r="J9722">
        <f t="shared" si="157"/>
        <v>105000</v>
      </c>
      <c r="K9722" t="e">
        <f>VLOOKUP(B9722,'REGISTRO ABONOS'!$B$8:$BC$10041,54,0)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hidden="1" x14ac:dyDescent="0.2">
      <c r="B9723" s="31">
        <v>9714</v>
      </c>
      <c r="J9723">
        <f t="shared" si="157"/>
        <v>105000</v>
      </c>
      <c r="K9723" t="e">
        <f>VLOOKUP(B9723,'REGISTRO ABONOS'!$B$8:$BC$10041,54,0)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hidden="1" x14ac:dyDescent="0.2">
      <c r="B9724" s="31">
        <v>9715</v>
      </c>
      <c r="J9724">
        <f t="shared" si="157"/>
        <v>105000</v>
      </c>
      <c r="K9724" t="e">
        <f>VLOOKUP(B9724,'REGISTRO ABONOS'!$B$8:$BC$10041,54,0)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hidden="1" x14ac:dyDescent="0.2">
      <c r="B9725" s="31">
        <v>9716</v>
      </c>
      <c r="J9725">
        <f t="shared" si="157"/>
        <v>105000</v>
      </c>
      <c r="K9725" t="e">
        <f>VLOOKUP(B9725,'REGISTRO ABONOS'!$B$8:$BC$10041,54,0)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hidden="1" x14ac:dyDescent="0.2">
      <c r="B9726" s="31">
        <v>9717</v>
      </c>
      <c r="J9726">
        <f t="shared" si="157"/>
        <v>105000</v>
      </c>
      <c r="K9726" t="e">
        <f>VLOOKUP(B9726,'REGISTRO ABONOS'!$B$8:$BC$10041,54,0)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hidden="1" x14ac:dyDescent="0.2">
      <c r="B9727" s="31">
        <v>9718</v>
      </c>
      <c r="J9727">
        <f t="shared" si="157"/>
        <v>105000</v>
      </c>
      <c r="K9727" t="e">
        <f>VLOOKUP(B9727,'REGISTRO ABONOS'!$B$8:$BC$10041,54,0)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hidden="1" x14ac:dyDescent="0.2">
      <c r="B9728" s="31">
        <v>9719</v>
      </c>
      <c r="J9728">
        <f t="shared" si="157"/>
        <v>105000</v>
      </c>
      <c r="K9728" t="e">
        <f>VLOOKUP(B9728,'REGISTRO ABONOS'!$B$8:$BC$10041,54,0)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hidden="1" x14ac:dyDescent="0.2">
      <c r="B9729" s="31">
        <v>9720</v>
      </c>
      <c r="J9729">
        <f t="shared" si="157"/>
        <v>105000</v>
      </c>
      <c r="K9729" t="e">
        <f>VLOOKUP(B9729,'REGISTRO ABONOS'!$B$8:$BC$10041,54,0)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hidden="1" x14ac:dyDescent="0.2">
      <c r="B9730" s="31">
        <v>9721</v>
      </c>
      <c r="J9730">
        <f t="shared" si="157"/>
        <v>105000</v>
      </c>
      <c r="K9730" t="e">
        <f>VLOOKUP(B9730,'REGISTRO ABONOS'!$B$8:$BC$10041,54,0)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hidden="1" x14ac:dyDescent="0.2">
      <c r="B9731" s="31">
        <v>9722</v>
      </c>
      <c r="J9731">
        <f t="shared" si="157"/>
        <v>105000</v>
      </c>
      <c r="K9731" t="e">
        <f>VLOOKUP(B9731,'REGISTRO ABONOS'!$B$8:$BC$10041,54,0)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hidden="1" x14ac:dyDescent="0.2">
      <c r="B9732" s="31">
        <v>9723</v>
      </c>
      <c r="J9732">
        <f t="shared" si="157"/>
        <v>105000</v>
      </c>
      <c r="K9732" t="e">
        <f>VLOOKUP(B9732,'REGISTRO ABONOS'!$B$8:$BC$10041,54,0)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hidden="1" x14ac:dyDescent="0.2">
      <c r="B9733" s="31">
        <v>9724</v>
      </c>
      <c r="J9733">
        <f t="shared" si="157"/>
        <v>105000</v>
      </c>
      <c r="K9733" t="e">
        <f>VLOOKUP(B9733,'REGISTRO ABONOS'!$B$8:$BC$10041,54,0)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hidden="1" x14ac:dyDescent="0.2">
      <c r="B9734" s="31">
        <v>9725</v>
      </c>
      <c r="J9734">
        <f t="shared" si="157"/>
        <v>105000</v>
      </c>
      <c r="K9734" t="e">
        <f>VLOOKUP(B9734,'REGISTRO ABONOS'!$B$8:$BC$10041,54,0)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hidden="1" x14ac:dyDescent="0.2">
      <c r="B9735" s="31">
        <v>9726</v>
      </c>
      <c r="J9735">
        <f t="shared" si="157"/>
        <v>105000</v>
      </c>
      <c r="K9735" t="e">
        <f>VLOOKUP(B9735,'REGISTRO ABONOS'!$B$8:$BC$10041,54,0)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hidden="1" x14ac:dyDescent="0.2">
      <c r="B9736" s="31">
        <v>9727</v>
      </c>
      <c r="J9736">
        <f t="shared" si="157"/>
        <v>105000</v>
      </c>
      <c r="K9736" t="e">
        <f>VLOOKUP(B9736,'REGISTRO ABONOS'!$B$8:$BC$10041,54,0)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hidden="1" x14ac:dyDescent="0.2">
      <c r="B9737" s="31">
        <v>9728</v>
      </c>
      <c r="J9737">
        <f t="shared" si="157"/>
        <v>105000</v>
      </c>
      <c r="K9737" t="e">
        <f>VLOOKUP(B9737,'REGISTRO ABONOS'!$B$8:$BC$10041,54,0)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hidden="1" x14ac:dyDescent="0.2">
      <c r="B9738" s="31">
        <v>9729</v>
      </c>
      <c r="J9738">
        <f t="shared" si="157"/>
        <v>105000</v>
      </c>
      <c r="K9738" t="e">
        <f>VLOOKUP(B9738,'REGISTRO ABONOS'!$B$8:$BC$10041,54,0)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hidden="1" x14ac:dyDescent="0.2">
      <c r="B9739" s="31">
        <v>9730</v>
      </c>
      <c r="J9739">
        <f t="shared" si="157"/>
        <v>105000</v>
      </c>
      <c r="K9739" t="e">
        <f>VLOOKUP(B9739,'REGISTRO ABONOS'!$B$8:$BC$10041,54,0)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hidden="1" x14ac:dyDescent="0.2">
      <c r="B9740" s="31">
        <v>9731</v>
      </c>
      <c r="J9740">
        <f t="shared" si="157"/>
        <v>105000</v>
      </c>
      <c r="K9740" t="e">
        <f>VLOOKUP(B9740,'REGISTRO ABONOS'!$B$8:$BC$10041,54,0)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hidden="1" x14ac:dyDescent="0.2">
      <c r="B9741" s="31">
        <v>9732</v>
      </c>
      <c r="J9741">
        <f t="shared" si="157"/>
        <v>105000</v>
      </c>
      <c r="K9741" t="e">
        <f>VLOOKUP(B9741,'REGISTRO ABONOS'!$B$8:$BC$10041,54,0)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hidden="1" x14ac:dyDescent="0.2">
      <c r="B9742" s="31">
        <v>9733</v>
      </c>
      <c r="J9742">
        <f t="shared" si="157"/>
        <v>105000</v>
      </c>
      <c r="K9742" t="e">
        <f>VLOOKUP(B9742,'REGISTRO ABONOS'!$B$8:$BC$10041,54,0)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hidden="1" x14ac:dyDescent="0.2">
      <c r="B9743" s="31">
        <v>9734</v>
      </c>
      <c r="J9743">
        <f t="shared" si="157"/>
        <v>105000</v>
      </c>
      <c r="K9743" t="e">
        <f>VLOOKUP(B9743,'REGISTRO ABONOS'!$B$8:$BC$10041,54,0)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hidden="1" x14ac:dyDescent="0.2">
      <c r="B9744" s="31">
        <v>9735</v>
      </c>
      <c r="J9744">
        <f t="shared" si="157"/>
        <v>105000</v>
      </c>
      <c r="K9744" t="e">
        <f>VLOOKUP(B9744,'REGISTRO ABONOS'!$B$8:$BC$10041,54,0)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hidden="1" x14ac:dyDescent="0.2">
      <c r="B9745" s="31">
        <v>9736</v>
      </c>
      <c r="J9745">
        <f t="shared" si="157"/>
        <v>105000</v>
      </c>
      <c r="K9745" t="e">
        <f>VLOOKUP(B9745,'REGISTRO ABONOS'!$B$8:$BC$10041,54,0)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hidden="1" x14ac:dyDescent="0.2">
      <c r="B9746" s="31">
        <v>9737</v>
      </c>
      <c r="J9746">
        <f t="shared" si="157"/>
        <v>105000</v>
      </c>
      <c r="K9746" t="e">
        <f>VLOOKUP(B9746,'REGISTRO ABONOS'!$B$8:$BC$10041,54,0)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hidden="1" x14ac:dyDescent="0.2">
      <c r="B9747" s="31">
        <v>9738</v>
      </c>
      <c r="J9747">
        <f t="shared" si="157"/>
        <v>105000</v>
      </c>
      <c r="K9747" t="e">
        <f>VLOOKUP(B9747,'REGISTRO ABONOS'!$B$8:$BC$10041,54,0)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hidden="1" x14ac:dyDescent="0.2">
      <c r="B9748" s="31">
        <v>9739</v>
      </c>
      <c r="J9748">
        <f t="shared" si="157"/>
        <v>105000</v>
      </c>
      <c r="K9748" t="e">
        <f>VLOOKUP(B9748,'REGISTRO ABONOS'!$B$8:$BC$10041,54,0)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hidden="1" x14ac:dyDescent="0.2">
      <c r="B9749" s="31">
        <v>9740</v>
      </c>
      <c r="J9749">
        <f t="shared" si="157"/>
        <v>105000</v>
      </c>
      <c r="K9749" t="e">
        <f>VLOOKUP(B9749,'REGISTRO ABONOS'!$B$8:$BC$10041,54,0)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hidden="1" x14ac:dyDescent="0.2">
      <c r="B9750" s="31">
        <v>9741</v>
      </c>
      <c r="J9750">
        <f t="shared" si="157"/>
        <v>105000</v>
      </c>
      <c r="K9750" t="e">
        <f>VLOOKUP(B9750,'REGISTRO ABONOS'!$B$8:$BC$10041,54,0)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hidden="1" x14ac:dyDescent="0.2">
      <c r="B9751" s="31">
        <v>9742</v>
      </c>
      <c r="J9751">
        <f t="shared" si="157"/>
        <v>105000</v>
      </c>
      <c r="K9751" t="e">
        <f>VLOOKUP(B9751,'REGISTRO ABONOS'!$B$8:$BC$10041,54,0)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hidden="1" x14ac:dyDescent="0.2">
      <c r="B9752" s="31">
        <v>9743</v>
      </c>
      <c r="J9752">
        <f t="shared" si="157"/>
        <v>105000</v>
      </c>
      <c r="K9752" t="e">
        <f>VLOOKUP(B9752,'REGISTRO ABONOS'!$B$8:$BC$10041,54,0)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hidden="1" x14ac:dyDescent="0.2">
      <c r="B9753" s="31">
        <v>9744</v>
      </c>
      <c r="J9753">
        <f t="shared" si="157"/>
        <v>105000</v>
      </c>
      <c r="K9753" t="e">
        <f>VLOOKUP(B9753,'REGISTRO ABONOS'!$B$8:$BC$10041,54,0)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hidden="1" x14ac:dyDescent="0.2">
      <c r="B9754" s="31">
        <v>9745</v>
      </c>
      <c r="J9754">
        <f t="shared" si="157"/>
        <v>105000</v>
      </c>
      <c r="K9754" t="e">
        <f>VLOOKUP(B9754,'REGISTRO ABONOS'!$B$8:$BC$10041,54,0)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hidden="1" x14ac:dyDescent="0.2">
      <c r="B9755" s="31">
        <v>9746</v>
      </c>
      <c r="J9755">
        <f t="shared" si="157"/>
        <v>105000</v>
      </c>
      <c r="K9755" t="e">
        <f>VLOOKUP(B9755,'REGISTRO ABONOS'!$B$8:$BC$10041,54,0)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hidden="1" x14ac:dyDescent="0.2">
      <c r="B9756" s="31">
        <v>9747</v>
      </c>
      <c r="J9756">
        <f t="shared" si="157"/>
        <v>105000</v>
      </c>
      <c r="K9756" t="e">
        <f>VLOOKUP(B9756,'REGISTRO ABONOS'!$B$8:$BC$10041,54,0)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hidden="1" x14ac:dyDescent="0.2">
      <c r="B9757" s="31">
        <v>9748</v>
      </c>
      <c r="J9757">
        <f t="shared" si="157"/>
        <v>105000</v>
      </c>
      <c r="K9757" t="e">
        <f>VLOOKUP(B9757,'REGISTRO ABONOS'!$B$8:$BC$10041,54,0)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hidden="1" x14ac:dyDescent="0.2">
      <c r="B9758" s="31">
        <v>9749</v>
      </c>
      <c r="J9758">
        <f t="shared" si="157"/>
        <v>105000</v>
      </c>
      <c r="K9758" t="e">
        <f>VLOOKUP(B9758,'REGISTRO ABONOS'!$B$8:$BC$10041,54,0)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hidden="1" x14ac:dyDescent="0.2">
      <c r="B9759" s="31">
        <v>9750</v>
      </c>
      <c r="J9759">
        <f t="shared" si="157"/>
        <v>105000</v>
      </c>
      <c r="K9759" t="e">
        <f>VLOOKUP(B9759,'REGISTRO ABONOS'!$B$8:$BC$10041,54,0)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hidden="1" x14ac:dyDescent="0.2">
      <c r="B9760" s="31">
        <v>9751</v>
      </c>
      <c r="J9760">
        <f t="shared" si="157"/>
        <v>105000</v>
      </c>
      <c r="K9760" t="e">
        <f>VLOOKUP(B9760,'REGISTRO ABONOS'!$B$8:$BC$10041,54,0)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hidden="1" x14ac:dyDescent="0.2">
      <c r="B9761" s="31">
        <v>9752</v>
      </c>
      <c r="J9761">
        <f t="shared" si="157"/>
        <v>105000</v>
      </c>
      <c r="K9761" t="e">
        <f>VLOOKUP(B9761,'REGISTRO ABONOS'!$B$8:$BC$10041,54,0)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hidden="1" x14ac:dyDescent="0.2">
      <c r="B9762" s="31">
        <v>9753</v>
      </c>
      <c r="J9762">
        <f t="shared" si="157"/>
        <v>105000</v>
      </c>
      <c r="K9762" t="e">
        <f>VLOOKUP(B9762,'REGISTRO ABONOS'!$B$8:$BC$10041,54,0)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hidden="1" x14ac:dyDescent="0.2">
      <c r="B9763" s="31">
        <v>9754</v>
      </c>
      <c r="J9763">
        <f t="shared" si="157"/>
        <v>105000</v>
      </c>
      <c r="K9763" t="e">
        <f>VLOOKUP(B9763,'REGISTRO ABONOS'!$B$8:$BC$10041,54,0)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hidden="1" x14ac:dyDescent="0.2">
      <c r="B9764" s="31">
        <v>9755</v>
      </c>
      <c r="J9764">
        <f t="shared" si="157"/>
        <v>105000</v>
      </c>
      <c r="K9764" t="e">
        <f>VLOOKUP(B9764,'REGISTRO ABONOS'!$B$8:$BC$10041,54,0)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hidden="1" x14ac:dyDescent="0.2">
      <c r="B9765" s="31">
        <v>9756</v>
      </c>
      <c r="J9765">
        <f t="shared" si="157"/>
        <v>105000</v>
      </c>
      <c r="K9765" t="e">
        <f>VLOOKUP(B9765,'REGISTRO ABONOS'!$B$8:$BC$10041,54,0)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hidden="1" x14ac:dyDescent="0.2">
      <c r="B9766" s="31">
        <v>9757</v>
      </c>
      <c r="J9766">
        <f t="shared" si="157"/>
        <v>105000</v>
      </c>
      <c r="K9766" t="e">
        <f>VLOOKUP(B9766,'REGISTRO ABONOS'!$B$8:$BC$10041,54,0)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hidden="1" x14ac:dyDescent="0.2">
      <c r="B9767" s="31">
        <v>9758</v>
      </c>
      <c r="J9767">
        <f t="shared" si="157"/>
        <v>105000</v>
      </c>
      <c r="K9767" t="e">
        <f>VLOOKUP(B9767,'REGISTRO ABONOS'!$B$8:$BC$10041,54,0)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hidden="1" x14ac:dyDescent="0.2">
      <c r="B9768" s="31">
        <v>9759</v>
      </c>
      <c r="J9768">
        <f t="shared" si="157"/>
        <v>105000</v>
      </c>
      <c r="K9768" t="e">
        <f>VLOOKUP(B9768,'REGISTRO ABONOS'!$B$8:$BC$10041,54,0)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hidden="1" x14ac:dyDescent="0.2">
      <c r="B9769" s="31">
        <v>9760</v>
      </c>
      <c r="J9769">
        <f t="shared" si="157"/>
        <v>105000</v>
      </c>
      <c r="K9769" t="e">
        <f>VLOOKUP(B9769,'REGISTRO ABONOS'!$B$8:$BC$10041,54,0)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hidden="1" x14ac:dyDescent="0.2">
      <c r="B9770" s="31">
        <v>9761</v>
      </c>
      <c r="J9770">
        <f t="shared" ref="J9770:J9833" si="158">IF(C9770&gt;43607,130000,105000)</f>
        <v>105000</v>
      </c>
      <c r="K9770" t="e">
        <f>VLOOKUP(B9770,'REGISTRO ABONOS'!$B$8:$BC$10041,54,0)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hidden="1" x14ac:dyDescent="0.2">
      <c r="B9771" s="31">
        <v>9762</v>
      </c>
      <c r="J9771">
        <f t="shared" si="158"/>
        <v>105000</v>
      </c>
      <c r="K9771" t="e">
        <f>VLOOKUP(B9771,'REGISTRO ABONOS'!$B$8:$BC$10041,54,0)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hidden="1" x14ac:dyDescent="0.2">
      <c r="B9772" s="31">
        <v>9763</v>
      </c>
      <c r="J9772">
        <f t="shared" si="158"/>
        <v>105000</v>
      </c>
      <c r="K9772" t="e">
        <f>VLOOKUP(B9772,'REGISTRO ABONOS'!$B$8:$BC$10041,54,0)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hidden="1" x14ac:dyDescent="0.2">
      <c r="B9773" s="31">
        <v>9764</v>
      </c>
      <c r="J9773">
        <f t="shared" si="158"/>
        <v>105000</v>
      </c>
      <c r="K9773" t="e">
        <f>VLOOKUP(B9773,'REGISTRO ABONOS'!$B$8:$BC$10041,54,0)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hidden="1" x14ac:dyDescent="0.2">
      <c r="B9774" s="31">
        <v>9765</v>
      </c>
      <c r="J9774">
        <f t="shared" si="158"/>
        <v>105000</v>
      </c>
      <c r="K9774" t="e">
        <f>VLOOKUP(B9774,'REGISTRO ABONOS'!$B$8:$BC$10041,54,0)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hidden="1" x14ac:dyDescent="0.2">
      <c r="B9775" s="31">
        <v>9766</v>
      </c>
      <c r="J9775">
        <f t="shared" si="158"/>
        <v>105000</v>
      </c>
      <c r="K9775" t="e">
        <f>VLOOKUP(B9775,'REGISTRO ABONOS'!$B$8:$BC$10041,54,0)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hidden="1" x14ac:dyDescent="0.2">
      <c r="B9776" s="31">
        <v>9767</v>
      </c>
      <c r="J9776">
        <f t="shared" si="158"/>
        <v>105000</v>
      </c>
      <c r="K9776" t="e">
        <f>VLOOKUP(B9776,'REGISTRO ABONOS'!$B$8:$BC$10041,54,0)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hidden="1" x14ac:dyDescent="0.2">
      <c r="B9777" s="31">
        <v>9768</v>
      </c>
      <c r="J9777">
        <f t="shared" si="158"/>
        <v>105000</v>
      </c>
      <c r="K9777" t="e">
        <f>VLOOKUP(B9777,'REGISTRO ABONOS'!$B$8:$BC$10041,54,0)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hidden="1" x14ac:dyDescent="0.2">
      <c r="B9778" s="31">
        <v>9769</v>
      </c>
      <c r="J9778">
        <f t="shared" si="158"/>
        <v>105000</v>
      </c>
      <c r="K9778" t="e">
        <f>VLOOKUP(B9778,'REGISTRO ABONOS'!$B$8:$BC$10041,54,0)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hidden="1" x14ac:dyDescent="0.2">
      <c r="B9779" s="31">
        <v>9770</v>
      </c>
      <c r="J9779">
        <f t="shared" si="158"/>
        <v>105000</v>
      </c>
      <c r="K9779" t="e">
        <f>VLOOKUP(B9779,'REGISTRO ABONOS'!$B$8:$BC$10041,54,0)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hidden="1" x14ac:dyDescent="0.2">
      <c r="B9780" s="31">
        <v>9771</v>
      </c>
      <c r="J9780">
        <f t="shared" si="158"/>
        <v>105000</v>
      </c>
      <c r="K9780" t="e">
        <f>VLOOKUP(B9780,'REGISTRO ABONOS'!$B$8:$BC$10041,54,0)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hidden="1" x14ac:dyDescent="0.2">
      <c r="B9781" s="31">
        <v>9772</v>
      </c>
      <c r="J9781">
        <f t="shared" si="158"/>
        <v>105000</v>
      </c>
      <c r="K9781" t="e">
        <f>VLOOKUP(B9781,'REGISTRO ABONOS'!$B$8:$BC$10041,54,0)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hidden="1" x14ac:dyDescent="0.2">
      <c r="B9782" s="31">
        <v>9773</v>
      </c>
      <c r="J9782">
        <f t="shared" si="158"/>
        <v>105000</v>
      </c>
      <c r="K9782" t="e">
        <f>VLOOKUP(B9782,'REGISTRO ABONOS'!$B$8:$BC$10041,54,0)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hidden="1" x14ac:dyDescent="0.2">
      <c r="B9783" s="31">
        <v>9774</v>
      </c>
      <c r="J9783">
        <f t="shared" si="158"/>
        <v>105000</v>
      </c>
      <c r="K9783" t="e">
        <f>VLOOKUP(B9783,'REGISTRO ABONOS'!$B$8:$BC$10041,54,0)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hidden="1" x14ac:dyDescent="0.2">
      <c r="B9784" s="31">
        <v>9775</v>
      </c>
      <c r="J9784">
        <f t="shared" si="158"/>
        <v>105000</v>
      </c>
      <c r="K9784" t="e">
        <f>VLOOKUP(B9784,'REGISTRO ABONOS'!$B$8:$BC$10041,54,0)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hidden="1" x14ac:dyDescent="0.2">
      <c r="B9785" s="31">
        <v>9776</v>
      </c>
      <c r="J9785">
        <f t="shared" si="158"/>
        <v>105000</v>
      </c>
      <c r="K9785" t="e">
        <f>VLOOKUP(B9785,'REGISTRO ABONOS'!$B$8:$BC$10041,54,0)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hidden="1" x14ac:dyDescent="0.2">
      <c r="B9786" s="31">
        <v>9777</v>
      </c>
      <c r="J9786">
        <f t="shared" si="158"/>
        <v>105000</v>
      </c>
      <c r="K9786" t="e">
        <f>VLOOKUP(B9786,'REGISTRO ABONOS'!$B$8:$BC$10041,54,0)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hidden="1" x14ac:dyDescent="0.2">
      <c r="B9787" s="31">
        <v>9778</v>
      </c>
      <c r="J9787">
        <f t="shared" si="158"/>
        <v>105000</v>
      </c>
      <c r="K9787" t="e">
        <f>VLOOKUP(B9787,'REGISTRO ABONOS'!$B$8:$BC$10041,54,0)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hidden="1" x14ac:dyDescent="0.2">
      <c r="B9788" s="31">
        <v>9779</v>
      </c>
      <c r="J9788">
        <f t="shared" si="158"/>
        <v>105000</v>
      </c>
      <c r="K9788" t="e">
        <f>VLOOKUP(B9788,'REGISTRO ABONOS'!$B$8:$BC$10041,54,0)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hidden="1" x14ac:dyDescent="0.2">
      <c r="B9789" s="31">
        <v>9780</v>
      </c>
      <c r="J9789">
        <f t="shared" si="158"/>
        <v>105000</v>
      </c>
      <c r="K9789" t="e">
        <f>VLOOKUP(B9789,'REGISTRO ABONOS'!$B$8:$BC$10041,54,0)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hidden="1" x14ac:dyDescent="0.2">
      <c r="B9790" s="31">
        <v>9781</v>
      </c>
      <c r="J9790">
        <f t="shared" si="158"/>
        <v>105000</v>
      </c>
      <c r="K9790" t="e">
        <f>VLOOKUP(B9790,'REGISTRO ABONOS'!$B$8:$BC$10041,54,0)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hidden="1" x14ac:dyDescent="0.2">
      <c r="B9791" s="31">
        <v>9782</v>
      </c>
      <c r="J9791">
        <f t="shared" si="158"/>
        <v>105000</v>
      </c>
      <c r="K9791" t="e">
        <f>VLOOKUP(B9791,'REGISTRO ABONOS'!$B$8:$BC$10041,54,0)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hidden="1" x14ac:dyDescent="0.2">
      <c r="B9792" s="31">
        <v>9783</v>
      </c>
      <c r="J9792">
        <f t="shared" si="158"/>
        <v>105000</v>
      </c>
      <c r="K9792" t="e">
        <f>VLOOKUP(B9792,'REGISTRO ABONOS'!$B$8:$BC$10041,54,0)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hidden="1" x14ac:dyDescent="0.2">
      <c r="B9793" s="31">
        <v>9784</v>
      </c>
      <c r="J9793">
        <f t="shared" si="158"/>
        <v>105000</v>
      </c>
      <c r="K9793" t="e">
        <f>VLOOKUP(B9793,'REGISTRO ABONOS'!$B$8:$BC$10041,54,0)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hidden="1" x14ac:dyDescent="0.2">
      <c r="B9794" s="31">
        <v>9785</v>
      </c>
      <c r="J9794">
        <f t="shared" si="158"/>
        <v>105000</v>
      </c>
      <c r="K9794" t="e">
        <f>VLOOKUP(B9794,'REGISTRO ABONOS'!$B$8:$BC$10041,54,0)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hidden="1" x14ac:dyDescent="0.2">
      <c r="B9795" s="31">
        <v>9786</v>
      </c>
      <c r="J9795">
        <f t="shared" si="158"/>
        <v>105000</v>
      </c>
      <c r="K9795" t="e">
        <f>VLOOKUP(B9795,'REGISTRO ABONOS'!$B$8:$BC$10041,54,0)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hidden="1" x14ac:dyDescent="0.2">
      <c r="B9796" s="31">
        <v>9787</v>
      </c>
      <c r="J9796">
        <f t="shared" si="158"/>
        <v>105000</v>
      </c>
      <c r="K9796" t="e">
        <f>VLOOKUP(B9796,'REGISTRO ABONOS'!$B$8:$BC$10041,54,0)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hidden="1" x14ac:dyDescent="0.2">
      <c r="B9797" s="31">
        <v>9788</v>
      </c>
      <c r="J9797">
        <f t="shared" si="158"/>
        <v>105000</v>
      </c>
      <c r="K9797" t="e">
        <f>VLOOKUP(B9797,'REGISTRO ABONOS'!$B$8:$BC$10041,54,0)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hidden="1" x14ac:dyDescent="0.2">
      <c r="B9798" s="31">
        <v>9789</v>
      </c>
      <c r="J9798">
        <f t="shared" si="158"/>
        <v>105000</v>
      </c>
      <c r="K9798" t="e">
        <f>VLOOKUP(B9798,'REGISTRO ABONOS'!$B$8:$BC$10041,54,0)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hidden="1" x14ac:dyDescent="0.2">
      <c r="B9799" s="31">
        <v>9790</v>
      </c>
      <c r="J9799">
        <f t="shared" si="158"/>
        <v>105000</v>
      </c>
      <c r="K9799" t="e">
        <f>VLOOKUP(B9799,'REGISTRO ABONOS'!$B$8:$BC$10041,54,0)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hidden="1" x14ac:dyDescent="0.2">
      <c r="B9800" s="31">
        <v>9791</v>
      </c>
      <c r="J9800">
        <f t="shared" si="158"/>
        <v>105000</v>
      </c>
      <c r="K9800" t="e">
        <f>VLOOKUP(B9800,'REGISTRO ABONOS'!$B$8:$BC$10041,54,0)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hidden="1" x14ac:dyDescent="0.2">
      <c r="B9801" s="31">
        <v>9792</v>
      </c>
      <c r="J9801">
        <f t="shared" si="158"/>
        <v>105000</v>
      </c>
      <c r="K9801" t="e">
        <f>VLOOKUP(B9801,'REGISTRO ABONOS'!$B$8:$BC$10041,54,0)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hidden="1" x14ac:dyDescent="0.2">
      <c r="B9802" s="31">
        <v>9793</v>
      </c>
      <c r="J9802">
        <f t="shared" si="158"/>
        <v>105000</v>
      </c>
      <c r="K9802" t="e">
        <f>VLOOKUP(B9802,'REGISTRO ABONOS'!$B$8:$BC$10041,54,0)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hidden="1" x14ac:dyDescent="0.2">
      <c r="B9803" s="31">
        <v>9794</v>
      </c>
      <c r="J9803">
        <f t="shared" si="158"/>
        <v>105000</v>
      </c>
      <c r="K9803" t="e">
        <f>VLOOKUP(B9803,'REGISTRO ABONOS'!$B$8:$BC$10041,54,0)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hidden="1" x14ac:dyDescent="0.2">
      <c r="B9804" s="31">
        <v>9795</v>
      </c>
      <c r="J9804">
        <f t="shared" si="158"/>
        <v>105000</v>
      </c>
      <c r="K9804" t="e">
        <f>VLOOKUP(B9804,'REGISTRO ABONOS'!$B$8:$BC$10041,54,0)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hidden="1" x14ac:dyDescent="0.2">
      <c r="B9805" s="31">
        <v>9796</v>
      </c>
      <c r="J9805">
        <f t="shared" si="158"/>
        <v>105000</v>
      </c>
      <c r="K9805" t="e">
        <f>VLOOKUP(B9805,'REGISTRO ABONOS'!$B$8:$BC$10041,54,0)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hidden="1" x14ac:dyDescent="0.2">
      <c r="B9806" s="31">
        <v>9797</v>
      </c>
      <c r="J9806">
        <f t="shared" si="158"/>
        <v>105000</v>
      </c>
      <c r="K9806" t="e">
        <f>VLOOKUP(B9806,'REGISTRO ABONOS'!$B$8:$BC$10041,54,0)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hidden="1" x14ac:dyDescent="0.2">
      <c r="B9807" s="31">
        <v>9798</v>
      </c>
      <c r="J9807">
        <f t="shared" si="158"/>
        <v>105000</v>
      </c>
      <c r="K9807" t="e">
        <f>VLOOKUP(B9807,'REGISTRO ABONOS'!$B$8:$BC$10041,54,0)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hidden="1" x14ac:dyDescent="0.2">
      <c r="B9808" s="31">
        <v>9799</v>
      </c>
      <c r="J9808">
        <f t="shared" si="158"/>
        <v>105000</v>
      </c>
      <c r="K9808" t="e">
        <f>VLOOKUP(B9808,'REGISTRO ABONOS'!$B$8:$BC$10041,54,0)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hidden="1" x14ac:dyDescent="0.2">
      <c r="B9809" s="31">
        <v>9800</v>
      </c>
      <c r="J9809">
        <f t="shared" si="158"/>
        <v>105000</v>
      </c>
      <c r="K9809" t="e">
        <f>VLOOKUP(B9809,'REGISTRO ABONOS'!$B$8:$BC$10041,54,0)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hidden="1" x14ac:dyDescent="0.2">
      <c r="B9810" s="31">
        <v>9801</v>
      </c>
      <c r="J9810">
        <f t="shared" si="158"/>
        <v>105000</v>
      </c>
      <c r="K9810" t="e">
        <f>VLOOKUP(B9810,'REGISTRO ABONOS'!$B$8:$BC$10041,54,0)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hidden="1" x14ac:dyDescent="0.2">
      <c r="B9811" s="31">
        <v>9802</v>
      </c>
      <c r="J9811">
        <f t="shared" si="158"/>
        <v>105000</v>
      </c>
      <c r="K9811" t="e">
        <f>VLOOKUP(B9811,'REGISTRO ABONOS'!$B$8:$BC$10041,54,0)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hidden="1" x14ac:dyDescent="0.2">
      <c r="B9812" s="31">
        <v>9803</v>
      </c>
      <c r="J9812">
        <f t="shared" si="158"/>
        <v>105000</v>
      </c>
      <c r="K9812" t="e">
        <f>VLOOKUP(B9812,'REGISTRO ABONOS'!$B$8:$BC$10041,54,0)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hidden="1" x14ac:dyDescent="0.2">
      <c r="B9813" s="31">
        <v>9804</v>
      </c>
      <c r="J9813">
        <f t="shared" si="158"/>
        <v>105000</v>
      </c>
      <c r="K9813" t="e">
        <f>VLOOKUP(B9813,'REGISTRO ABONOS'!$B$8:$BC$10041,54,0)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hidden="1" x14ac:dyDescent="0.2">
      <c r="B9814" s="31">
        <v>9805</v>
      </c>
      <c r="J9814">
        <f t="shared" si="158"/>
        <v>105000</v>
      </c>
      <c r="K9814" t="e">
        <f>VLOOKUP(B9814,'REGISTRO ABONOS'!$B$8:$BC$10041,54,0)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hidden="1" x14ac:dyDescent="0.2">
      <c r="B9815" s="31">
        <v>9806</v>
      </c>
      <c r="J9815">
        <f t="shared" si="158"/>
        <v>105000</v>
      </c>
      <c r="K9815" t="e">
        <f>VLOOKUP(B9815,'REGISTRO ABONOS'!$B$8:$BC$10041,54,0)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hidden="1" x14ac:dyDescent="0.2">
      <c r="B9816" s="31">
        <v>9807</v>
      </c>
      <c r="J9816">
        <f t="shared" si="158"/>
        <v>105000</v>
      </c>
      <c r="K9816" t="e">
        <f>VLOOKUP(B9816,'REGISTRO ABONOS'!$B$8:$BC$10041,54,0)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hidden="1" x14ac:dyDescent="0.2">
      <c r="B9817" s="31">
        <v>9808</v>
      </c>
      <c r="J9817">
        <f t="shared" si="158"/>
        <v>105000</v>
      </c>
      <c r="K9817" t="e">
        <f>VLOOKUP(B9817,'REGISTRO ABONOS'!$B$8:$BC$10041,54,0)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hidden="1" x14ac:dyDescent="0.2">
      <c r="B9818" s="31">
        <v>9809</v>
      </c>
      <c r="J9818">
        <f t="shared" si="158"/>
        <v>105000</v>
      </c>
      <c r="K9818" t="e">
        <f>VLOOKUP(B9818,'REGISTRO ABONOS'!$B$8:$BC$10041,54,0)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hidden="1" x14ac:dyDescent="0.2">
      <c r="B9819" s="31">
        <v>9810</v>
      </c>
      <c r="J9819">
        <f t="shared" si="158"/>
        <v>105000</v>
      </c>
      <c r="K9819" t="e">
        <f>VLOOKUP(B9819,'REGISTRO ABONOS'!$B$8:$BC$10041,54,0)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hidden="1" x14ac:dyDescent="0.2">
      <c r="B9820" s="31">
        <v>9811</v>
      </c>
      <c r="J9820">
        <f t="shared" si="158"/>
        <v>105000</v>
      </c>
      <c r="K9820" t="e">
        <f>VLOOKUP(B9820,'REGISTRO ABONOS'!$B$8:$BC$10041,54,0)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hidden="1" x14ac:dyDescent="0.2">
      <c r="B9821" s="31">
        <v>9812</v>
      </c>
      <c r="J9821">
        <f t="shared" si="158"/>
        <v>105000</v>
      </c>
      <c r="K9821" t="e">
        <f>VLOOKUP(B9821,'REGISTRO ABONOS'!$B$8:$BC$10041,54,0)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hidden="1" x14ac:dyDescent="0.2">
      <c r="B9822" s="31">
        <v>9813</v>
      </c>
      <c r="J9822">
        <f t="shared" si="158"/>
        <v>105000</v>
      </c>
      <c r="K9822" t="e">
        <f>VLOOKUP(B9822,'REGISTRO ABONOS'!$B$8:$BC$10041,54,0)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hidden="1" x14ac:dyDescent="0.2">
      <c r="B9823" s="31">
        <v>9814</v>
      </c>
      <c r="J9823">
        <f t="shared" si="158"/>
        <v>105000</v>
      </c>
      <c r="K9823" t="e">
        <f>VLOOKUP(B9823,'REGISTRO ABONOS'!$B$8:$BC$10041,54,0)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hidden="1" x14ac:dyDescent="0.2">
      <c r="B9824" s="31">
        <v>9815</v>
      </c>
      <c r="J9824">
        <f t="shared" si="158"/>
        <v>105000</v>
      </c>
      <c r="K9824" t="e">
        <f>VLOOKUP(B9824,'REGISTRO ABONOS'!$B$8:$BC$10041,54,0)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hidden="1" x14ac:dyDescent="0.2">
      <c r="B9825" s="31">
        <v>9816</v>
      </c>
      <c r="J9825">
        <f t="shared" si="158"/>
        <v>105000</v>
      </c>
      <c r="K9825" t="e">
        <f>VLOOKUP(B9825,'REGISTRO ABONOS'!$B$8:$BC$10041,54,0)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hidden="1" x14ac:dyDescent="0.2">
      <c r="B9826" s="31">
        <v>9817</v>
      </c>
      <c r="J9826">
        <f t="shared" si="158"/>
        <v>105000</v>
      </c>
      <c r="K9826" t="e">
        <f>VLOOKUP(B9826,'REGISTRO ABONOS'!$B$8:$BC$10041,54,0)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hidden="1" x14ac:dyDescent="0.2">
      <c r="B9827" s="31">
        <v>9818</v>
      </c>
      <c r="J9827">
        <f t="shared" si="158"/>
        <v>105000</v>
      </c>
      <c r="K9827" t="e">
        <f>VLOOKUP(B9827,'REGISTRO ABONOS'!$B$8:$BC$10041,54,0)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hidden="1" x14ac:dyDescent="0.2">
      <c r="B9828" s="31">
        <v>9819</v>
      </c>
      <c r="J9828">
        <f t="shared" si="158"/>
        <v>105000</v>
      </c>
      <c r="K9828" t="e">
        <f>VLOOKUP(B9828,'REGISTRO ABONOS'!$B$8:$BC$10041,54,0)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hidden="1" x14ac:dyDescent="0.2">
      <c r="B9829" s="31">
        <v>9820</v>
      </c>
      <c r="J9829">
        <f t="shared" si="158"/>
        <v>105000</v>
      </c>
      <c r="K9829" t="e">
        <f>VLOOKUP(B9829,'REGISTRO ABONOS'!$B$8:$BC$10041,54,0)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hidden="1" x14ac:dyDescent="0.2">
      <c r="B9830" s="31">
        <v>9821</v>
      </c>
      <c r="J9830">
        <f t="shared" si="158"/>
        <v>105000</v>
      </c>
      <c r="K9830" t="e">
        <f>VLOOKUP(B9830,'REGISTRO ABONOS'!$B$8:$BC$10041,54,0)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hidden="1" x14ac:dyDescent="0.2">
      <c r="B9831" s="31">
        <v>9822</v>
      </c>
      <c r="J9831">
        <f t="shared" si="158"/>
        <v>105000</v>
      </c>
      <c r="K9831" t="e">
        <f>VLOOKUP(B9831,'REGISTRO ABONOS'!$B$8:$BC$10041,54,0)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hidden="1" x14ac:dyDescent="0.2">
      <c r="B9832" s="31">
        <v>9823</v>
      </c>
      <c r="J9832">
        <f t="shared" si="158"/>
        <v>105000</v>
      </c>
      <c r="K9832" t="e">
        <f>VLOOKUP(B9832,'REGISTRO ABONOS'!$B$8:$BC$10041,54,0)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hidden="1" x14ac:dyDescent="0.2">
      <c r="B9833" s="31">
        <v>9824</v>
      </c>
      <c r="J9833">
        <f t="shared" si="158"/>
        <v>105000</v>
      </c>
      <c r="K9833" t="e">
        <f>VLOOKUP(B9833,'REGISTRO ABONOS'!$B$8:$BC$10041,54,0)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hidden="1" x14ac:dyDescent="0.2">
      <c r="B9834" s="31">
        <v>9825</v>
      </c>
      <c r="J9834">
        <f t="shared" ref="J9834:J9897" si="159">IF(C9834&gt;43607,130000,105000)</f>
        <v>105000</v>
      </c>
      <c r="K9834" t="e">
        <f>VLOOKUP(B9834,'REGISTRO ABONOS'!$B$8:$BC$10041,54,0)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9"/>
        <v>105000</v>
      </c>
      <c r="K9835" t="e">
        <f>VLOOKUP(B9835,'REGISTRO ABONOS'!$B$8:$BC$10041,54,0)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hidden="1" x14ac:dyDescent="0.2">
      <c r="B9836" s="31">
        <v>9827</v>
      </c>
      <c r="J9836">
        <f t="shared" si="159"/>
        <v>105000</v>
      </c>
      <c r="K9836" t="e">
        <f>VLOOKUP(B9836,'REGISTRO ABONOS'!$B$8:$BC$10041,54,0)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hidden="1" x14ac:dyDescent="0.2">
      <c r="B9837" s="31">
        <v>9828</v>
      </c>
      <c r="J9837">
        <f t="shared" si="159"/>
        <v>105000</v>
      </c>
      <c r="K9837" t="e">
        <f>VLOOKUP(B9837,'REGISTRO ABONOS'!$B$8:$BC$10041,54,0)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hidden="1" x14ac:dyDescent="0.2">
      <c r="B9838" s="31">
        <v>9829</v>
      </c>
      <c r="J9838">
        <f t="shared" si="159"/>
        <v>105000</v>
      </c>
      <c r="K9838" t="e">
        <f>VLOOKUP(B9838,'REGISTRO ABONOS'!$B$8:$BC$10041,54,0)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hidden="1" x14ac:dyDescent="0.2">
      <c r="B9839" s="31">
        <v>9830</v>
      </c>
      <c r="J9839">
        <f t="shared" si="159"/>
        <v>105000</v>
      </c>
      <c r="K9839" t="e">
        <f>VLOOKUP(B9839,'REGISTRO ABONOS'!$B$8:$BC$10041,54,0)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hidden="1" x14ac:dyDescent="0.2">
      <c r="B9840" s="31">
        <v>9831</v>
      </c>
      <c r="J9840">
        <f t="shared" si="159"/>
        <v>105000</v>
      </c>
      <c r="K9840" t="e">
        <f>VLOOKUP(B9840,'REGISTRO ABONOS'!$B$8:$BC$10041,54,0)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hidden="1" x14ac:dyDescent="0.2">
      <c r="B9841" s="31">
        <v>9832</v>
      </c>
      <c r="J9841">
        <f t="shared" si="159"/>
        <v>105000</v>
      </c>
      <c r="K9841" t="e">
        <f>VLOOKUP(B9841,'REGISTRO ABONOS'!$B$8:$BC$10041,54,0)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hidden="1" x14ac:dyDescent="0.2">
      <c r="B9842" s="31">
        <v>9833</v>
      </c>
      <c r="J9842">
        <f t="shared" si="159"/>
        <v>105000</v>
      </c>
      <c r="K9842" t="e">
        <f>VLOOKUP(B9842,'REGISTRO ABONOS'!$B$8:$BC$10041,54,0)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hidden="1" x14ac:dyDescent="0.2">
      <c r="B9843" s="31">
        <v>9834</v>
      </c>
      <c r="J9843">
        <f t="shared" si="159"/>
        <v>105000</v>
      </c>
      <c r="K9843" t="e">
        <f>VLOOKUP(B9843,'REGISTRO ABONOS'!$B$8:$BC$10041,54,0)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hidden="1" x14ac:dyDescent="0.2">
      <c r="B9844" s="31">
        <v>9835</v>
      </c>
      <c r="J9844">
        <f t="shared" si="159"/>
        <v>105000</v>
      </c>
      <c r="K9844" t="e">
        <f>VLOOKUP(B9844,'REGISTRO ABONOS'!$B$8:$BC$10041,54,0)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hidden="1" x14ac:dyDescent="0.2">
      <c r="B9845" s="31">
        <v>9836</v>
      </c>
      <c r="J9845">
        <f t="shared" si="159"/>
        <v>105000</v>
      </c>
      <c r="K9845" t="e">
        <f>VLOOKUP(B9845,'REGISTRO ABONOS'!$B$8:$BC$10041,54,0)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hidden="1" x14ac:dyDescent="0.2">
      <c r="B9846" s="31">
        <v>9837</v>
      </c>
      <c r="J9846">
        <f t="shared" si="159"/>
        <v>105000</v>
      </c>
      <c r="K9846" t="e">
        <f>VLOOKUP(B9846,'REGISTRO ABONOS'!$B$8:$BC$10041,54,0)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hidden="1" x14ac:dyDescent="0.2">
      <c r="B9847" s="31">
        <v>9838</v>
      </c>
      <c r="J9847">
        <f t="shared" si="159"/>
        <v>105000</v>
      </c>
      <c r="K9847" t="e">
        <f>VLOOKUP(B9847,'REGISTRO ABONOS'!$B$8:$BC$10041,54,0)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hidden="1" x14ac:dyDescent="0.2">
      <c r="B9848" s="31">
        <v>9839</v>
      </c>
      <c r="J9848">
        <f t="shared" si="159"/>
        <v>105000</v>
      </c>
      <c r="K9848" t="e">
        <f>VLOOKUP(B9848,'REGISTRO ABONOS'!$B$8:$BC$10041,54,0)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hidden="1" x14ac:dyDescent="0.2">
      <c r="B9849" s="31">
        <v>9840</v>
      </c>
      <c r="J9849">
        <f t="shared" si="159"/>
        <v>105000</v>
      </c>
      <c r="K9849" t="e">
        <f>VLOOKUP(B9849,'REGISTRO ABONOS'!$B$8:$BC$10041,54,0)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hidden="1" x14ac:dyDescent="0.2">
      <c r="B9850" s="31">
        <v>9841</v>
      </c>
      <c r="J9850">
        <f t="shared" si="159"/>
        <v>105000</v>
      </c>
      <c r="K9850" t="e">
        <f>VLOOKUP(B9850,'REGISTRO ABONOS'!$B$8:$BC$10041,54,0)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hidden="1" x14ac:dyDescent="0.2">
      <c r="B9851" s="31">
        <v>9842</v>
      </c>
      <c r="J9851">
        <f t="shared" si="159"/>
        <v>105000</v>
      </c>
      <c r="K9851" t="e">
        <f>VLOOKUP(B9851,'REGISTRO ABONOS'!$B$8:$BC$10041,54,0)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hidden="1" x14ac:dyDescent="0.2">
      <c r="B9852" s="31">
        <v>9843</v>
      </c>
      <c r="J9852">
        <f t="shared" si="159"/>
        <v>105000</v>
      </c>
      <c r="K9852" t="e">
        <f>VLOOKUP(B9852,'REGISTRO ABONOS'!$B$8:$BC$10041,54,0)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hidden="1" x14ac:dyDescent="0.2">
      <c r="B9853" s="31">
        <v>9844</v>
      </c>
      <c r="J9853">
        <f t="shared" si="159"/>
        <v>105000</v>
      </c>
      <c r="K9853" t="e">
        <f>VLOOKUP(B9853,'REGISTRO ABONOS'!$B$8:$BC$10041,54,0)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hidden="1" x14ac:dyDescent="0.2">
      <c r="B9854" s="31">
        <v>9845</v>
      </c>
      <c r="J9854">
        <f t="shared" si="159"/>
        <v>105000</v>
      </c>
      <c r="K9854" t="e">
        <f>VLOOKUP(B9854,'REGISTRO ABONOS'!$B$8:$BC$10041,54,0)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hidden="1" x14ac:dyDescent="0.2">
      <c r="B9855" s="31">
        <v>9846</v>
      </c>
      <c r="J9855">
        <f t="shared" si="159"/>
        <v>105000</v>
      </c>
      <c r="K9855" t="e">
        <f>VLOOKUP(B9855,'REGISTRO ABONOS'!$B$8:$BC$10041,54,0)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hidden="1" x14ac:dyDescent="0.2">
      <c r="B9856" s="31">
        <v>9847</v>
      </c>
      <c r="J9856">
        <f t="shared" si="159"/>
        <v>105000</v>
      </c>
      <c r="K9856" t="e">
        <f>VLOOKUP(B9856,'REGISTRO ABONOS'!$B$8:$BC$10041,54,0)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hidden="1" x14ac:dyDescent="0.2">
      <c r="B9857" s="31">
        <v>9848</v>
      </c>
      <c r="J9857">
        <f t="shared" si="159"/>
        <v>105000</v>
      </c>
      <c r="K9857" t="e">
        <f>VLOOKUP(B9857,'REGISTRO ABONOS'!$B$8:$BC$10041,54,0)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hidden="1" x14ac:dyDescent="0.2">
      <c r="B9858" s="31">
        <v>9849</v>
      </c>
      <c r="J9858">
        <f t="shared" si="159"/>
        <v>105000</v>
      </c>
      <c r="K9858" t="e">
        <f>VLOOKUP(B9858,'REGISTRO ABONOS'!$B$8:$BC$10041,54,0)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hidden="1" x14ac:dyDescent="0.2">
      <c r="B9859" s="31">
        <v>9850</v>
      </c>
      <c r="J9859">
        <f t="shared" si="159"/>
        <v>105000</v>
      </c>
      <c r="K9859" t="e">
        <f>VLOOKUP(B9859,'REGISTRO ABONOS'!$B$8:$BC$10041,54,0)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hidden="1" x14ac:dyDescent="0.2">
      <c r="B9860" s="31">
        <v>9851</v>
      </c>
      <c r="J9860">
        <f t="shared" si="159"/>
        <v>105000</v>
      </c>
      <c r="K9860" t="e">
        <f>VLOOKUP(B9860,'REGISTRO ABONOS'!$B$8:$BC$10041,54,0)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hidden="1" x14ac:dyDescent="0.2">
      <c r="B9861" s="31">
        <v>9852</v>
      </c>
      <c r="J9861">
        <f t="shared" si="159"/>
        <v>105000</v>
      </c>
      <c r="K9861" t="e">
        <f>VLOOKUP(B9861,'REGISTRO ABONOS'!$B$8:$BC$10041,54,0)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hidden="1" x14ac:dyDescent="0.2">
      <c r="B9862" s="31">
        <v>9853</v>
      </c>
      <c r="J9862">
        <f t="shared" si="159"/>
        <v>105000</v>
      </c>
      <c r="K9862" t="e">
        <f>VLOOKUP(B9862,'REGISTRO ABONOS'!$B$8:$BC$10041,54,0)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hidden="1" x14ac:dyDescent="0.2">
      <c r="B9863" s="31">
        <v>9854</v>
      </c>
      <c r="J9863">
        <f t="shared" si="159"/>
        <v>105000</v>
      </c>
      <c r="K9863" t="e">
        <f>VLOOKUP(B9863,'REGISTRO ABONOS'!$B$8:$BC$10041,54,0)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hidden="1" x14ac:dyDescent="0.2">
      <c r="B9864" s="31">
        <v>9855</v>
      </c>
      <c r="J9864">
        <f t="shared" si="159"/>
        <v>105000</v>
      </c>
      <c r="K9864" t="e">
        <f>VLOOKUP(B9864,'REGISTRO ABONOS'!$B$8:$BC$10041,54,0)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hidden="1" x14ac:dyDescent="0.2">
      <c r="B9865" s="31">
        <v>9856</v>
      </c>
      <c r="J9865">
        <f t="shared" si="159"/>
        <v>105000</v>
      </c>
      <c r="K9865" t="e">
        <f>VLOOKUP(B9865,'REGISTRO ABONOS'!$B$8:$BC$10041,54,0)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hidden="1" x14ac:dyDescent="0.2">
      <c r="B9866" s="31">
        <v>9857</v>
      </c>
      <c r="J9866">
        <f t="shared" si="159"/>
        <v>105000</v>
      </c>
      <c r="K9866" t="e">
        <f>VLOOKUP(B9866,'REGISTRO ABONOS'!$B$8:$BC$10041,54,0)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hidden="1" x14ac:dyDescent="0.2">
      <c r="B9867" s="31">
        <v>9858</v>
      </c>
      <c r="J9867">
        <f t="shared" si="159"/>
        <v>105000</v>
      </c>
      <c r="K9867" t="e">
        <f>VLOOKUP(B9867,'REGISTRO ABONOS'!$B$8:$BC$10041,54,0)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hidden="1" x14ac:dyDescent="0.2">
      <c r="B9868" s="31">
        <v>9859</v>
      </c>
      <c r="J9868">
        <f t="shared" si="159"/>
        <v>105000</v>
      </c>
      <c r="K9868" t="e">
        <f>VLOOKUP(B9868,'REGISTRO ABONOS'!$B$8:$BC$10041,54,0)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hidden="1" x14ac:dyDescent="0.2">
      <c r="B9869" s="31">
        <v>9860</v>
      </c>
      <c r="J9869">
        <f t="shared" si="159"/>
        <v>105000</v>
      </c>
      <c r="K9869" t="e">
        <f>VLOOKUP(B9869,'REGISTRO ABONOS'!$B$8:$BC$10041,54,0)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hidden="1" x14ac:dyDescent="0.2">
      <c r="B9870" s="31">
        <v>9861</v>
      </c>
      <c r="J9870">
        <f t="shared" si="159"/>
        <v>105000</v>
      </c>
      <c r="K9870" t="e">
        <f>VLOOKUP(B9870,'REGISTRO ABONOS'!$B$8:$BC$10041,54,0)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hidden="1" x14ac:dyDescent="0.2">
      <c r="B9871" s="31">
        <v>9862</v>
      </c>
      <c r="J9871">
        <f t="shared" si="159"/>
        <v>105000</v>
      </c>
      <c r="K9871" t="e">
        <f>VLOOKUP(B9871,'REGISTRO ABONOS'!$B$8:$BC$10041,54,0)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hidden="1" x14ac:dyDescent="0.2">
      <c r="B9872" s="31">
        <v>9863</v>
      </c>
      <c r="J9872">
        <f t="shared" si="159"/>
        <v>105000</v>
      </c>
      <c r="K9872" t="e">
        <f>VLOOKUP(B9872,'REGISTRO ABONOS'!$B$8:$BC$10041,54,0)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hidden="1" x14ac:dyDescent="0.2">
      <c r="B9873" s="31">
        <v>9864</v>
      </c>
      <c r="J9873">
        <f t="shared" si="159"/>
        <v>105000</v>
      </c>
      <c r="K9873" t="e">
        <f>VLOOKUP(B9873,'REGISTRO ABONOS'!$B$8:$BC$10041,54,0)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hidden="1" x14ac:dyDescent="0.2">
      <c r="B9874" s="31">
        <v>9865</v>
      </c>
      <c r="J9874">
        <f t="shared" si="159"/>
        <v>105000</v>
      </c>
      <c r="K9874" t="e">
        <f>VLOOKUP(B9874,'REGISTRO ABONOS'!$B$8:$BC$10041,54,0)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hidden="1" x14ac:dyDescent="0.2">
      <c r="B9875" s="31">
        <v>9866</v>
      </c>
      <c r="J9875">
        <f t="shared" si="159"/>
        <v>105000</v>
      </c>
      <c r="K9875" t="e">
        <f>VLOOKUP(B9875,'REGISTRO ABONOS'!$B$8:$BC$10041,54,0)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hidden="1" x14ac:dyDescent="0.2">
      <c r="B9876" s="31">
        <v>9867</v>
      </c>
      <c r="J9876">
        <f t="shared" si="159"/>
        <v>105000</v>
      </c>
      <c r="K9876" t="e">
        <f>VLOOKUP(B9876,'REGISTRO ABONOS'!$B$8:$BC$10041,54,0)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hidden="1" x14ac:dyDescent="0.2">
      <c r="B9877" s="31">
        <v>9868</v>
      </c>
      <c r="J9877">
        <f t="shared" si="159"/>
        <v>105000</v>
      </c>
      <c r="K9877" t="e">
        <f>VLOOKUP(B9877,'REGISTRO ABONOS'!$B$8:$BC$10041,54,0)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hidden="1" x14ac:dyDescent="0.2">
      <c r="B9878" s="31">
        <v>9869</v>
      </c>
      <c r="C9878" s="10">
        <v>43565</v>
      </c>
      <c r="D9878" t="s">
        <v>500</v>
      </c>
      <c r="H9878" t="s">
        <v>500</v>
      </c>
      <c r="I9878" t="s">
        <v>200</v>
      </c>
      <c r="J9878">
        <f t="shared" si="159"/>
        <v>105000</v>
      </c>
      <c r="K9878">
        <f>VLOOKUP(B9878,'REGISTRO ABONOS'!$B$8:$BC$10041,54,0)</f>
        <v>55000</v>
      </c>
      <c r="L9878" t="str">
        <f>IF(Tabla26[[#This Row],[VALOR RESTANTE]]&lt;Tabla26[[#This Row],[VALOR]],"NO DISPONIBLE","DISPONIBLE")</f>
        <v>NO DISPONIBLE</v>
      </c>
      <c r="M9878" s="9">
        <f>COUNTIF(Tabla26[[#This Row],[VALOR RESTANTE]],0)</f>
        <v>0</v>
      </c>
    </row>
    <row r="9879" spans="2:13" hidden="1" x14ac:dyDescent="0.2">
      <c r="B9879" s="31">
        <v>9870</v>
      </c>
      <c r="J9879">
        <f t="shared" si="159"/>
        <v>105000</v>
      </c>
      <c r="K9879" t="e">
        <f>VLOOKUP(B9879,'REGISTRO ABONOS'!$B$8:$BC$10041,54,0)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hidden="1" x14ac:dyDescent="0.2">
      <c r="B9880" s="31">
        <v>9871</v>
      </c>
      <c r="J9880">
        <f t="shared" si="159"/>
        <v>105000</v>
      </c>
      <c r="K9880" t="e">
        <f>VLOOKUP(B9880,'REGISTRO ABONOS'!$B$8:$BC$10041,54,0)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hidden="1" x14ac:dyDescent="0.2">
      <c r="B9881" s="31">
        <v>9872</v>
      </c>
      <c r="J9881">
        <f t="shared" si="159"/>
        <v>105000</v>
      </c>
      <c r="K9881" t="e">
        <f>VLOOKUP(B9881,'REGISTRO ABONOS'!$B$8:$BC$10041,54,0)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hidden="1" x14ac:dyDescent="0.2">
      <c r="B9882" s="31">
        <v>9873</v>
      </c>
      <c r="J9882">
        <f t="shared" si="159"/>
        <v>105000</v>
      </c>
      <c r="K9882" t="e">
        <f>VLOOKUP(B9882,'REGISTRO ABONOS'!$B$8:$BC$10041,54,0)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hidden="1" x14ac:dyDescent="0.2">
      <c r="B9883" s="31">
        <v>9874</v>
      </c>
      <c r="J9883">
        <f t="shared" si="159"/>
        <v>105000</v>
      </c>
      <c r="K9883" t="e">
        <f>VLOOKUP(B9883,'REGISTRO ABONOS'!$B$8:$BC$10041,54,0)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hidden="1" x14ac:dyDescent="0.2">
      <c r="B9884" s="31">
        <v>9875</v>
      </c>
      <c r="J9884">
        <f t="shared" si="159"/>
        <v>105000</v>
      </c>
      <c r="K9884" t="e">
        <f>VLOOKUP(B9884,'REGISTRO ABONOS'!$B$8:$BC$10041,54,0)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hidden="1" x14ac:dyDescent="0.2">
      <c r="B9885" s="31">
        <v>9876</v>
      </c>
      <c r="J9885">
        <f t="shared" si="159"/>
        <v>105000</v>
      </c>
      <c r="K9885" t="e">
        <f>VLOOKUP(B9885,'REGISTRO ABONOS'!$B$8:$BC$10041,54,0)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hidden="1" x14ac:dyDescent="0.2">
      <c r="B9886" s="31">
        <v>9877</v>
      </c>
      <c r="J9886">
        <f t="shared" si="159"/>
        <v>105000</v>
      </c>
      <c r="K9886" t="e">
        <f>VLOOKUP(B9886,'REGISTRO ABONOS'!$B$8:$BC$10041,54,0)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hidden="1" x14ac:dyDescent="0.2">
      <c r="B9887" s="31">
        <v>9878</v>
      </c>
      <c r="J9887">
        <f t="shared" si="159"/>
        <v>105000</v>
      </c>
      <c r="K9887" t="e">
        <f>VLOOKUP(B9887,'REGISTRO ABONOS'!$B$8:$BC$10041,54,0)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hidden="1" x14ac:dyDescent="0.2">
      <c r="B9888" s="31">
        <v>9879</v>
      </c>
      <c r="J9888">
        <f t="shared" si="159"/>
        <v>105000</v>
      </c>
      <c r="K9888" t="e">
        <f>VLOOKUP(B9888,'REGISTRO ABONOS'!$B$8:$BC$10041,54,0)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hidden="1" x14ac:dyDescent="0.2">
      <c r="B9889" s="31">
        <v>9880</v>
      </c>
      <c r="J9889">
        <f t="shared" si="159"/>
        <v>105000</v>
      </c>
      <c r="K9889" t="e">
        <f>VLOOKUP(B9889,'REGISTRO ABONOS'!$B$8:$BC$10041,54,0)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hidden="1" x14ac:dyDescent="0.2">
      <c r="B9890" s="31">
        <v>9881</v>
      </c>
      <c r="J9890">
        <f t="shared" si="159"/>
        <v>105000</v>
      </c>
      <c r="K9890" t="e">
        <f>VLOOKUP(B9890,'REGISTRO ABONOS'!$B$8:$BC$10041,54,0)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hidden="1" x14ac:dyDescent="0.2">
      <c r="B9891" s="31">
        <v>9882</v>
      </c>
      <c r="J9891">
        <f t="shared" si="159"/>
        <v>105000</v>
      </c>
      <c r="K9891" t="e">
        <f>VLOOKUP(B9891,'REGISTRO ABONOS'!$B$8:$BC$10041,54,0)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hidden="1" x14ac:dyDescent="0.2">
      <c r="B9892" s="31">
        <v>9883</v>
      </c>
      <c r="J9892">
        <f t="shared" si="159"/>
        <v>105000</v>
      </c>
      <c r="K9892" t="e">
        <f>VLOOKUP(B9892,'REGISTRO ABONOS'!$B$8:$BC$10041,54,0)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hidden="1" x14ac:dyDescent="0.2">
      <c r="B9893" s="31">
        <v>9884</v>
      </c>
      <c r="J9893">
        <f t="shared" si="159"/>
        <v>105000</v>
      </c>
      <c r="K9893" t="e">
        <f>VLOOKUP(B9893,'REGISTRO ABONOS'!$B$8:$BC$10041,54,0)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hidden="1" x14ac:dyDescent="0.2">
      <c r="B9894" s="31">
        <v>9885</v>
      </c>
      <c r="J9894">
        <f t="shared" si="159"/>
        <v>105000</v>
      </c>
      <c r="K9894" t="e">
        <f>VLOOKUP(B9894,'REGISTRO ABONOS'!$B$8:$BC$10041,54,0)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hidden="1" x14ac:dyDescent="0.2">
      <c r="B9895" s="31">
        <v>9886</v>
      </c>
      <c r="J9895">
        <f t="shared" si="159"/>
        <v>105000</v>
      </c>
      <c r="K9895" t="e">
        <f>VLOOKUP(B9895,'REGISTRO ABONOS'!$B$8:$BC$10041,54,0)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hidden="1" x14ac:dyDescent="0.2">
      <c r="B9896" s="31">
        <v>9887</v>
      </c>
      <c r="J9896">
        <f t="shared" si="159"/>
        <v>105000</v>
      </c>
      <c r="K9896" t="e">
        <f>VLOOKUP(B9896,'REGISTRO ABONOS'!$B$8:$BC$10041,54,0)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hidden="1" x14ac:dyDescent="0.2">
      <c r="B9897" s="31">
        <v>9888</v>
      </c>
      <c r="J9897">
        <f t="shared" si="159"/>
        <v>105000</v>
      </c>
      <c r="K9897" t="e">
        <f>VLOOKUP(B9897,'REGISTRO ABONOS'!$B$8:$BC$10041,54,0)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hidden="1" x14ac:dyDescent="0.2">
      <c r="B9898" s="31">
        <v>9889</v>
      </c>
      <c r="J9898">
        <f t="shared" ref="J9898:J9961" si="160">IF(C9898&gt;43607,130000,105000)</f>
        <v>105000</v>
      </c>
      <c r="K9898" t="e">
        <f>VLOOKUP(B9898,'REGISTRO ABONOS'!$B$8:$BC$10041,54,0)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hidden="1" x14ac:dyDescent="0.2">
      <c r="B9899" s="31">
        <v>9890</v>
      </c>
      <c r="J9899">
        <f t="shared" si="160"/>
        <v>105000</v>
      </c>
      <c r="K9899" t="e">
        <f>VLOOKUP(B9899,'REGISTRO ABONOS'!$B$8:$BC$10041,54,0)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hidden="1" x14ac:dyDescent="0.2">
      <c r="B9900" s="31">
        <v>9891</v>
      </c>
      <c r="J9900">
        <f t="shared" si="160"/>
        <v>105000</v>
      </c>
      <c r="K9900" t="e">
        <f>VLOOKUP(B9900,'REGISTRO ABONOS'!$B$8:$BC$10041,54,0)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hidden="1" x14ac:dyDescent="0.2">
      <c r="B9901" s="31">
        <v>9892</v>
      </c>
      <c r="J9901">
        <f t="shared" si="160"/>
        <v>105000</v>
      </c>
      <c r="K9901" t="e">
        <f>VLOOKUP(B9901,'REGISTRO ABONOS'!$B$8:$BC$10041,54,0)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hidden="1" x14ac:dyDescent="0.2">
      <c r="B9902" s="31">
        <v>9893</v>
      </c>
      <c r="J9902">
        <f t="shared" si="160"/>
        <v>105000</v>
      </c>
      <c r="K9902" t="e">
        <f>VLOOKUP(B9902,'REGISTRO ABONOS'!$B$8:$BC$10041,54,0)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hidden="1" x14ac:dyDescent="0.2">
      <c r="B9903" s="31">
        <v>9894</v>
      </c>
      <c r="J9903">
        <f t="shared" si="160"/>
        <v>105000</v>
      </c>
      <c r="K9903" t="e">
        <f>VLOOKUP(B9903,'REGISTRO ABONOS'!$B$8:$BC$10041,54,0)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hidden="1" x14ac:dyDescent="0.2">
      <c r="B9904" s="31">
        <v>9895</v>
      </c>
      <c r="J9904">
        <f t="shared" si="160"/>
        <v>105000</v>
      </c>
      <c r="K9904" t="e">
        <f>VLOOKUP(B9904,'REGISTRO ABONOS'!$B$8:$BC$10041,54,0)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hidden="1" x14ac:dyDescent="0.2">
      <c r="B9905" s="31">
        <v>9896</v>
      </c>
      <c r="J9905">
        <f t="shared" si="160"/>
        <v>105000</v>
      </c>
      <c r="K9905" t="e">
        <f>VLOOKUP(B9905,'REGISTRO ABONOS'!$B$8:$BC$10041,54,0)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hidden="1" x14ac:dyDescent="0.2">
      <c r="B9906" s="31">
        <v>9897</v>
      </c>
      <c r="J9906">
        <f t="shared" si="160"/>
        <v>105000</v>
      </c>
      <c r="K9906" t="e">
        <f>VLOOKUP(B9906,'REGISTRO ABONOS'!$B$8:$BC$10041,54,0)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hidden="1" x14ac:dyDescent="0.2">
      <c r="B9907" s="31">
        <v>9898</v>
      </c>
      <c r="J9907">
        <f t="shared" si="160"/>
        <v>105000</v>
      </c>
      <c r="K9907" t="e">
        <f>VLOOKUP(B9907,'REGISTRO ABONOS'!$B$8:$BC$10041,54,0)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hidden="1" x14ac:dyDescent="0.2">
      <c r="B9908" s="31">
        <v>9899</v>
      </c>
      <c r="J9908">
        <f t="shared" si="160"/>
        <v>105000</v>
      </c>
      <c r="K9908" t="e">
        <f>VLOOKUP(B9908,'REGISTRO ABONOS'!$B$8:$BC$10041,54,0)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hidden="1" x14ac:dyDescent="0.2">
      <c r="B9909" s="31">
        <v>9900</v>
      </c>
      <c r="J9909">
        <f t="shared" si="160"/>
        <v>105000</v>
      </c>
      <c r="K9909" t="e">
        <f>VLOOKUP(B9909,'REGISTRO ABONOS'!$B$8:$BC$10041,54,0)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hidden="1" x14ac:dyDescent="0.2">
      <c r="B9910" s="31">
        <v>9901</v>
      </c>
      <c r="J9910">
        <f t="shared" si="160"/>
        <v>105000</v>
      </c>
      <c r="K9910" t="e">
        <f>VLOOKUP(B9910,'REGISTRO ABONOS'!$B$8:$BC$10041,54,0)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hidden="1" x14ac:dyDescent="0.2">
      <c r="B9911" s="31">
        <v>9902</v>
      </c>
      <c r="J9911">
        <f t="shared" si="160"/>
        <v>105000</v>
      </c>
      <c r="K9911" t="e">
        <f>VLOOKUP(B9911,'REGISTRO ABONOS'!$B$8:$BC$10041,54,0)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hidden="1" x14ac:dyDescent="0.2">
      <c r="B9912" s="31">
        <v>9903</v>
      </c>
      <c r="J9912">
        <f t="shared" si="160"/>
        <v>105000</v>
      </c>
      <c r="K9912" t="e">
        <f>VLOOKUP(B9912,'REGISTRO ABONOS'!$B$8:$BC$10041,54,0)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hidden="1" x14ac:dyDescent="0.2">
      <c r="B9913" s="31">
        <v>9904</v>
      </c>
      <c r="J9913">
        <f t="shared" si="160"/>
        <v>105000</v>
      </c>
      <c r="K9913" t="e">
        <f>VLOOKUP(B9913,'REGISTRO ABONOS'!$B$8:$BC$10041,54,0)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hidden="1" x14ac:dyDescent="0.2">
      <c r="B9914" s="31">
        <v>9905</v>
      </c>
      <c r="J9914">
        <f t="shared" si="160"/>
        <v>105000</v>
      </c>
      <c r="K9914" t="e">
        <f>VLOOKUP(B9914,'REGISTRO ABONOS'!$B$8:$BC$10041,54,0)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hidden="1" x14ac:dyDescent="0.2">
      <c r="B9915" s="31">
        <v>9906</v>
      </c>
      <c r="J9915">
        <f t="shared" si="160"/>
        <v>105000</v>
      </c>
      <c r="K9915" t="e">
        <f>VLOOKUP(B9915,'REGISTRO ABONOS'!$B$8:$BC$10041,54,0)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hidden="1" x14ac:dyDescent="0.2">
      <c r="B9916" s="31">
        <v>9907</v>
      </c>
      <c r="J9916">
        <f t="shared" si="160"/>
        <v>105000</v>
      </c>
      <c r="K9916" t="e">
        <f>VLOOKUP(B9916,'REGISTRO ABONOS'!$B$8:$BC$10041,54,0)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hidden="1" x14ac:dyDescent="0.2">
      <c r="B9917" s="31">
        <v>9908</v>
      </c>
      <c r="J9917">
        <f t="shared" si="160"/>
        <v>105000</v>
      </c>
      <c r="K9917" t="e">
        <f>VLOOKUP(B9917,'REGISTRO ABONOS'!$B$8:$BC$10041,54,0)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hidden="1" x14ac:dyDescent="0.2">
      <c r="B9918" s="31">
        <v>9909</v>
      </c>
      <c r="J9918">
        <f t="shared" si="160"/>
        <v>105000</v>
      </c>
      <c r="K9918" t="e">
        <f>VLOOKUP(B9918,'REGISTRO ABONOS'!$B$8:$BC$10041,54,0)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hidden="1" x14ac:dyDescent="0.2">
      <c r="B9919" s="31">
        <v>9910</v>
      </c>
      <c r="J9919">
        <f t="shared" si="160"/>
        <v>105000</v>
      </c>
      <c r="K9919" t="e">
        <f>VLOOKUP(B9919,'REGISTRO ABONOS'!$B$8:$BC$10041,54,0)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hidden="1" x14ac:dyDescent="0.2">
      <c r="B9920" s="31">
        <v>9911</v>
      </c>
      <c r="J9920">
        <f t="shared" si="160"/>
        <v>105000</v>
      </c>
      <c r="K9920" t="e">
        <f>VLOOKUP(B9920,'REGISTRO ABONOS'!$B$8:$BC$10041,54,0)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hidden="1" x14ac:dyDescent="0.2">
      <c r="B9921" s="31">
        <v>9912</v>
      </c>
      <c r="J9921">
        <f t="shared" si="160"/>
        <v>105000</v>
      </c>
      <c r="K9921" t="e">
        <f>VLOOKUP(B9921,'REGISTRO ABONOS'!$B$8:$BC$10041,54,0)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hidden="1" x14ac:dyDescent="0.2">
      <c r="B9922" s="31">
        <v>9913</v>
      </c>
      <c r="J9922">
        <f t="shared" si="160"/>
        <v>105000</v>
      </c>
      <c r="K9922" t="e">
        <f>VLOOKUP(B9922,'REGISTRO ABONOS'!$B$8:$BC$10041,54,0)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hidden="1" x14ac:dyDescent="0.2">
      <c r="B9923" s="31">
        <v>9914</v>
      </c>
      <c r="J9923">
        <f t="shared" si="160"/>
        <v>105000</v>
      </c>
      <c r="K9923" t="e">
        <f>VLOOKUP(B9923,'REGISTRO ABONOS'!$B$8:$BC$10041,54,0)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hidden="1" x14ac:dyDescent="0.2">
      <c r="B9924" s="31">
        <v>9915</v>
      </c>
      <c r="J9924">
        <f t="shared" si="160"/>
        <v>105000</v>
      </c>
      <c r="K9924" t="e">
        <f>VLOOKUP(B9924,'REGISTRO ABONOS'!$B$8:$BC$10041,54,0)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hidden="1" x14ac:dyDescent="0.2">
      <c r="B9925" s="31">
        <v>9916</v>
      </c>
      <c r="J9925">
        <f t="shared" si="160"/>
        <v>105000</v>
      </c>
      <c r="K9925" t="e">
        <f>VLOOKUP(B9925,'REGISTRO ABONOS'!$B$8:$BC$10041,54,0)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hidden="1" x14ac:dyDescent="0.2">
      <c r="B9926" s="31">
        <v>9917</v>
      </c>
      <c r="J9926">
        <f t="shared" si="160"/>
        <v>105000</v>
      </c>
      <c r="K9926" t="e">
        <f>VLOOKUP(B9926,'REGISTRO ABONOS'!$B$8:$BC$10041,54,0)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hidden="1" x14ac:dyDescent="0.2">
      <c r="B9927" s="31">
        <v>9918</v>
      </c>
      <c r="J9927">
        <f t="shared" si="160"/>
        <v>105000</v>
      </c>
      <c r="K9927" t="e">
        <f>VLOOKUP(B9927,'REGISTRO ABONOS'!$B$8:$BC$10041,54,0)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hidden="1" x14ac:dyDescent="0.2">
      <c r="B9928" s="31">
        <v>9919</v>
      </c>
      <c r="J9928">
        <f t="shared" si="160"/>
        <v>105000</v>
      </c>
      <c r="K9928" t="e">
        <f>VLOOKUP(B9928,'REGISTRO ABONOS'!$B$8:$BC$10041,54,0)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hidden="1" x14ac:dyDescent="0.2">
      <c r="B9929" s="31">
        <v>9920</v>
      </c>
      <c r="J9929">
        <f t="shared" si="160"/>
        <v>105000</v>
      </c>
      <c r="K9929" t="e">
        <f>VLOOKUP(B9929,'REGISTRO ABONOS'!$B$8:$BC$10041,54,0)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hidden="1" x14ac:dyDescent="0.2">
      <c r="B9930" s="31">
        <v>9921</v>
      </c>
      <c r="J9930">
        <f t="shared" si="160"/>
        <v>105000</v>
      </c>
      <c r="K9930" t="e">
        <f>VLOOKUP(B9930,'REGISTRO ABONOS'!$B$8:$BC$10041,54,0)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hidden="1" x14ac:dyDescent="0.2">
      <c r="B9931" s="31">
        <v>9922</v>
      </c>
      <c r="J9931">
        <f t="shared" si="160"/>
        <v>105000</v>
      </c>
      <c r="K9931" t="e">
        <f>VLOOKUP(B9931,'REGISTRO ABONOS'!$B$8:$BC$10041,54,0)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hidden="1" x14ac:dyDescent="0.2">
      <c r="B9932" s="31">
        <v>9923</v>
      </c>
      <c r="J9932">
        <f t="shared" si="160"/>
        <v>105000</v>
      </c>
      <c r="K9932" t="e">
        <f>VLOOKUP(B9932,'REGISTRO ABONOS'!$B$8:$BC$10041,54,0)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hidden="1" x14ac:dyDescent="0.2">
      <c r="B9933" s="31">
        <v>9924</v>
      </c>
      <c r="J9933">
        <f t="shared" si="160"/>
        <v>105000</v>
      </c>
      <c r="K9933" t="e">
        <f>VLOOKUP(B9933,'REGISTRO ABONOS'!$B$8:$BC$10041,54,0)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hidden="1" x14ac:dyDescent="0.2">
      <c r="B9934" s="31">
        <v>9925</v>
      </c>
      <c r="J9934">
        <f t="shared" si="160"/>
        <v>105000</v>
      </c>
      <c r="K9934" t="e">
        <f>VLOOKUP(B9934,'REGISTRO ABONOS'!$B$8:$BC$10041,54,0)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hidden="1" x14ac:dyDescent="0.2">
      <c r="B9935" s="31">
        <v>9926</v>
      </c>
      <c r="J9935">
        <f t="shared" si="160"/>
        <v>105000</v>
      </c>
      <c r="K9935" t="e">
        <f>VLOOKUP(B9935,'REGISTRO ABONOS'!$B$8:$BC$10041,54,0)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hidden="1" x14ac:dyDescent="0.2">
      <c r="B9936" s="31">
        <v>9927</v>
      </c>
      <c r="J9936">
        <f t="shared" si="160"/>
        <v>105000</v>
      </c>
      <c r="K9936" t="e">
        <f>VLOOKUP(B9936,'REGISTRO ABONOS'!$B$8:$BC$10041,54,0)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hidden="1" x14ac:dyDescent="0.2">
      <c r="B9937" s="31">
        <v>9928</v>
      </c>
      <c r="J9937">
        <f t="shared" si="160"/>
        <v>105000</v>
      </c>
      <c r="K9937" t="e">
        <f>VLOOKUP(B9937,'REGISTRO ABONOS'!$B$8:$BC$10041,54,0)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hidden="1" x14ac:dyDescent="0.2">
      <c r="B9938" s="31">
        <v>9929</v>
      </c>
      <c r="J9938">
        <f t="shared" si="160"/>
        <v>105000</v>
      </c>
      <c r="K9938" t="e">
        <f>VLOOKUP(B9938,'REGISTRO ABONOS'!$B$8:$BC$10041,54,0)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hidden="1" x14ac:dyDescent="0.2">
      <c r="B9939" s="31">
        <v>9930</v>
      </c>
      <c r="J9939">
        <f t="shared" si="160"/>
        <v>105000</v>
      </c>
      <c r="K9939" t="e">
        <f>VLOOKUP(B9939,'REGISTRO ABONOS'!$B$8:$BC$10041,54,0)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hidden="1" x14ac:dyDescent="0.2">
      <c r="B9940" s="31">
        <v>9931</v>
      </c>
      <c r="J9940">
        <f t="shared" si="160"/>
        <v>105000</v>
      </c>
      <c r="K9940" t="e">
        <f>VLOOKUP(B9940,'REGISTRO ABONOS'!$B$8:$BC$10041,54,0)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hidden="1" x14ac:dyDescent="0.2">
      <c r="B9941" s="31">
        <v>9932</v>
      </c>
      <c r="J9941">
        <f t="shared" si="160"/>
        <v>105000</v>
      </c>
      <c r="K9941" t="e">
        <f>VLOOKUP(B9941,'REGISTRO ABONOS'!$B$8:$BC$10041,54,0)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hidden="1" x14ac:dyDescent="0.2">
      <c r="B9942" s="31">
        <v>9933</v>
      </c>
      <c r="J9942">
        <f t="shared" si="160"/>
        <v>105000</v>
      </c>
      <c r="K9942" t="e">
        <f>VLOOKUP(B9942,'REGISTRO ABONOS'!$B$8:$BC$10041,54,0)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hidden="1" x14ac:dyDescent="0.2">
      <c r="B9943" s="31">
        <v>9934</v>
      </c>
      <c r="J9943">
        <f t="shared" si="160"/>
        <v>105000</v>
      </c>
      <c r="K9943" t="e">
        <f>VLOOKUP(B9943,'REGISTRO ABONOS'!$B$8:$BC$10041,54,0)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hidden="1" x14ac:dyDescent="0.2">
      <c r="B9944" s="31">
        <v>9935</v>
      </c>
      <c r="J9944">
        <f t="shared" si="160"/>
        <v>105000</v>
      </c>
      <c r="K9944" t="e">
        <f>VLOOKUP(B9944,'REGISTRO ABONOS'!$B$8:$BC$10041,54,0)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hidden="1" x14ac:dyDescent="0.2">
      <c r="B9945" s="31">
        <v>9936</v>
      </c>
      <c r="J9945">
        <f t="shared" si="160"/>
        <v>105000</v>
      </c>
      <c r="K9945" t="e">
        <f>VLOOKUP(B9945,'REGISTRO ABONOS'!$B$8:$BC$10041,54,0)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hidden="1" x14ac:dyDescent="0.2">
      <c r="B9946" s="31">
        <v>9937</v>
      </c>
      <c r="J9946">
        <f t="shared" si="160"/>
        <v>105000</v>
      </c>
      <c r="K9946" t="e">
        <f>VLOOKUP(B9946,'REGISTRO ABONOS'!$B$8:$BC$10041,54,0)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hidden="1" x14ac:dyDescent="0.2">
      <c r="B9947" s="31">
        <v>9938</v>
      </c>
      <c r="J9947">
        <f t="shared" si="160"/>
        <v>105000</v>
      </c>
      <c r="K9947" t="e">
        <f>VLOOKUP(B9947,'REGISTRO ABONOS'!$B$8:$BC$10041,54,0)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hidden="1" x14ac:dyDescent="0.2">
      <c r="B9948" s="31">
        <v>9939</v>
      </c>
      <c r="J9948">
        <f t="shared" si="160"/>
        <v>105000</v>
      </c>
      <c r="K9948" t="e">
        <f>VLOOKUP(B9948,'REGISTRO ABONOS'!$B$8:$BC$10041,54,0)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hidden="1" x14ac:dyDescent="0.2">
      <c r="B9949" s="31">
        <v>9940</v>
      </c>
      <c r="J9949">
        <f t="shared" si="160"/>
        <v>105000</v>
      </c>
      <c r="K9949" t="e">
        <f>VLOOKUP(B9949,'REGISTRO ABONOS'!$B$8:$BC$10041,54,0)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hidden="1" x14ac:dyDescent="0.2">
      <c r="B9950" s="31">
        <v>9941</v>
      </c>
      <c r="J9950">
        <f t="shared" si="160"/>
        <v>105000</v>
      </c>
      <c r="K9950" t="e">
        <f>VLOOKUP(B9950,'REGISTRO ABONOS'!$B$8:$BC$10041,54,0)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hidden="1" x14ac:dyDescent="0.2">
      <c r="B9951" s="31">
        <v>9942</v>
      </c>
      <c r="J9951">
        <f t="shared" si="160"/>
        <v>105000</v>
      </c>
      <c r="K9951" t="e">
        <f>VLOOKUP(B9951,'REGISTRO ABONOS'!$B$8:$BC$10041,54,0)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hidden="1" x14ac:dyDescent="0.2">
      <c r="B9952" s="31">
        <v>9943</v>
      </c>
      <c r="J9952">
        <f t="shared" si="160"/>
        <v>105000</v>
      </c>
      <c r="K9952" t="e">
        <f>VLOOKUP(B9952,'REGISTRO ABONOS'!$B$8:$BC$10041,54,0)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hidden="1" x14ac:dyDescent="0.2">
      <c r="B9953" s="31">
        <v>9944</v>
      </c>
      <c r="J9953">
        <f t="shared" si="160"/>
        <v>105000</v>
      </c>
      <c r="K9953" t="e">
        <f>VLOOKUP(B9953,'REGISTRO ABONOS'!$B$8:$BC$10041,54,0)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hidden="1" x14ac:dyDescent="0.2">
      <c r="B9954" s="31">
        <v>9945</v>
      </c>
      <c r="J9954">
        <f t="shared" si="160"/>
        <v>105000</v>
      </c>
      <c r="K9954" t="e">
        <f>VLOOKUP(B9954,'REGISTRO ABONOS'!$B$8:$BC$10041,54,0)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hidden="1" x14ac:dyDescent="0.2">
      <c r="B9955" s="31">
        <v>9946</v>
      </c>
      <c r="J9955">
        <f t="shared" si="160"/>
        <v>105000</v>
      </c>
      <c r="K9955" t="e">
        <f>VLOOKUP(B9955,'REGISTRO ABONOS'!$B$8:$BC$10041,54,0)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hidden="1" x14ac:dyDescent="0.2">
      <c r="B9956" s="31">
        <v>9947</v>
      </c>
      <c r="J9956">
        <f t="shared" si="160"/>
        <v>105000</v>
      </c>
      <c r="K9956" t="e">
        <f>VLOOKUP(B9956,'REGISTRO ABONOS'!$B$8:$BC$10041,54,0)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hidden="1" x14ac:dyDescent="0.2">
      <c r="B9957" s="31">
        <v>9948</v>
      </c>
      <c r="J9957">
        <f t="shared" si="160"/>
        <v>105000</v>
      </c>
      <c r="K9957" t="e">
        <f>VLOOKUP(B9957,'REGISTRO ABONOS'!$B$8:$BC$10041,54,0)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hidden="1" x14ac:dyDescent="0.2">
      <c r="B9958" s="31">
        <v>9949</v>
      </c>
      <c r="J9958">
        <f t="shared" si="160"/>
        <v>105000</v>
      </c>
      <c r="K9958" t="e">
        <f>VLOOKUP(B9958,'REGISTRO ABONOS'!$B$8:$BC$10041,54,0)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60"/>
        <v>105000</v>
      </c>
      <c r="K9959" t="e">
        <f>VLOOKUP(B9959,'REGISTRO ABONOS'!$B$8:$BC$10041,54,0)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hidden="1" x14ac:dyDescent="0.2">
      <c r="B9960" s="31">
        <v>9951</v>
      </c>
      <c r="J9960">
        <f t="shared" si="160"/>
        <v>105000</v>
      </c>
      <c r="K9960" t="e">
        <f>VLOOKUP(B9960,'REGISTRO ABONOS'!$B$8:$BC$10041,54,0)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hidden="1" x14ac:dyDescent="0.2">
      <c r="B9961" s="31">
        <v>9952</v>
      </c>
      <c r="J9961">
        <f t="shared" si="160"/>
        <v>105000</v>
      </c>
      <c r="K9961" t="e">
        <f>VLOOKUP(B9961,'REGISTRO ABONOS'!$B$8:$BC$10041,54,0)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hidden="1" x14ac:dyDescent="0.2">
      <c r="B9962" s="31">
        <v>9953</v>
      </c>
      <c r="J9962">
        <f t="shared" ref="J9962:J10015" si="161">IF(C9962&gt;43607,130000,105000)</f>
        <v>105000</v>
      </c>
      <c r="K9962" t="e">
        <f>VLOOKUP(B9962,'REGISTRO ABONOS'!$B$8:$BC$10041,54,0)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hidden="1" x14ac:dyDescent="0.2">
      <c r="B9963" s="31">
        <v>9954</v>
      </c>
      <c r="J9963">
        <f t="shared" si="161"/>
        <v>105000</v>
      </c>
      <c r="K9963" t="e">
        <f>VLOOKUP(B9963,'REGISTRO ABONOS'!$B$8:$BC$10041,54,0)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hidden="1" x14ac:dyDescent="0.2">
      <c r="B9964" s="31">
        <v>9955</v>
      </c>
      <c r="J9964">
        <f t="shared" si="161"/>
        <v>105000</v>
      </c>
      <c r="K9964" t="e">
        <f>VLOOKUP(B9964,'REGISTRO ABONOS'!$B$8:$BC$10041,54,0)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hidden="1" x14ac:dyDescent="0.2">
      <c r="B9965" s="31">
        <v>9956</v>
      </c>
      <c r="J9965">
        <f t="shared" si="161"/>
        <v>105000</v>
      </c>
      <c r="K9965" t="e">
        <f>VLOOKUP(B9965,'REGISTRO ABONOS'!$B$8:$BC$10041,54,0)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hidden="1" x14ac:dyDescent="0.2">
      <c r="B9966" s="31">
        <v>9957</v>
      </c>
      <c r="J9966">
        <f t="shared" si="161"/>
        <v>105000</v>
      </c>
      <c r="K9966" t="e">
        <f>VLOOKUP(B9966,'REGISTRO ABONOS'!$B$8:$BC$10041,54,0)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hidden="1" x14ac:dyDescent="0.2">
      <c r="B9967" s="31">
        <v>9958</v>
      </c>
      <c r="J9967">
        <f t="shared" si="161"/>
        <v>105000</v>
      </c>
      <c r="K9967" t="e">
        <f>VLOOKUP(B9967,'REGISTRO ABONOS'!$B$8:$BC$10041,54,0)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hidden="1" x14ac:dyDescent="0.2">
      <c r="B9968" s="31">
        <v>9959</v>
      </c>
      <c r="J9968">
        <f t="shared" si="161"/>
        <v>105000</v>
      </c>
      <c r="K9968" t="e">
        <f>VLOOKUP(B9968,'REGISTRO ABONOS'!$B$8:$BC$10041,54,0)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hidden="1" x14ac:dyDescent="0.2">
      <c r="B9969" s="31">
        <v>9960</v>
      </c>
      <c r="J9969">
        <f t="shared" si="161"/>
        <v>105000</v>
      </c>
      <c r="K9969" t="e">
        <f>VLOOKUP(B9969,'REGISTRO ABONOS'!$B$8:$BC$10041,54,0)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hidden="1" x14ac:dyDescent="0.2">
      <c r="B9970" s="31">
        <v>9961</v>
      </c>
      <c r="J9970">
        <f t="shared" si="161"/>
        <v>105000</v>
      </c>
      <c r="K9970" t="e">
        <f>VLOOKUP(B9970,'REGISTRO ABONOS'!$B$8:$BC$10041,54,0)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hidden="1" x14ac:dyDescent="0.2">
      <c r="B9971" s="31">
        <v>9962</v>
      </c>
      <c r="J9971">
        <f t="shared" si="161"/>
        <v>105000</v>
      </c>
      <c r="K9971" t="e">
        <f>VLOOKUP(B9971,'REGISTRO ABONOS'!$B$8:$BC$10041,54,0)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hidden="1" x14ac:dyDescent="0.2">
      <c r="B9972" s="31">
        <v>9963</v>
      </c>
      <c r="J9972">
        <f t="shared" si="161"/>
        <v>105000</v>
      </c>
      <c r="K9972" t="e">
        <f>VLOOKUP(B9972,'REGISTRO ABONOS'!$B$8:$BC$10041,54,0)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hidden="1" x14ac:dyDescent="0.2">
      <c r="B9973" s="31">
        <v>9964</v>
      </c>
      <c r="J9973">
        <f t="shared" si="161"/>
        <v>105000</v>
      </c>
      <c r="K9973" t="e">
        <f>VLOOKUP(B9973,'REGISTRO ABONOS'!$B$8:$BC$10041,54,0)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hidden="1" x14ac:dyDescent="0.2">
      <c r="B9974" s="31">
        <v>9965</v>
      </c>
      <c r="J9974">
        <f t="shared" si="161"/>
        <v>105000</v>
      </c>
      <c r="K9974" t="e">
        <f>VLOOKUP(B9974,'REGISTRO ABONOS'!$B$8:$BC$10041,54,0)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hidden="1" x14ac:dyDescent="0.2">
      <c r="B9975" s="31">
        <v>9966</v>
      </c>
      <c r="J9975">
        <f t="shared" si="161"/>
        <v>105000</v>
      </c>
      <c r="K9975" t="e">
        <f>VLOOKUP(B9975,'REGISTRO ABONOS'!$B$8:$BC$10041,54,0)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hidden="1" x14ac:dyDescent="0.2">
      <c r="B9976" s="31">
        <v>9967</v>
      </c>
      <c r="J9976">
        <f t="shared" si="161"/>
        <v>105000</v>
      </c>
      <c r="K9976" t="e">
        <f>VLOOKUP(B9976,'REGISTRO ABONOS'!$B$8:$BC$10041,54,0)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hidden="1" x14ac:dyDescent="0.2">
      <c r="B9977" s="31">
        <v>9968</v>
      </c>
      <c r="J9977">
        <f t="shared" si="161"/>
        <v>105000</v>
      </c>
      <c r="K9977" t="e">
        <f>VLOOKUP(B9977,'REGISTRO ABONOS'!$B$8:$BC$10041,54,0)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hidden="1" x14ac:dyDescent="0.2">
      <c r="B9978" s="31">
        <v>9969</v>
      </c>
      <c r="J9978">
        <f t="shared" si="161"/>
        <v>105000</v>
      </c>
      <c r="K9978" t="e">
        <f>VLOOKUP(B9978,'REGISTRO ABONOS'!$B$8:$BC$10041,54,0)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hidden="1" x14ac:dyDescent="0.2">
      <c r="B9979" s="31">
        <v>9970</v>
      </c>
      <c r="J9979">
        <f t="shared" si="161"/>
        <v>105000</v>
      </c>
      <c r="K9979" t="e">
        <f>VLOOKUP(B9979,'REGISTRO ABONOS'!$B$8:$BC$10041,54,0)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hidden="1" x14ac:dyDescent="0.2">
      <c r="B9980" s="31">
        <v>9971</v>
      </c>
      <c r="J9980">
        <f t="shared" si="161"/>
        <v>105000</v>
      </c>
      <c r="K9980" t="e">
        <f>VLOOKUP(B9980,'REGISTRO ABONOS'!$B$8:$BC$10041,54,0)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hidden="1" x14ac:dyDescent="0.2">
      <c r="B9981" s="31">
        <v>9972</v>
      </c>
      <c r="J9981">
        <f t="shared" si="161"/>
        <v>105000</v>
      </c>
      <c r="K9981" t="e">
        <f>VLOOKUP(B9981,'REGISTRO ABONOS'!$B$8:$BC$10041,54,0)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hidden="1" x14ac:dyDescent="0.2">
      <c r="B9982" s="31">
        <v>9973</v>
      </c>
      <c r="J9982">
        <f t="shared" si="161"/>
        <v>105000</v>
      </c>
      <c r="K9982" t="e">
        <f>VLOOKUP(B9982,'REGISTRO ABONOS'!$B$8:$BC$10041,54,0)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hidden="1" x14ac:dyDescent="0.2">
      <c r="B9983" s="31">
        <v>9974</v>
      </c>
      <c r="J9983">
        <f t="shared" si="161"/>
        <v>105000</v>
      </c>
      <c r="K9983" t="e">
        <f>VLOOKUP(B9983,'REGISTRO ABONOS'!$B$8:$BC$10041,54,0)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hidden="1" x14ac:dyDescent="0.2">
      <c r="B9984" s="31">
        <v>9975</v>
      </c>
      <c r="J9984">
        <f t="shared" si="161"/>
        <v>105000</v>
      </c>
      <c r="K9984" t="e">
        <f>VLOOKUP(B9984,'REGISTRO ABONOS'!$B$8:$BC$10041,54,0)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hidden="1" x14ac:dyDescent="0.2">
      <c r="B9985" s="31">
        <v>9976</v>
      </c>
      <c r="J9985">
        <f t="shared" si="161"/>
        <v>105000</v>
      </c>
      <c r="K9985" t="e">
        <f>VLOOKUP(B9985,'REGISTRO ABONOS'!$B$8:$BC$10041,54,0)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hidden="1" x14ac:dyDescent="0.2">
      <c r="B9986" s="31">
        <v>9977</v>
      </c>
      <c r="J9986">
        <f t="shared" si="161"/>
        <v>105000</v>
      </c>
      <c r="K9986" t="e">
        <f>VLOOKUP(B9986,'REGISTRO ABONOS'!$B$8:$BC$10041,54,0)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hidden="1" x14ac:dyDescent="0.2">
      <c r="B9987" s="31">
        <v>9978</v>
      </c>
      <c r="J9987">
        <f t="shared" si="161"/>
        <v>105000</v>
      </c>
      <c r="K9987" t="e">
        <f>VLOOKUP(B9987,'REGISTRO ABONOS'!$B$8:$BC$10041,54,0)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hidden="1" x14ac:dyDescent="0.2">
      <c r="B9988" s="31">
        <v>9979</v>
      </c>
      <c r="J9988">
        <f t="shared" si="161"/>
        <v>105000</v>
      </c>
      <c r="K9988" t="e">
        <f>VLOOKUP(B9988,'REGISTRO ABONOS'!$B$8:$BC$10041,54,0)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hidden="1" x14ac:dyDescent="0.2">
      <c r="B9989" s="31">
        <v>9980</v>
      </c>
      <c r="J9989">
        <f t="shared" si="161"/>
        <v>105000</v>
      </c>
      <c r="K9989" t="e">
        <f>VLOOKUP(B9989,'REGISTRO ABONOS'!$B$8:$BC$10041,54,0)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hidden="1" x14ac:dyDescent="0.2">
      <c r="B9990" s="31">
        <v>9981</v>
      </c>
      <c r="J9990">
        <f t="shared" si="161"/>
        <v>105000</v>
      </c>
      <c r="K9990" t="e">
        <f>VLOOKUP(B9990,'REGISTRO ABONOS'!$B$8:$BC$10041,54,0)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hidden="1" x14ac:dyDescent="0.2">
      <c r="B9991" s="31">
        <v>9982</v>
      </c>
      <c r="J9991">
        <f t="shared" si="161"/>
        <v>105000</v>
      </c>
      <c r="K9991" t="e">
        <f>VLOOKUP(B9991,'REGISTRO ABONOS'!$B$8:$BC$10041,54,0)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hidden="1" x14ac:dyDescent="0.2">
      <c r="B9992" s="31">
        <v>9983</v>
      </c>
      <c r="J9992">
        <f t="shared" si="161"/>
        <v>105000</v>
      </c>
      <c r="K9992" t="e">
        <f>VLOOKUP(B9992,'REGISTRO ABONOS'!$B$8:$BC$10041,54,0)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hidden="1" x14ac:dyDescent="0.2">
      <c r="B9993" s="31">
        <v>9984</v>
      </c>
      <c r="J9993">
        <f t="shared" si="161"/>
        <v>105000</v>
      </c>
      <c r="K9993" t="e">
        <f>VLOOKUP(B9993,'REGISTRO ABONOS'!$B$8:$BC$10041,54,0)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hidden="1" x14ac:dyDescent="0.2">
      <c r="B9994" s="31">
        <v>9985</v>
      </c>
      <c r="J9994">
        <f t="shared" si="161"/>
        <v>105000</v>
      </c>
      <c r="K9994" t="e">
        <f>VLOOKUP(B9994,'REGISTRO ABONOS'!$B$8:$BC$10041,54,0)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hidden="1" x14ac:dyDescent="0.2">
      <c r="B9995" s="31">
        <v>9986</v>
      </c>
      <c r="J9995">
        <f t="shared" si="161"/>
        <v>105000</v>
      </c>
      <c r="K9995" t="e">
        <f>VLOOKUP(B9995,'REGISTRO ABONOS'!$B$8:$BC$10041,54,0)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hidden="1" x14ac:dyDescent="0.2">
      <c r="B9996" s="31">
        <v>9987</v>
      </c>
      <c r="J9996">
        <f t="shared" si="161"/>
        <v>105000</v>
      </c>
      <c r="K9996" t="e">
        <f>VLOOKUP(B9996,'REGISTRO ABONOS'!$B$8:$BC$10041,54,0)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hidden="1" x14ac:dyDescent="0.2">
      <c r="B9997" s="31">
        <v>9988</v>
      </c>
      <c r="J9997">
        <f t="shared" si="161"/>
        <v>105000</v>
      </c>
      <c r="K9997" t="e">
        <f>VLOOKUP(B9997,'REGISTRO ABONOS'!$B$8:$BC$10041,54,0)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hidden="1" x14ac:dyDescent="0.2">
      <c r="B9998" s="31">
        <v>9989</v>
      </c>
      <c r="J9998">
        <f t="shared" si="161"/>
        <v>105000</v>
      </c>
      <c r="K9998" t="e">
        <f>VLOOKUP(B9998,'REGISTRO ABONOS'!$B$8:$BC$10041,54,0)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hidden="1" x14ac:dyDescent="0.2">
      <c r="B9999" s="31">
        <v>9990</v>
      </c>
      <c r="J9999">
        <f t="shared" si="161"/>
        <v>105000</v>
      </c>
      <c r="K9999" t="e">
        <f>VLOOKUP(B9999,'REGISTRO ABONOS'!$B$8:$BC$10041,54,0)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hidden="1" x14ac:dyDescent="0.2">
      <c r="B10000" s="31">
        <v>9991</v>
      </c>
      <c r="J10000">
        <f t="shared" si="161"/>
        <v>105000</v>
      </c>
      <c r="K10000" t="e">
        <f>VLOOKUP(B10000,'REGISTRO ABONOS'!$B$8:$BC$10041,54,0)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hidden="1" x14ac:dyDescent="0.2">
      <c r="B10001" s="31">
        <v>9992</v>
      </c>
      <c r="J10001">
        <f t="shared" si="161"/>
        <v>105000</v>
      </c>
      <c r="K10001" t="e">
        <f>VLOOKUP(B10001,'REGISTRO ABONOS'!$B$8:$BC$10041,54,0)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hidden="1" x14ac:dyDescent="0.2">
      <c r="B10002" s="31">
        <v>9993</v>
      </c>
      <c r="J10002">
        <f t="shared" si="161"/>
        <v>105000</v>
      </c>
      <c r="K10002" t="e">
        <f>VLOOKUP(B10002,'REGISTRO ABONOS'!$B$8:$BC$10041,54,0)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hidden="1" x14ac:dyDescent="0.2">
      <c r="B10003" s="31">
        <v>9994</v>
      </c>
      <c r="J10003">
        <f t="shared" si="161"/>
        <v>105000</v>
      </c>
      <c r="K10003" t="e">
        <f>VLOOKUP(B10003,'REGISTRO ABONOS'!$B$8:$BC$10041,54,0)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hidden="1" x14ac:dyDescent="0.2">
      <c r="B10004" s="31">
        <v>9995</v>
      </c>
      <c r="J10004">
        <f t="shared" si="161"/>
        <v>105000</v>
      </c>
      <c r="K10004" t="e">
        <f>VLOOKUP(B10004,'REGISTRO ABONOS'!$B$8:$BC$10041,54,0)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hidden="1" x14ac:dyDescent="0.2">
      <c r="B10005" s="31">
        <v>9996</v>
      </c>
      <c r="J10005">
        <f t="shared" si="161"/>
        <v>105000</v>
      </c>
      <c r="K10005" t="e">
        <f>VLOOKUP(B10005,'REGISTRO ABONOS'!$B$8:$BC$10041,54,0)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hidden="1" x14ac:dyDescent="0.2">
      <c r="B10006" s="31">
        <v>9997</v>
      </c>
      <c r="J10006">
        <f t="shared" si="161"/>
        <v>105000</v>
      </c>
      <c r="K10006" t="e">
        <f>VLOOKUP(B10006,'REGISTRO ABONOS'!$B$8:$BC$10041,54,0)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hidden="1" x14ac:dyDescent="0.2">
      <c r="B10007" s="31">
        <v>9998</v>
      </c>
      <c r="J10007">
        <f t="shared" si="161"/>
        <v>105000</v>
      </c>
      <c r="K10007" t="e">
        <f>VLOOKUP(B10007,'REGISTRO ABONOS'!$B$8:$BC$10041,54,0)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hidden="1" x14ac:dyDescent="0.2">
      <c r="B10008" s="31">
        <v>9999</v>
      </c>
      <c r="J10008">
        <f t="shared" si="161"/>
        <v>105000</v>
      </c>
      <c r="K10008" t="e">
        <f>VLOOKUP(B10008,'REGISTRO ABONOS'!$B$8:$BC$10041,54,0)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1"/>
        <v>105000</v>
      </c>
      <c r="K10009" s="96" t="e">
        <f>VLOOKUP(B10009,'REGISTRO ABONOS'!$B$8:$BC$10041,54,0)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1"/>
        <v>105000</v>
      </c>
      <c r="K10010" s="96" t="e">
        <f>VLOOKUP(B10010,'REGISTRO ABONOS'!$B$8:$BC$10041,54,0)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1"/>
        <v>105000</v>
      </c>
      <c r="K10011" s="96" t="e">
        <f>VLOOKUP(B10011,'REGISTRO ABONOS'!$B$8:$BC$10041,54,0)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1"/>
        <v>105000</v>
      </c>
      <c r="K10012" s="96" t="e">
        <f>VLOOKUP(B10012,'REGISTRO ABONOS'!$B$8:$BC$10041,54,0)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1"/>
        <v>105000</v>
      </c>
      <c r="K10013" s="96" t="e">
        <f>VLOOKUP(B10013,'REGISTRO ABONOS'!$B$8:$BC$10041,54,0)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1"/>
        <v>105000</v>
      </c>
      <c r="K10014" s="96" t="e">
        <f>VLOOKUP(B10014,'REGISTRO ABONOS'!$B$8:$BC$10041,54,0)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1"/>
        <v>105000</v>
      </c>
      <c r="K10015" s="96" t="e">
        <f>VLOOKUP(B10015,'REGISTRO ABONOS'!$B$8:$BC$10041,54,0)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ABONOS'!$B$8:$BC$10041,54,0)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Hoja1</vt:lpstr>
      <vt:lpstr>BODEGA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2019-04-22T17:26:44Z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